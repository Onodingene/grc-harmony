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e5698483bb44fd" /></Relationships>
</file>

<file path=xl/workbook.xml><?xml version="1.0" encoding="utf-8"?>
<x:workbook xmlns:x="http://schemas.openxmlformats.org/spreadsheetml/2006/main">
  <x:sheets>
    <x:sheet xmlns:r="http://schemas.openxmlformats.org/officeDocument/2006/relationships" name="Lists" sheetId="1" r:id="R3424d3e626e547c7"/>
    <x:sheet xmlns:r="http://schemas.openxmlformats.org/officeDocument/2006/relationships" name="README" sheetId="2" r:id="Rac04bb5d1ca94ce4"/>
    <x:sheet xmlns:r="http://schemas.openxmlformats.org/officeDocument/2006/relationships" name="Source_MCS" sheetId="3" r:id="R53a71a607c7c4157"/>
    <x:sheet xmlns:r="http://schemas.openxmlformats.org/officeDocument/2006/relationships" name="Control_Library" sheetId="4" r:id="R32c84ab331204006"/>
    <x:sheet xmlns:r="http://schemas.openxmlformats.org/officeDocument/2006/relationships" name="Risk_Register" sheetId="5" r:id="Rea9bf3c2f8954aa8"/>
    <x:sheet xmlns:r="http://schemas.openxmlformats.org/officeDocument/2006/relationships" name="Monthly_Test_Plan" sheetId="6" r:id="R8adfcd8b36614fa6"/>
    <x:sheet xmlns:r="http://schemas.openxmlformats.org/officeDocument/2006/relationships" name="Test_Execution" sheetId="7" r:id="Re1e8dfe143454b4b"/>
    <x:sheet xmlns:r="http://schemas.openxmlformats.org/officeDocument/2006/relationships" name="Issues_Log" sheetId="8" r:id="Rab9da2cc354d41b2"/>
    <x:sheet xmlns:r="http://schemas.openxmlformats.org/officeDocument/2006/relationships" name="Action_Tracker" sheetId="9" r:id="R2ccbca7a62d3451d"/>
    <x:sheet xmlns:r="http://schemas.openxmlformats.org/officeDocument/2006/relationships" name="Audit_Program" sheetId="10" r:id="Rad698e125ccd4b7e"/>
    <x:sheet xmlns:r="http://schemas.openxmlformats.org/officeDocument/2006/relationships" name="Audit_Calendar" sheetId="11" r:id="R6ccd3ae8059a4ae5"/>
    <x:sheet xmlns:r="http://schemas.openxmlformats.org/officeDocument/2006/relationships" name="Dashboard" sheetId="12" r:id="R75506933f5244c5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0.0%"/>
  </x:numFmts>
  <x:fonts count="7">
    <x:font>
      <x:sz val="11"/>
      <x:color theme="1"/>
      <x:name val="Calibri"/>
      <x:family val="2"/>
      <x:scheme val="minor"/>
    </x:font>
    <x:font>
      <x:b/>
      <x:color rgb="001F4E79"/>
    </x:font>
    <x:font>
      <x:b/>
      <x:sz val="16"/>
      <x:color rgb="001F4E79"/>
    </x:font>
    <x:font>
      <x:b/>
      <x:color rgb="00FFFFFF"/>
    </x:font>
    <x:font>
      <x:color rgb="000000FF"/>
    </x:font>
    <x:font>
      <x:b/>
      <x:sz val="14"/>
      <x:color rgb="001F4E79"/>
    </x:font>
    <x:font>
      <x:b/>
      <x:sz val="18"/>
      <x:color rgb="001F4E79"/>
    </x:font>
  </x:fonts>
  <x:fills count="4">
    <x:fill>
      <x:patternFill patternType="none"/>
    </x:fill>
    <x:fill>
      <x:patternFill patternType="gray125"/>
    </x:fill>
    <x:fill>
      <x:patternFill patternType="solid">
        <x:fgColor rgb="00D9E1F2"/>
      </x:patternFill>
    </x:fill>
    <x:fill>
      <x:patternFill patternType="solid">
        <x:fgColor rgb="001F4E79"/>
      </x:patternFill>
    </x:fill>
  </x:fills>
  <x:borders count="11">
    <x:border>
      <x:left/>
      <x:right/>
      <x:top/>
      <x:bottom/>
      <x:diagonal/>
    </x:border>
    <x:border>
      <x:left style="thin">
        <x:color rgb="00BFBFBF"/>
      </x:left>
      <x:right style="thin">
        <x:color rgb="00BFBFBF"/>
      </x:right>
      <x:top style="thin">
        <x:color rgb="00BFBFBF"/>
      </x:top>
      <x:bottom style="thin">
        <x:color rgb="00BFBFBF"/>
      </x:bottom>
    </x:border>
    <x:border>
      <x:left/>
      <x:right/>
      <x:top style="thin">
        <x:color rgb="00BFBFBF"/>
      </x:top>
      <x:bottom/>
      <x:diagonal/>
    </x:border>
    <x:border>
      <x:left style="thin">
        <x:color rgb="00BFBFBF"/>
      </x:left>
      <x:right/>
      <x:top/>
      <x:bottom/>
      <x:diagonal/>
    </x:border>
    <x:border>
      <x:left/>
      <x:right style="thin">
        <x:color rgb="00BFBFBF"/>
      </x:right>
      <x:top style="thin">
        <x:color rgb="00BFBFBF"/>
      </x:top>
      <x:bottom/>
      <x:diagonal/>
    </x:border>
    <x:border>
      <x:left/>
      <x:right style="thin">
        <x:color rgb="00BFBFBF"/>
      </x:right>
      <x:top/>
      <x:bottom/>
      <x:diagonal/>
    </x:border>
    <x:border>
      <x:left style="thin">
        <x:color rgb="00BFBFBF"/>
      </x:left>
      <x:right/>
      <x:top/>
      <x:bottom style="thin">
        <x:color rgb="00BFBFBF"/>
      </x:bottom>
      <x:diagonal/>
    </x:border>
    <x:border>
      <x:left/>
      <x:right/>
      <x:top/>
      <x:bottom style="thin">
        <x:color rgb="00BFBFBF"/>
      </x:bottom>
      <x:diagonal/>
    </x:border>
    <x:border>
      <x:left/>
      <x:right style="thin">
        <x:color rgb="00BFBFBF"/>
      </x:right>
      <x:top/>
      <x:bottom style="thin">
        <x:color rgb="00BFBFBF"/>
      </x:bottom>
      <x:diagonal/>
    </x:border>
    <x:border>
      <x:left/>
      <x:right/>
      <x:top style="thin">
        <x:color rgb="00BFBFBF"/>
      </x:top>
      <x:bottom style="thin">
        <x:color rgb="00BFBFBF"/>
      </x:bottom>
      <x:diagonal/>
    </x:border>
    <x:border>
      <x:left/>
      <x:right style="thin">
        <x:color rgb="00BFBFBF"/>
      </x:right>
      <x:top style="thin">
        <x:color rgb="00BFBFBF"/>
      </x:top>
      <x:bottom style="thin">
        <x:color rgb="00BFBFBF"/>
      </x:bottom>
      <x:diagonal/>
    </x:border>
  </x:borders>
  <x:cellStyleXfs count="1">
    <x:xf numFmtId="0" fontId="0" fillId="0" borderId="0"/>
  </x:cellStyleXfs>
  <x:cellXfs count="24">
    <x:xf numFmtId="0" fontId="0" fillId="0" borderId="0" xfId="0"/>
    <x:xf numFmtId="0" fontId="1" fillId="2" borderId="0" xfId="0" applyAlignment="1">
      <x:alignment horizontal="left" vertical="top" wrapText="1"/>
    </x:xf>
    <x:xf numFmtId="0" fontId="2" fillId="0" borderId="0" xfId="0"/>
    <x:xf numFmtId="0" fontId="1" fillId="0" borderId="0" xfId="0"/>
    <x:xf numFmtId="0" fontId="0" fillId="0" borderId="0" xfId="0" applyAlignment="1">
      <x:alignment horizontal="left" vertical="top" wrapText="1"/>
    </x:xf>
    <x:xf numFmtId="0" fontId="3" fillId="3" borderId="1" xfId="0" applyAlignment="1">
      <x:alignment horizontal="center" vertical="center" wrapText="1"/>
    </x:xf>
    <x:xf numFmtId="0" fontId="0" fillId="0" borderId="1" xfId="0" applyAlignment="1">
      <x:alignment horizontal="left" vertical="top" wrapText="1"/>
    </x:xf>
    <x:xf numFmtId="0" fontId="0" fillId="0" borderId="1" xfId="0" applyAlignment="1">
      <x:alignment horizontal="center" vertical="center" wrapText="1"/>
    </x:xf>
    <x:xf numFmtId="164" fontId="0" fillId="0" borderId="1" xfId="0" applyAlignment="1">
      <x:alignment horizontal="center" vertical="center" wrapText="1"/>
    </x:xf>
    <x:xf numFmtId="0" fontId="4" fillId="0" borderId="1" xfId="0" applyAlignment="1">
      <x:alignment horizontal="center" vertical="center" wrapText="1"/>
    </x:xf>
    <x:xf numFmtId="0" fontId="5" fillId="0" borderId="0" xfId="0"/>
    <x:xf numFmtId="0" fontId="6" fillId="0" borderId="0" xfId="0"/>
    <x:xf numFmtId="0" fontId="1" fillId="2" borderId="1" xfId="0" applyAlignment="1">
      <x:alignment horizontal="left" vertical="center"/>
    </x:xf>
    <x:xf numFmtId="0" fontId="0" fillId="0" borderId="1" xfId="0"/>
    <x:xf numFmtId="0" fontId="2" fillId="0" borderId="1" xfId="0" applyAlignment="1">
      <x:alignment horizontal="center" vertical="center"/>
    </x:xf>
    <x:xf numFmtId="165" fontId="2" fillId="0" borderId="1" xfId="0" applyAlignment="1">
      <x:alignment horizontal="center" vertical="center"/>
    </x:xf>
    <x:xf numFmtId="0" fontId="0" fillId="0" borderId="9" xfId="0"/>
    <x:xf numFmtId="0" fontId="0" fillId="0" borderId="10" xfId="0"/>
    <x:xf numFmtId="0" fontId="0" fillId="0" borderId="2" xfId="0"/>
    <x:xf numFmtId="0" fontId="0" fillId="0" borderId="4" xfId="0"/>
    <x:xf numFmtId="165" fontId="2" fillId="0" borderId="1" xfId="0" applyAlignment="1">
      <x:alignment horizontal="center" vertical="center"/>
    </x:xf>
    <x:xf numFmtId="0" fontId="0" fillId="0" borderId="6" xfId="0"/>
    <x:xf numFmtId="0" fontId="0" fillId="0" borderId="7" xfId="0"/>
    <x:xf numFmtId="0" fontId="0" fillId="0" borderId="8" xfId="0"/>
  </x:cellXfs>
  <x:cellStyles count="1">
    <x:cellStyle name="Normal" xfId="0"/>
  </x:cellStyles>
  <x:dxfs count="1">
    <x:dxf>
      <x:fill>
        <x:patternFill>
          <x:bgColor rgb="00F8CBAD"/>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baad2559431444e" /><Relationship Type="http://schemas.openxmlformats.org/officeDocument/2006/relationships/theme" Target="/xl/theme/theme1.xml" Id="Rd9908c3e282f4c91" /><Relationship Type="http://schemas.openxmlformats.org/officeDocument/2006/relationships/sharedStrings" Target="/xl/sharedStrings.xml" Id="Rfd0024679ec44864" /><Relationship Type="http://schemas.openxmlformats.org/officeDocument/2006/relationships/worksheet" Target="/xl/worksheets/sheet1.xml" Id="R3424d3e626e547c7" /><Relationship Type="http://schemas.openxmlformats.org/officeDocument/2006/relationships/worksheet" Target="/xl/worksheets/sheet2.xml" Id="Rac04bb5d1ca94ce4" /><Relationship Type="http://schemas.openxmlformats.org/officeDocument/2006/relationships/worksheet" Target="/xl/worksheets/sheet3.xml" Id="R53a71a607c7c4157" /><Relationship Type="http://schemas.openxmlformats.org/officeDocument/2006/relationships/worksheet" Target="/xl/worksheets/sheet4.xml" Id="R32c84ab331204006" /><Relationship Type="http://schemas.openxmlformats.org/officeDocument/2006/relationships/worksheet" Target="/xl/worksheets/sheet5.xml" Id="Rea9bf3c2f8954aa8" /><Relationship Type="http://schemas.openxmlformats.org/officeDocument/2006/relationships/worksheet" Target="/xl/worksheets/sheet6.xml" Id="R8adfcd8b36614fa6" /><Relationship Type="http://schemas.openxmlformats.org/officeDocument/2006/relationships/worksheet" Target="/xl/worksheets/sheet7.xml" Id="Re1e8dfe143454b4b" /><Relationship Type="http://schemas.openxmlformats.org/officeDocument/2006/relationships/worksheet" Target="/xl/worksheets/sheet8.xml" Id="Rab9da2cc354d41b2" /><Relationship Type="http://schemas.openxmlformats.org/officeDocument/2006/relationships/worksheet" Target="/xl/worksheets/sheet9.xml" Id="R2ccbca7a62d3451d" /><Relationship Type="http://schemas.openxmlformats.org/officeDocument/2006/relationships/worksheet" Target="/xl/worksheets/sheet10.xml" Id="Rad698e125ccd4b7e" /><Relationship Type="http://schemas.openxmlformats.org/officeDocument/2006/relationships/worksheet" Target="/xl/worksheets/sheet11.xml" Id="R6ccd3ae8059a4ae5" /><Relationship Type="http://schemas.openxmlformats.org/officeDocument/2006/relationships/worksheet" Target="/xl/worksheets/sheet12.xml" Id="R75506933f5244c5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customWidth="1"/>
  </x:cols>
  <x:sheetData>
    <x:row r="1">
      <x:c r="A1" s="1" t="inlineStr">
        <x:is>
          <x:t xml:space="preserve">Status</x:t>
        </x:is>
      </x:c>
    </x:row>
    <x:row r="2">
      <x:c r="A2" t="inlineStr">
        <x:is>
          <x:t xml:space="preserve">Not Started</x:t>
        </x:is>
      </x:c>
    </x:row>
    <x:row r="3">
      <x:c r="A3" t="inlineStr">
        <x:is>
          <x:t xml:space="preserve">In Progress</x:t>
        </x:is>
      </x:c>
    </x:row>
    <x:row r="4">
      <x:c r="A4" t="inlineStr">
        <x:is>
          <x:t xml:space="preserve">Complete</x:t>
        </x:is>
      </x:c>
    </x:row>
    <x:row r="5">
      <x:c r="A5" t="inlineStr">
        <x:is>
          <x:t xml:space="preserve">Deferred</x:t>
        </x:is>
      </x:c>
    </x:row>
    <x:row r="6">
      <x:c r="A6" t="inlineStr">
        <x:is>
          <x:t xml:space="preserve">N/A</x:t>
        </x:is>
      </x:c>
    </x:row>
    <x:row r="9">
      <x:c r="A9" s="1" t="inlineStr">
        <x:is>
          <x:t xml:space="preserve">Result</x:t>
        </x:is>
      </x:c>
    </x:row>
    <x:row r="10">
      <x:c r="A10" t="inlineStr">
        <x:is>
          <x:t xml:space="preserve">Pass</x:t>
        </x:is>
      </x:c>
    </x:row>
    <x:row r="11">
      <x:c r="A11" t="inlineStr">
        <x:is>
          <x:t xml:space="preserve">Fail</x:t>
        </x:is>
      </x:c>
    </x:row>
    <x:row r="12">
      <x:c r="A12" t="inlineStr">
        <x:is>
          <x:t xml:space="preserve">Exception</x:t>
        </x:is>
      </x:c>
    </x:row>
    <x:row r="13">
      <x:c r="A13" t="inlineStr">
        <x:is>
          <x:t xml:space="preserve">Not Tested</x:t>
        </x:is>
      </x:c>
    </x:row>
    <x:row r="16">
      <x:c r="A16" s="1" t="inlineStr">
        <x:is>
          <x:t xml:space="preserve">Issue Rating</x:t>
        </x:is>
      </x:c>
    </x:row>
    <x:row r="17">
      <x:c r="A17" t="inlineStr">
        <x:is>
          <x:t xml:space="preserve">Low</x:t>
        </x:is>
      </x:c>
    </x:row>
    <x:row r="18">
      <x:c r="A18" t="inlineStr">
        <x:is>
          <x:t xml:space="preserve">Medium</x:t>
        </x:is>
      </x:c>
    </x:row>
    <x:row r="19">
      <x:c r="A19" t="inlineStr">
        <x:is>
          <x:t xml:space="preserve">High</x:t>
        </x:is>
      </x:c>
    </x:row>
    <x:row r="20">
      <x:c r="A20" t="inlineStr">
        <x:is>
          <x:t xml:space="preserve">Critical</x:t>
        </x:is>
      </x:c>
    </x:row>
    <x:row r="23">
      <x:c r="A23" s="1" t="inlineStr">
        <x:is>
          <x:t xml:space="preserve">Issue Status</x:t>
        </x:is>
      </x:c>
    </x:row>
    <x:row r="24">
      <x:c r="A24" t="inlineStr">
        <x:is>
          <x:t xml:space="preserve">Open</x:t>
        </x:is>
      </x:c>
    </x:row>
    <x:row r="25">
      <x:c r="A25" t="inlineStr">
        <x:is>
          <x:t xml:space="preserve">In Progress</x:t>
        </x:is>
      </x:c>
    </x:row>
    <x:row r="26">
      <x:c r="A26" t="inlineStr">
        <x:is>
          <x:t xml:space="preserve">Closed</x:t>
        </x:is>
      </x:c>
    </x:row>
    <x:row r="27">
      <x:c r="A27" t="inlineStr">
        <x:is>
          <x:t xml:space="preserve">Accepted Risk</x:t>
        </x:is>
      </x:c>
    </x:row>
    <x:row r="30">
      <x:c r="A30" s="1" t="inlineStr">
        <x:is>
          <x:t xml:space="preserve">Action Status</x:t>
        </x:is>
      </x:c>
    </x:row>
    <x:row r="31">
      <x:c r="A31" t="inlineStr">
        <x:is>
          <x:t xml:space="preserve">Open</x:t>
        </x:is>
      </x:c>
    </x:row>
    <x:row r="32">
      <x:c r="A32" t="inlineStr">
        <x:is>
          <x:t xml:space="preserve">In Progress</x:t>
        </x:is>
      </x:c>
    </x:row>
    <x:row r="33">
      <x:c r="A33" t="inlineStr">
        <x:is>
          <x:t xml:space="preserve">Complete</x:t>
        </x:is>
      </x:c>
    </x:row>
    <x:row r="34">
      <x:c r="A34" t="inlineStr">
        <x:is>
          <x:t xml:space="preserve">Cancelled</x:t>
        </x:is>
      </x:c>
    </x:row>
    <x:row r="37">
      <x:c r="A37" s="1" t="inlineStr">
        <x:is>
          <x:t xml:space="preserve">Testing Cadence</x:t>
        </x:is>
      </x:c>
    </x:row>
    <x:row r="38">
      <x:c r="A38" t="inlineStr">
        <x:is>
          <x:t xml:space="preserve">Monthly</x:t>
        </x:is>
      </x:c>
    </x:row>
    <x:row r="39">
      <x:c r="A39" t="inlineStr">
        <x:is>
          <x:t xml:space="preserve">Quarterly</x:t>
        </x:is>
      </x:c>
    </x:row>
    <x:row r="40">
      <x:c r="A40" t="inlineStr">
        <x:is>
          <x:t xml:space="preserve">Semi-Annual</x:t>
        </x:is>
      </x:c>
    </x:row>
    <x:row r="41">
      <x:c r="A41" t="inlineStr">
        <x:is>
          <x:t xml:space="preserve">Annual</x:t>
        </x:is>
      </x:c>
    </x:row>
    <x:row r="42">
      <x:c r="A42" t="inlineStr">
        <x:is>
          <x:t xml:space="preserve">Ad hoc</x:t>
        </x:is>
      </x:c>
    </x:row>
    <x:row r="45">
      <x:c r="A45" s="1" t="inlineStr">
        <x:is>
          <x:t xml:space="preserve">Control Type</x:t>
        </x:is>
      </x:c>
    </x:row>
    <x:row r="46">
      <x:c r="A46" t="inlineStr">
        <x:is>
          <x:t xml:space="preserve">Preventive</x:t>
        </x:is>
      </x:c>
    </x:row>
    <x:row r="47">
      <x:c r="A47" t="inlineStr">
        <x:is>
          <x:t xml:space="preserve">Detective</x:t>
        </x:is>
      </x:c>
    </x:row>
    <x:row r="48">
      <x:c r="A48" t="inlineStr">
        <x:is>
          <x:t xml:space="preserve">Corrective</x:t>
        </x:is>
      </x:c>
    </x:row>
    <x:row r="51">
      <x:c r="A51" s="1" t="inlineStr">
        <x:is>
          <x:t xml:space="preserve">Control Nature</x:t>
        </x:is>
      </x:c>
    </x:row>
    <x:row r="52">
      <x:c r="A52" t="inlineStr">
        <x:is>
          <x:t xml:space="preserve">Manual</x:t>
        </x:is>
      </x:c>
    </x:row>
    <x:row r="53">
      <x:c r="A53" t="inlineStr">
        <x:is>
          <x:t xml:space="preserve">Automated</x:t>
        </x:is>
      </x:c>
    </x:row>
    <x:row r="54">
      <x:c r="A54" t="inlineStr">
        <x:is>
          <x:t xml:space="preserve">IT Dependent Manual</x:t>
        </x:is>
      </x:c>
    </x:row>
    <x:row r="57">
      <x:c r="A57" s="1" t="inlineStr">
        <x:is>
          <x:t xml:space="preserve">Test Type</x:t>
        </x:is>
      </x:c>
    </x:row>
    <x:row r="58">
      <x:c r="A58" t="inlineStr">
        <x:is>
          <x:t xml:space="preserve">Design Effectiveness</x:t>
        </x:is>
      </x:c>
    </x:row>
    <x:row r="59">
      <x:c r="A59" t="inlineStr">
        <x:is>
          <x:t xml:space="preserve">Operating Effectiveness</x:t>
        </x:is>
      </x:c>
    </x:row>
    <x:row r="60">
      <x:c r="A60" t="inlineStr">
        <x:is>
          <x:t xml:space="preserve">Both</x:t>
        </x:is>
      </x:c>
    </x:row>
    <x:row r="63">
      <x:c r="A63" s="1" t="inlineStr">
        <x:is>
          <x:t xml:space="preserve">Audit Status</x:t>
        </x:is>
      </x:c>
    </x:row>
    <x:row r="64">
      <x:c r="A64" t="inlineStr">
        <x:is>
          <x:t xml:space="preserve">Planned</x:t>
        </x:is>
      </x:c>
    </x:row>
    <x:row r="65">
      <x:c r="A65" t="inlineStr">
        <x:is>
          <x:t xml:space="preserve">Fieldwork</x:t>
        </x:is>
      </x:c>
    </x:row>
    <x:row r="66">
      <x:c r="A66" t="inlineStr">
        <x:is>
          <x:t xml:space="preserve">Reporting</x:t>
        </x:is>
      </x:c>
    </x:row>
    <x:row r="67">
      <x:c r="A67" t="inlineStr">
        <x:is>
          <x:t xml:space="preserve">Issued</x:t>
        </x:is>
      </x:c>
    </x:row>
    <x:row r="68">
      <x:c r="A68" t="inlineStr">
        <x:is>
          <x:t xml:space="preserve">Deferred</x:t>
        </x:is>
      </x:c>
    </x:row>
    <x:row r="69">
      <x:c r="A69" t="inlineStr">
        <x:is>
          <x:t xml:space="preserve">Cancelled</x:t>
        </x:is>
      </x:c>
    </x:row>
    <x:row r="72">
      <x:c r="A72" s="1" t="inlineStr">
        <x:is>
          <x:t xml:space="preserve">Audit Frequency</x:t>
        </x:is>
      </x:c>
    </x:row>
    <x:row r="73">
      <x:c r="A73" t="inlineStr">
        <x:is>
          <x:t xml:space="preserve">Monthly</x:t>
        </x:is>
      </x:c>
    </x:row>
    <x:row r="74">
      <x:c r="A74" t="inlineStr">
        <x:is>
          <x:t xml:space="preserve">Quarterly</x:t>
        </x:is>
      </x:c>
    </x:row>
    <x:row r="75">
      <x:c r="A75" t="inlineStr">
        <x:is>
          <x:t xml:space="preserve">Semi-Annual</x:t>
        </x:is>
      </x:c>
    </x:row>
    <x:row r="76">
      <x:c r="A76" t="inlineStr">
        <x:is>
          <x:t xml:space="preserve">Annual</x:t>
        </x:is>
      </x:c>
    </x:row>
    <x:row r="77">
      <x:c r="A77" t="inlineStr">
        <x:is>
          <x:t xml:space="preserve">Bi-Annual</x:t>
        </x:is>
      </x:c>
    </x:row>
    <x:row r="78">
      <x:c r="A78" t="inlineStr">
        <x:is>
          <x:t xml:space="preserve">Ad hoc</x:t>
        </x:is>
      </x:c>
    </x:row>
    <x:row r="81">
      <x:c r="A81" s="1" t="inlineStr">
        <x:is>
          <x:t xml:space="preserve">Month Abbrev</x:t>
        </x:is>
      </x:c>
    </x:row>
    <x:row r="82">
      <x:c r="A82" t="inlineStr">
        <x:is>
          <x:t xml:space="preserve">Jan</x:t>
        </x:is>
      </x:c>
    </x:row>
    <x:row r="83">
      <x:c r="A83" t="inlineStr">
        <x:is>
          <x:t xml:space="preserve">Feb</x:t>
        </x:is>
      </x:c>
    </x:row>
    <x:row r="84">
      <x:c r="A84" t="inlineStr">
        <x:is>
          <x:t xml:space="preserve">Mar</x:t>
        </x:is>
      </x:c>
    </x:row>
    <x:row r="85">
      <x:c r="A85" t="inlineStr">
        <x:is>
          <x:t xml:space="preserve">Apr</x:t>
        </x:is>
      </x:c>
    </x:row>
    <x:row r="86">
      <x:c r="A86" t="inlineStr">
        <x:is>
          <x:t xml:space="preserve">May</x:t>
        </x:is>
      </x:c>
    </x:row>
    <x:row r="87">
      <x:c r="A87" t="inlineStr">
        <x:is>
          <x:t xml:space="preserve">Jun</x:t>
        </x:is>
      </x:c>
    </x:row>
    <x:row r="88">
      <x:c r="A88" t="inlineStr">
        <x:is>
          <x:t xml:space="preserve">Jul</x:t>
        </x:is>
      </x:c>
    </x:row>
    <x:row r="89">
      <x:c r="A89" t="inlineStr">
        <x:is>
          <x:t xml:space="preserve">Aug</x:t>
        </x:is>
      </x:c>
    </x:row>
    <x:row r="90">
      <x:c r="A90" t="inlineStr">
        <x:is>
          <x:t xml:space="preserve">Sep</x:t>
        </x:is>
      </x:c>
    </x:row>
    <x:row r="91">
      <x:c r="A91" t="inlineStr">
        <x:is>
          <x:t xml:space="preserve">Oct</x:t>
        </x:is>
      </x:c>
    </x:row>
    <x:row r="92">
      <x:c r="A92" t="inlineStr">
        <x:is>
          <x:t xml:space="preserve">Nov</x:t>
        </x:is>
      </x:c>
    </x:row>
    <x:row r="93">
      <x:c r="A93" t="inlineStr">
        <x:is>
          <x:t xml:space="preserve">Dec</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0" customWidth="1"/>
  </x:cols>
  <x:sheetData>
    <x:row r="1" ht="26" customHeight="1">
      <x:c r="A1" s="2" t="inlineStr">
        <x:is>
          <x:t xml:space="preserve">Google GRC Tool (Controls • Monthly Testing • Audits • Issues)</x:t>
        </x:is>
      </x:c>
    </x:row>
    <x:row r="3">
      <x:c r="A3" s="3" t="inlineStr">
        <x:is>
          <x:t xml:space="preserve">Quick start:</x:t>
        </x:is>
      </x:c>
    </x:row>
    <x:row r="4">
      <x:c r="A4" s="4" t="inlineStr">
        <x:is>
          <x:t xml:space="preserve">1) Maintain the Control_Library (one row per control).</x:t>
        </x:is>
      </x:c>
    </x:row>
    <x:row r="5">
      <x:c r="A5" s="4" t="inlineStr">
        <x:is>
          <x:t xml:space="preserve">2) Monthly_Test_Plan is pre-generated for the year; filter by Month to see what to test.</x:t>
        </x:is>
      </x:c>
    </x:row>
    <x:row r="6">
      <x:c r="A6" s="4" t="inlineStr">
        <x:is>
          <x:t xml:space="preserve">3) Record testing in Test_Execution. If Result is Fail/Exception, log an Issue in Issues_Log.</x:t>
        </x:is>
      </x:c>
    </x:row>
    <x:row r="7">
      <x:c r="A7" s="4" t="inlineStr">
        <x:is>
          <x:t xml:space="preserve">4) Track remediation in Action_Tracker until closure; keep evidence links.</x:t>
        </x:is>
      </x:c>
    </x:row>
    <x:row r="8">
      <x:c r="A8" s="4" t="inlineStr">
        <x:is>
          <x:t xml:space="preserve">5) Use Audit_Program and Audit_Calendar to plan audits; log findings as Issues.</x:t>
        </x:is>
      </x:c>
    </x:row>
    <x:row r="9">
      <x:c r="A9" s="4" t="inlineStr">
        <x:is>
          <x:t xml:space="preserve">6) Dashboard updates automatically.</x:t>
        </x:is>
      </x:c>
    </x:row>
    <x:row r="12">
      <x:c r="A12" s="4" t="inlineStr">
        <x:is>
          <x:t xml:space="preserve">Google Sheets tip: Data → Create a filter view per sheet (so everyone can filter without changing others’ view).</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customWidth="1"/>
    <x:col min="2" max="2" width="45" customWidth="1"/>
    <x:col min="3" max="3" width="14" customWidth="1"/>
    <x:col min="4" max="4" width="35" customWidth="1"/>
    <x:col min="5" max="5" width="60" customWidth="1"/>
    <x:col min="6" max="6" width="16" customWidth="1"/>
    <x:col min="7" max="7" width="28" customWidth="1"/>
  </x:cols>
  <x:sheetData>
    <x:row r="1" ht="22" customHeight="1">
      <x:c r="A1" s="5" t="inlineStr">
        <x:is>
          <x:t xml:space="preserve">CODE</x:t>
        </x:is>
      </x:c>
      <x:c r="B1" s="5" t="inlineStr">
        <x:is>
          <x:t xml:space="preserve">KEY AREAS</x:t>
        </x:is>
      </x:c>
      <x:c r="C1" s="5" t="inlineStr">
        <x:is>
          <x:t xml:space="preserve">MCS STATUS</x:t>
        </x:is>
      </x:c>
      <x:c r="D1" s="5" t="inlineStr">
        <x:is>
          <x:t xml:space="preserve">RISKS</x:t>
        </x:is>
      </x:c>
      <x:c r="E1" s="5" t="inlineStr">
        <x:is>
          <x:t xml:space="preserve">CONTROL ACTIVITY</x:t>
        </x:is>
      </x:c>
      <x:c r="F1" s="5" t="inlineStr">
        <x:is>
          <x:t xml:space="preserve">CONTROL FREQUENCY</x:t>
        </x:is>
      </x:c>
      <x:c r="G1" s="5" t="inlineStr">
        <x:is>
          <x:t xml:space="preserve">CONTROL OWNER</x:t>
        </x:is>
      </x:c>
    </x:row>
    <x:row r="2" ht="60" customHeight="1">
      <x:c r="A2" s="6" t="inlineStr">
        <x:is>
          <x:t xml:space="preserve">MCS01</x:t>
        </x:is>
      </x:c>
      <x:c r="B2" s="6" t="inlineStr">
        <x:is>
          <x:t xml:space="preserve">Communication and promotion of the Code of Business Conduct and speak-up culture</x:t>
        </x:is>
      </x:c>
      <x:c r="C2" s="7" t="n"/>
      <x:c r="D2" s="6" t="inlineStr">
        <x:is>
          <x:t xml:space="preserve">Corruption and Bribery, Money Laundering</x:t>
        </x:is>
      </x:c>
      <x:c r="E2" s="6" t="inlineStr">
        <x:is>
          <x:t xml:space="preserve">The Code of Business Conduct (CoBC) is communicated to all new employees, with a short introduction, at on-boarding &amp; Annually</x:t>
        </x:is>
      </x:c>
      <x:c r="F2" s="7" t="inlineStr">
        <x:is>
          <x:t xml:space="preserve">A, M</x:t>
        </x:is>
      </x:c>
      <x:c r="G2" s="6" t="inlineStr">
        <x:is>
          <x:t xml:space="preserve">Omoyemi Tuga Olamide Ayo-Ogunlade </x:t>
        </x:is>
      </x:c>
    </x:row>
    <x:row r="3" ht="60" customHeight="1">
      <x:c r="A3" s="6" t="inlineStr">
        <x:is>
          <x:t xml:space="preserve">MCS02</x:t>
        </x:is>
      </x:c>
      <x:c r="B3" s="6" t="inlineStr">
        <x:is>
          <x:t xml:space="preserve">Compliance with Fair Competition laws and requirements</x:t>
        </x:is>
      </x:c>
      <x:c r="C3" s="7" t="n"/>
      <x:c r="D3" s="6" t="inlineStr">
        <x:is>
          <x:t xml:space="preserve">Infringement of Fair Competition regulations</x:t>
        </x:is>
      </x:c>
      <x:c r="E3" s="6" t="inlineStr">
        <x:is>
          <x:t xml:space="preserve">Employees must comply with the Fair Competition Directive and applicable local competition laws. </x:t>
        </x:is>
      </x:c>
      <x:c r="F3" s="7" t="inlineStr">
        <x:is>
          <x:t xml:space="preserve">A</x:t>
        </x:is>
      </x:c>
      <x:c r="G3" s="6" t="inlineStr">
        <x:is>
          <x:t xml:space="preserve">Mary Waititu</x:t>
        </x:is>
      </x:c>
    </x:row>
    <x:row r="4" ht="60" customHeight="1">
      <x:c r="A4" s="6" t="inlineStr">
        <x:is>
          <x:t xml:space="preserve">MCS03</x:t>
        </x:is>
      </x:c>
      <x:c r="B4" s="6" t="inlineStr">
        <x:is>
          <x:t xml:space="preserve">Related party transactions and conflict of interests</x:t>
        </x:is>
      </x:c>
      <x:c r="C4" s="7" t="n"/>
      <x:c r="D4" s="6" t="inlineStr">
        <x:is>
          <x:t xml:space="preserve">Poor tone at the top</x:t>
        </x:is>
      </x:c>
      <x:c r="E4" s="6" t="inlineStr">
        <x:is>
          <x:t xml:space="preserve">Perform Conflict of Interests communication annually.</x:t>
        </x:is>
      </x:c>
      <x:c r="F4" s="7" t="inlineStr">
        <x:is>
          <x:t xml:space="preserve">M, A</x:t>
        </x:is>
      </x:c>
      <x:c r="G4" s="6" t="inlineStr">
        <x:is>
          <x:t xml:space="preserve">Mary Waititu Godson Iwuozo</x:t>
        </x:is>
      </x:c>
    </x:row>
    <x:row r="5" ht="60" customHeight="1">
      <x:c r="A5" s="6" t="inlineStr">
        <x:is>
          <x:t xml:space="preserve">MCS04</x:t>
        </x:is>
      </x:c>
      <x:c r="B5" s="6" t="inlineStr">
        <x:is>
          <x:t xml:space="preserve">Board of Directors secretarial requirements</x:t>
        </x:is>
      </x:c>
      <x:c r="C5" s="7" t="n"/>
      <x:c r="D5" s="6" t="inlineStr">
        <x:is>
          <x:t xml:space="preserve">Lack of Board’s oversight responsibilities over risk and internal control</x:t>
        </x:is>
      </x:c>
      <x:c r="E5" s="6" t="inlineStr">
        <x:is>
          <x:t xml:space="preserve">Maintain Key corporate documents and records in accordance with applicable retention policies</x:t>
        </x:is>
      </x:c>
      <x:c r="F5" s="7" t="inlineStr">
        <x:is>
          <x:t xml:space="preserve">A, UPR, M, Q</x:t>
        </x:is>
      </x:c>
      <x:c r="G5" s="6" t="inlineStr">
        <x:is>
          <x:t xml:space="preserve">Mary Waititu Godson Iwuozo</x:t>
        </x:is>
      </x:c>
    </x:row>
    <x:row r="6" ht="60" customHeight="1">
      <x:c r="A6" s="6" t="inlineStr">
        <x:is>
          <x:t xml:space="preserve">MCS05</x:t>
        </x:is>
      </x:c>
      <x:c r="B6" s="6" t="inlineStr">
        <x:is>
          <x:t xml:space="preserve">Health, Safety &amp; Environment</x:t>
        </x:is>
      </x:c>
      <x:c r="C6" s="7" t="n"/>
      <x:c r="D6" s="6" t="inlineStr">
        <x:is>
          <x:t xml:space="preserve">Health &amp; Safety issue (injuries, fatalities, illness) or incident  </x:t>
        </x:is>
      </x:c>
      <x:c r="E6" s="6" t="inlineStr">
        <x:is>
          <x:t xml:space="preserve">An annual Health, Safety &amp; Environment Improvement Plan. </x:t>
        </x:is>
      </x:c>
      <x:c r="F6" s="7" t="inlineStr">
        <x:is>
          <x:t xml:space="preserve">A</x:t>
        </x:is>
      </x:c>
      <x:c r="G6" s="6" t="inlineStr">
        <x:is>
          <x:t xml:space="preserve">Omoyemi Tuga Yomi Jegede</x:t>
        </x:is>
      </x:c>
    </x:row>
    <x:row r="7" ht="60" customHeight="1">
      <x:c r="A7" s="6" t="inlineStr">
        <x:is>
          <x:t xml:space="preserve">MCS06</x:t>
        </x:is>
      </x:c>
      <x:c r="B7" s="6" t="inlineStr">
        <x:is>
          <x:t xml:space="preserve">Risk assessment</x:t>
        </x:is>
      </x:c>
      <x:c r="C7" s="7" t="n"/>
      <x:c r="D7" s="6" t="inlineStr">
        <x:is>
          <x:t xml:space="preserve">Poor tone at the top</x:t>
        </x:is>
      </x:c>
      <x:c r="E7" s="6" t="inlineStr">
        <x:is>
          <x:t xml:space="preserve">A risk assessment is performed annually  </x:t>
        </x:is>
      </x:c>
      <x:c r="F7" s="7" t="inlineStr">
        <x:is>
          <x:t xml:space="preserve">A</x:t>
        </x:is>
      </x:c>
      <x:c r="G7" s="6" t="inlineStr">
        <x:is>
          <x:t xml:space="preserve">Oluwaseun Oyedepo</x:t>
        </x:is>
      </x:c>
    </x:row>
    <x:row r="8" ht="60" customHeight="1">
      <x:c r="A8" s="6" t="inlineStr">
        <x:is>
          <x:t xml:space="preserve">MCS07</x:t>
        </x:is>
      </x:c>
      <x:c r="B8" s="6" t="inlineStr">
        <x:is>
          <x:t xml:space="preserve">Mitigation of business risks - Security</x:t>
        </x:is>
      </x:c>
      <x:c r="C8" s="7" t="n"/>
      <x:c r="D8" s="6" t="inlineStr">
        <x:is>
          <x:t xml:space="preserve">Assault on person.</x:t>
        </x:is>
      </x:c>
      <x:c r="E8" s="6" t="inlineStr">
        <x:is>
          <x:t xml:space="preserve">Maintain weekly dashboard to verify visibility of all international and Local business travelers in the Travel Tracker. </x:t>
        </x:is>
      </x:c>
      <x:c r="F8" s="7" t="inlineStr">
        <x:is>
          <x:t xml:space="preserve">A</x:t>
        </x:is>
      </x:c>
      <x:c r="G8" s="6" t="inlineStr">
        <x:is>
          <x:t xml:space="preserve">Olamide Ayo-Ogunlade Obinna Ojimba</x:t>
        </x:is>
      </x:c>
    </x:row>
    <x:row r="9" ht="60" customHeight="1">
      <x:c r="A9" s="6" t="inlineStr">
        <x:is>
          <x:t xml:space="preserve">MCS08</x:t>
        </x:is>
      </x:c>
      <x:c r="B9" s="6" t="inlineStr">
        <x:is>
          <x:t xml:space="preserve">Mitigation of business risks - Group insurance</x:t>
        </x:is>
      </x:c>
      <x:c r="C9" s="7" t="n"/>
      <x:c r="D9" s="6" t="inlineStr">
        <x:is>
          <x:t xml:space="preserve"> Lack of insurance coverage </x:t>
        </x:is>
      </x:c>
      <x:c r="E9" s="6" t="inlineStr">
        <x:is>
          <x:t xml:space="preserve">Annual approval by Global CFO of property insurance values for accuracy  and adequacy</x:t>
        </x:is>
      </x:c>
      <x:c r="F9" s="7" t="inlineStr">
        <x:is>
          <x:t xml:space="preserve">A, UPR</x:t>
        </x:is>
      </x:c>
      <x:c r="G9" s="6" t="inlineStr">
        <x:is>
          <x:t xml:space="preserve">Victory Olumuyiwa</x:t>
        </x:is>
      </x:c>
    </x:row>
    <x:row r="10" ht="60" customHeight="1">
      <x:c r="A10" s="6" t="inlineStr">
        <x:is>
          <x:t xml:space="preserve">MCS09</x:t>
        </x:is>
      </x:c>
      <x:c r="B10" s="6" t="inlineStr">
        <x:is>
          <x:t xml:space="preserve">Mitigation of business risks - Business Resilience System</x:t>
        </x:is>
      </x:c>
      <x:c r="C10" s="7" t="n"/>
      <x:c r="D10" s="6" t="inlineStr">
        <x:is>
          <x:t xml:space="preserve">Supply chain disruption</x:t>
        </x:is>
      </x:c>
      <x:c r="E10" s="6" t="inlineStr">
        <x:is>
          <x:t xml:space="preserve">Every Country must have Country Business Resilience Plan .</x:t>
        </x:is>
      </x:c>
      <x:c r="F10" s="7" t="inlineStr">
        <x:is>
          <x:t xml:space="preserve">A</x:t>
        </x:is>
      </x:c>
      <x:c r="G10" s="6" t="inlineStr">
        <x:is>
          <x:t xml:space="preserve">Oluwaseun Oyedepo</x:t>
        </x:is>
      </x:c>
    </x:row>
    <x:row r="11" ht="60" customHeight="1">
      <x:c r="A11" s="6" t="inlineStr">
        <x:is>
          <x:t xml:space="preserve">MCS10</x:t>
        </x:is>
      </x:c>
      <x:c r="B11" s="6" t="inlineStr">
        <x:is>
          <x:t xml:space="preserve">Mitigation of business risks - Remediation of deficiencies and non-compliance with MCS</x:t>
        </x:is>
      </x:c>
      <x:c r="C11" s="7" t="n"/>
      <x:c r="D11" s="6" t="inlineStr">
        <x:is>
          <x:t xml:space="preserve">Poor tone at the top.</x:t>
        </x:is>
      </x:c>
      <x:c r="E11" s="6" t="inlineStr">
        <x:is>
          <x:t xml:space="preserve">Approval by Global/Regional Finance Controller is required for local Country controls when MCS is not Practicable</x:t>
        </x:is>
      </x:c>
      <x:c r="F11" s="7" t="inlineStr">
        <x:is>
          <x:t xml:space="preserve">A</x:t>
        </x:is>
      </x:c>
      <x:c r="G11" s="6" t="inlineStr">
        <x:is>
          <x:t xml:space="preserve">Oluwaseun Oyedepo</x:t>
        </x:is>
      </x:c>
    </x:row>
    <x:row r="12" ht="60" customHeight="1">
      <x:c r="A12" s="6" t="inlineStr">
        <x:is>
          <x:t xml:space="preserve">MCS11</x:t>
        </x:is>
      </x:c>
      <x:c r="B12" s="6" t="inlineStr">
        <x:is>
          <x:t xml:space="preserve">Personal data protection</x:t>
        </x:is>
      </x:c>
      <x:c r="C12" s="7" t="n"/>
      <x:c r="D12" s="6" t="inlineStr">
        <x:is>
          <x:t xml:space="preserve">Unauthorized use of company &amp; personal information (incl. non compliance with GDPR)</x:t>
        </x:is>
      </x:c>
      <x:c r="E12" s="6" t="inlineStr">
        <x:is>
          <x:t xml:space="preserve">The Data Privacy Notice/Policy is made available to all existing employees and distributed to new employees during the onboarding process.</x:t>
        </x:is>
      </x:c>
      <x:c r="F12" s="7" t="inlineStr">
        <x:is>
          <x:t xml:space="preserve">A, M, UPR, Q</x:t>
        </x:is>
      </x:c>
      <x:c r="G12" s="6" t="inlineStr">
        <x:is>
          <x:t xml:space="preserve">Olamide Ayo-Ogunlade @</x:t>
        </x:is>
      </x:c>
    </x:row>
    <x:row r="13" ht="60" customHeight="1">
      <x:c r="A13" s="6" t="inlineStr">
        <x:is>
          <x:t xml:space="preserve">MCS12</x:t>
        </x:is>
      </x:c>
      <x:c r="B13" s="6" t="inlineStr">
        <x:is>
          <x:t xml:space="preserve">Segregation of duties and user access review</x:t>
        </x:is>
      </x:c>
      <x:c r="C13" s="7" t="n"/>
      <x:c r="D13" s="6" t="inlineStr">
        <x:is>
          <x:t xml:space="preserve">Unauthorized access, disclosure, modification, damage or loss of data </x:t>
        </x:is>
      </x:c>
      <x:c r="E13" s="6" t="inlineStr">
        <x:is>
          <x:t xml:space="preserve">A review of all user accounts to ensure that users have access according to their job roles.</x:t>
        </x:is>
      </x:c>
      <x:c r="F13" s="7" t="inlineStr">
        <x:is>
          <x:t xml:space="preserve">A</x:t>
        </x:is>
      </x:c>
      <x:c r="G13" s="6" t="inlineStr">
        <x:is>
          <x:t xml:space="preserve">Theophilus Okolie</x:t>
        </x:is>
      </x:c>
    </x:row>
    <x:row r="14" ht="60" customHeight="1">
      <x:c r="A14" s="6" t="inlineStr">
        <x:is>
          <x:t xml:space="preserve">MCS13</x:t>
        </x:is>
      </x:c>
      <x:c r="B14" s="6" t="inlineStr">
        <x:is>
          <x:t xml:space="preserve">Delegation of authorities and approval workflows</x:t>
        </x:is>
      </x:c>
      <x:c r="C14" s="7" t="n"/>
      <x:c r="D14" s="6" t="inlineStr">
        <x:is>
          <x:t xml:space="preserve">Authority and responsibility not clearly and formally assigned</x:t>
        </x:is>
      </x:c>
      <x:c r="E14" s="6" t="inlineStr">
        <x:is>
          <x:t xml:space="preserve">Approval by the local Board of Directors, if applicable of the authorization policy which includes  Delegated Authorities requirements</x:t>
        </x:is>
      </x:c>
      <x:c r="F14" s="7" t="inlineStr">
        <x:is>
          <x:t xml:space="preserve">A</x:t>
        </x:is>
      </x:c>
      <x:c r="G14" s="6" t="inlineStr">
        <x:is>
          <x:t xml:space="preserve">Ramakant Patil</x:t>
        </x:is>
      </x:c>
    </x:row>
    <x:row r="15" ht="60" customHeight="1">
      <x:c r="A15" s="6" t="inlineStr">
        <x:is>
          <x:t xml:space="preserve">MCS14</x:t>
        </x:is>
      </x:c>
      <x:c r="B15" s="6" t="inlineStr">
        <x:is>
          <x:t xml:space="preserve">Litigation disputes</x:t>
        </x:is>
      </x:c>
      <x:c r="C15" s="7" t="n"/>
      <x:c r="D15" s="6" t="inlineStr">
        <x:is>
          <x:t xml:space="preserve"> Failure in litigation management </x:t>
        </x:is>
      </x:c>
      <x:c r="E15" s="6" t="inlineStr">
        <x:is>
          <x:t xml:space="preserve">Monthly report tracking all litigation cases should be maintained by  Legal </x:t>
        </x:is>
      </x:c>
      <x:c r="F15" s="7" t="inlineStr">
        <x:is>
          <x:t xml:space="preserve">M</x:t>
        </x:is>
      </x:c>
      <x:c r="G15" s="6" t="inlineStr">
        <x:is>
          <x:t xml:space="preserve">Mary Waititu</x:t>
        </x:is>
      </x:c>
    </x:row>
    <x:row r="16" ht="60" customHeight="1">
      <x:c r="A16" s="6" t="inlineStr">
        <x:is>
          <x:t xml:space="preserve">MCS15</x:t>
        </x:is>
      </x:c>
      <x:c r="B16" s="6" t="inlineStr">
        <x:is>
          <x:t xml:space="preserve">Review of contracts by finance</x:t>
        </x:is>
      </x:c>
      <x:c r="C16" s="7" t="n"/>
      <x:c r="D16" s="6" t="inlineStr">
        <x:is>
          <x:t xml:space="preserve"> Unauthorized transactions/ contracts made on behalf of SunKing.</x:t>
        </x:is>
      </x:c>
      <x:c r="E16" s="6" t="inlineStr">
        <x:is>
          <x:t xml:space="preserve">Finance Controller to review and approve all contracts in a foreign/ local currency, leases and all material commitments to ensure proper accounting.</x:t>
        </x:is>
      </x:c>
      <x:c r="F16" s="7" t="inlineStr">
        <x:is>
          <x:t xml:space="preserve">UPR</x:t>
        </x:is>
      </x:c>
      <x:c r="G16" s="6" t="inlineStr">
        <x:is>
          <x:t xml:space="preserve">Ovie Itie</x:t>
        </x:is>
      </x:c>
    </x:row>
    <x:row r="17" ht="60" customHeight="1">
      <x:c r="A17" s="6" t="inlineStr">
        <x:is>
          <x:t xml:space="preserve">MCS16</x:t>
        </x:is>
      </x:c>
      <x:c r="B17" s="6" t="inlineStr">
        <x:is>
          <x:t xml:space="preserve">Management of titles and permits</x:t>
        </x:is>
      </x:c>
      <x:c r="C17" s="7" t="n"/>
      <x:c r="D17" s="6" t="inlineStr">
        <x:is>
          <x:t xml:space="preserve"> Lack of valid titles, licenses and permits   Corruption and bribery</x:t>
        </x:is>
      </x:c>
      <x:c r="E17" s="6" t="inlineStr">
        <x:is>
          <x:t xml:space="preserve">List of permits and licenses are maintain by the Legal officer.</x:t>
        </x:is>
      </x:c>
      <x:c r="F17" s="7" t="inlineStr">
        <x:is>
          <x:t xml:space="preserve">UPR</x:t>
        </x:is>
      </x:c>
      <x:c r="G17" s="6" t="n"/>
    </x:row>
    <x:row r="18" ht="60" customHeight="1">
      <x:c r="A18" s="6" t="inlineStr">
        <x:is>
          <x:t xml:space="preserve">MCS18</x:t>
        </x:is>
      </x:c>
      <x:c r="B18" s="6" t="inlineStr">
        <x:is>
          <x:t xml:space="preserve">Classification and depreciation of property, plant &amp; equipment</x:t>
        </x:is>
      </x:c>
      <x:c r="C18" s="7" t="n"/>
      <x:c r="D18" s="6" t="inlineStr">
        <x:is>
          <x:t xml:space="preserve"> Inaccurate or fraudulent recording of fixed assets  Non-adherence to accounting and reporting requirements and standards</x:t>
        </x:is>
      </x:c>
      <x:c r="E18" s="6" t="inlineStr">
        <x:is>
          <x:t xml:space="preserve"> Approval by the RFC (or designee) to capitalize an expenditure according to the SARP classifications and assign the proper life and depreciation methods </x:t>
        </x:is>
      </x:c>
      <x:c r="F18" s="7" t="inlineStr">
        <x:is>
          <x:t xml:space="preserve">UPR</x:t>
        </x:is>
      </x:c>
      <x:c r="G18" s="6" t="n"/>
    </x:row>
    <x:row r="19" ht="60" customHeight="1">
      <x:c r="A19" s="6" t="inlineStr">
        <x:is>
          <x:t xml:space="preserve">MCS19</x:t>
        </x:is>
      </x:c>
      <x:c r="B19" s="6" t="inlineStr">
        <x:is>
          <x:t xml:space="preserve">Physical verification of Fixed Asset</x:t>
        </x:is>
      </x:c>
      <x:c r="C19" s="7" t="n"/>
      <x:c r="D19" s="6" t="inlineStr">
        <x:is>
          <x:t xml:space="preserve"> Inaccurate or fraudulent recording of fixed assets </x:t>
        </x:is>
      </x:c>
      <x:c r="E19" s="6" t="inlineStr">
        <x:is>
          <x:t xml:space="preserve"> Completion of a physical inventory of fixed assets is performed at least once every year with counts documented and differences identified and adjusted after approval by the FC</x:t>
        </x:is>
      </x:c>
      <x:c r="F19" s="7" t="inlineStr">
        <x:is>
          <x:t xml:space="preserve">UPR</x:t>
        </x:is>
      </x:c>
      <x:c r="G19" s="6" t="n"/>
    </x:row>
    <x:row r="20" ht="60" customHeight="1">
      <x:c r="A20" s="6" t="inlineStr">
        <x:is>
          <x:t xml:space="preserve">MCS20</x:t>
        </x:is>
      </x:c>
      <x:c r="B20" s="6" t="inlineStr">
        <x:is>
          <x:t xml:space="preserve">Management of customer and inventory master data</x:t>
        </x:is>
      </x:c>
      <x:c r="C20" s="7" t="n"/>
      <x:c r="D20" s="6" t="inlineStr">
        <x:is>
          <x:t xml:space="preserve"> Failure in customer master data creation or maintenance </x:t>
        </x:is>
      </x:c>
      <x:c r="E20" s="6" t="inlineStr">
        <x:is>
          <x:t xml:space="preserve">KYC must perform on all Easy Buy &amp; Partnership customers by corporate risk department (CRK) </x:t>
        </x:is>
      </x:c>
      <x:c r="F20" s="7" t="inlineStr">
        <x:is>
          <x:t xml:space="preserve">M, A, UPR</x:t>
        </x:is>
      </x:c>
      <x:c r="G20" s="6" t="inlineStr">
        <x:is>
          <x:t xml:space="preserve">Yomi Jegede</x:t>
        </x:is>
      </x:c>
    </x:row>
    <x:row r="21" ht="60" customHeight="1">
      <x:c r="A21" s="6" t="inlineStr">
        <x:is>
          <x:t xml:space="preserve">MCS21</x:t>
        </x:is>
      </x:c>
      <x:c r="B21" s="6" t="inlineStr">
        <x:is>
          <x:t xml:space="preserve">Price management</x:t>
        </x:is>
      </x:c>
      <x:c r="C21" s="7" t="n"/>
      <x:c r="D21" s="6" t="inlineStr">
        <x:is>
          <x:t xml:space="preserve"> Lack of commercial strategy and pricing policy </x:t>
        </x:is>
      </x:c>
      <x:c r="E21" s="6" t="inlineStr">
        <x:is>
          <x:t xml:space="preserve">Approval, as per the delegation of authority, of standard prices, price changes are reviewed and documented.</x:t>
        </x:is>
      </x:c>
      <x:c r="F21" s="7" t="inlineStr">
        <x:is>
          <x:t xml:space="preserve">Q, UPR</x:t>
        </x:is>
      </x:c>
      <x:c r="G21" s="6" t="n"/>
    </x:row>
    <x:row r="22" ht="60" customHeight="1">
      <x:c r="A22" s="6" t="inlineStr">
        <x:is>
          <x:t xml:space="preserve">MCS22.1</x:t>
        </x:is>
      </x:c>
      <x:c r="B22" s="6" t="inlineStr">
        <x:is>
          <x:t xml:space="preserve">Control of customer credit limits - Easybuy</x:t>
        </x:is>
      </x:c>
      <x:c r="C22" s="7" t="n"/>
      <x:c r="D22" s="6" t="inlineStr">
        <x:is>
          <x:t xml:space="preserve"> Lack of commercial strategy and pricing policy </x:t>
        </x:is>
      </x:c>
      <x:c r="E22" s="6" t="inlineStr">
        <x:is>
          <x:t xml:space="preserve">Different categories of agents and the criteria should be documented, reviewed and approved at least annually.</x:t>
        </x:is>
      </x:c>
      <x:c r="F22" s="7" t="inlineStr">
        <x:is>
          <x:t xml:space="preserve">UPR, Q</x:t>
        </x:is>
      </x:c>
      <x:c r="G22" s="6" t="inlineStr">
        <x:is>
          <x:t xml:space="preserve">Omoyemi Tuga Ogunsanmi Opeyemi Listbon</x:t>
        </x:is>
      </x:c>
    </x:row>
    <x:row r="23" ht="60" customHeight="1">
      <x:c r="A23" s="6" t="inlineStr">
        <x:is>
          <x:t xml:space="preserve">MCS22.2</x:t>
        </x:is>
      </x:c>
      <x:c r="B23" s="6" t="inlineStr">
        <x:is>
          <x:t xml:space="preserve">Control of customer credit limits - Partnership</x:t>
        </x:is>
      </x:c>
      <x:c r="C23" s="7" t="n"/>
      <x:c r="D23" s="6" t="inlineStr">
        <x:is>
          <x:t xml:space="preserve"> Lack of commercial strategy and pricing policy </x:t>
        </x:is>
      </x:c>
      <x:c r="E23" s="6" t="inlineStr">
        <x:is>
          <x:t xml:space="preserve">Monthly reconciliation of balances with partnership entity by Finance.</x:t>
        </x:is>
      </x:c>
      <x:c r="F23" s="7" t="inlineStr">
        <x:is>
          <x:t xml:space="preserve">UPR, A</x:t>
        </x:is>
      </x:c>
      <x:c r="G23" s="6" t="inlineStr">
        <x:is>
          <x:t xml:space="preserve">Eno Umoh Ameh Bright Agbo</x:t>
        </x:is>
      </x:c>
    </x:row>
    <x:row r="24" ht="60" customHeight="1">
      <x:c r="A24" s="6" t="inlineStr">
        <x:is>
          <x:t xml:space="preserve">MCS23</x:t>
        </x:is>
      </x:c>
      <x:c r="B24" s="6" t="inlineStr">
        <x:is>
          <x:t xml:space="preserve">Invoicing </x:t>
        </x:is>
      </x:c>
      <x:c r="C24" s="7" t="n"/>
      <x:c r="D24" s="6" t="inlineStr">
        <x:is>
          <x:t xml:space="preserve"> Inaccurate or fraudulent revenue recognition </x:t>
        </x:is>
      </x:c>
      <x:c r="E24" s="6" t="inlineStr">
        <x:is>
          <x:t xml:space="preserve">All sales orders, shipments and invoices are recorded in the Customer Relationship Management  (CRM) Applications. </x:t>
        </x:is>
      </x:c>
      <x:c r="F24" s="7" t="inlineStr">
        <x:is>
          <x:t xml:space="preserve">UPR, M</x:t>
        </x:is>
      </x:c>
      <x:c r="G24" s="6" t="inlineStr">
        <x:is>
          <x:t xml:space="preserve">Ramakant Patil</x:t>
        </x:is>
      </x:c>
    </x:row>
    <x:row r="25" ht="60" customHeight="1">
      <x:c r="A25" s="6" t="inlineStr">
        <x:is>
          <x:t xml:space="preserve">MCS24</x:t>
        </x:is>
      </x:c>
      <x:c r="B25" s="6" t="inlineStr">
        <x:is>
          <x:t xml:space="preserve">Accounts receivable valuation</x:t>
        </x:is>
      </x:c>
      <x:c r="C25" s="7" t="n"/>
      <x:c r="D25" s="6" t="inlineStr">
        <x:is>
          <x:t xml:space="preserve"> Unauthorized or erroneous sales orders and/or shipments.</x:t>
        </x:is>
      </x:c>
      <x:c r="E25" s="6" t="inlineStr">
        <x:is>
          <x:t xml:space="preserve">The assessment of the bad debt allowance is estimated using an expected credit loss (ECL) model. </x:t>
        </x:is>
      </x:c>
      <x:c r="F25" s="7" t="inlineStr">
        <x:is>
          <x:t xml:space="preserve">UPR, M</x:t>
        </x:is>
      </x:c>
      <x:c r="G25" s="6" t="inlineStr">
        <x:is>
          <x:t xml:space="preserve">Zainab Yunusah Saadu</x:t>
        </x:is>
      </x:c>
    </x:row>
    <x:row r="26" ht="60" customHeight="1">
      <x:c r="A26" s="6" t="inlineStr">
        <x:is>
          <x:t xml:space="preserve">MCS25</x:t>
        </x:is>
      </x:c>
      <x:c r="B26" s="6" t="inlineStr">
        <x:is>
          <x:t xml:space="preserve">Execution of onboarding, offboarding, master data management and transfers of workers</x:t>
        </x:is>
      </x:c>
      <x:c r="C26" s="7" t="n"/>
      <x:c r="D26" s="6" t="inlineStr">
        <x:is>
          <x:t xml:space="preserve"> Lack or ineffective HR management process (for example onboard, offboarding, worker transfer process) </x:t>
        </x:is>
      </x:c>
      <x:c r="E26" s="6" t="inlineStr">
        <x:is>
          <x:t xml:space="preserve">Signing, by the employee and the company, of employment contracts or hiring documentation for all employees, including a Compliance Reference Check for Senior positions.</x:t>
        </x:is>
      </x:c>
      <x:c r="F26" s="7" t="inlineStr">
        <x:is>
          <x:t xml:space="preserve">M, UPR</x:t>
        </x:is>
      </x:c>
      <x:c r="G26" s="6" t="n"/>
    </x:row>
    <x:row r="27" ht="60" customHeight="1">
      <x:c r="A27" s="6" t="inlineStr">
        <x:is>
          <x:t xml:space="preserve">MCS26</x:t>
        </x:is>
      </x:c>
      <x:c r="B27" s="6" t="inlineStr">
        <x:is>
          <x:t xml:space="preserve">Payroll</x:t>
        </x:is>
      </x:c>
      <x:c r="C27" s="7" t="n"/>
      <x:c r="D27" s="6" t="n"/>
      <x:c r="E27" s="6" t="n"/>
      <x:c r="F27" s="7" t="n"/>
      <x:c r="G27" s="6" t="inlineStr">
        <x:is>
          <x:t xml:space="preserve">Olamide Ayo-Ogunlade Oluwatosin Ogunsekan</x:t>
        </x:is>
      </x:c>
    </x:row>
    <x:row r="28" ht="60" customHeight="1">
      <x:c r="A28" s="6" t="inlineStr">
        <x:is>
          <x:t xml:space="preserve">MCS27</x:t>
        </x:is>
      </x:c>
      <x:c r="B28" s="6" t="inlineStr">
        <x:is>
          <x:t xml:space="preserve">Compliance with Labour law</x:t>
        </x:is>
      </x:c>
      <x:c r="C28" s="7" t="n"/>
      <x:c r="D28" s="6" t="n"/>
      <x:c r="E28" s="6" t="n"/>
      <x:c r="F28" s="7" t="n"/>
      <x:c r="G28" s="6" t="inlineStr">
        <x:is>
          <x:t xml:space="preserve">Olamide Ayo-Ogunlade Oluwatosin Ogunsekan</x:t>
        </x:is>
      </x:c>
    </x:row>
    <x:row r="29" ht="60" customHeight="1">
      <x:c r="A29" s="6" t="inlineStr">
        <x:is>
          <x:t xml:space="preserve">MCS28</x:t>
        </x:is>
      </x:c>
      <x:c r="B29" s="6" t="inlineStr">
        <x:is>
          <x:t xml:space="preserve">Employee pension and benefit plan</x:t>
        </x:is>
      </x:c>
      <x:c r="C29" s="7" t="n"/>
      <x:c r="D29" s="6" t="inlineStr">
        <x:is>
          <x:t xml:space="preserve"> Error in payroll process or unauthorized employee benefit </x:t>
        </x:is>
      </x:c>
      <x:c r="E29" s="6" t="inlineStr">
        <x:is>
          <x:t xml:space="preserve">Pensions and post-employment benefit plans are correctly valued by Finance representative</x:t>
        </x:is>
      </x:c>
      <x:c r="F29" s="7" t="inlineStr">
        <x:is>
          <x:t xml:space="preserve">UPR, M</x:t>
        </x:is>
      </x:c>
      <x:c r="G29" s="6" t="inlineStr">
        <x:is>
          <x:t xml:space="preserve">Olamide Ayo-Ogunlade Oluwatosin Ogunsekan</x:t>
        </x:is>
      </x:c>
    </x:row>
    <x:row r="30" ht="60" customHeight="1">
      <x:c r="A30" s="6" t="inlineStr">
        <x:is>
          <x:t xml:space="preserve">MCS 29</x:t>
        </x:is>
      </x:c>
      <x:c r="B30" s="6" t="inlineStr">
        <x:is>
          <x:t xml:space="preserve">Management of supplier master data</x:t>
        </x:is>
      </x:c>
      <x:c r="C30" s="7" t="n"/>
      <x:c r="D30" s="6" t="inlineStr">
        <x:is>
          <x:t xml:space="preserve"> Ineffective or unethical vendor selection.</x:t>
        </x:is>
      </x:c>
      <x:c r="E30" s="6" t="inlineStr">
        <x:is>
          <x:t xml:space="preserve">Changes to supplier master data are performed by an authorized user and based on an approved request</x:t>
        </x:is>
      </x:c>
      <x:c r="F30" s="7" t="inlineStr">
        <x:is>
          <x:t xml:space="preserve">UPR, Q</x:t>
        </x:is>
      </x:c>
      <x:c r="G30" s="6" t="inlineStr">
        <x:is>
          <x:t xml:space="preserve">Ramakant Patil Zainab Yunusah Saadu</x:t>
        </x:is>
      </x:c>
    </x:row>
    <x:row r="31" ht="60" customHeight="1">
      <x:c r="A31" s="6" t="inlineStr">
        <x:is>
          <x:t xml:space="preserve">MCS30</x:t>
        </x:is>
      </x:c>
      <x:c r="B31" s="6" t="inlineStr">
        <x:is>
          <x:t xml:space="preserve">Vendor Registration and Performance Management</x:t>
        </x:is>
      </x:c>
      <x:c r="C31" s="7" t="n"/>
      <x:c r="D31" s="6" t="inlineStr">
        <x:is>
          <x:t xml:space="preserve"> Ineffective or unethical vendor selection process.</x:t>
        </x:is>
      </x:c>
      <x:c r="E31" s="6" t="inlineStr">
        <x:is>
          <x:t xml:space="preserve">KYC compliance required for all vendors in line with KYC Policy. Exceptions to be supported with appropriate approval</x:t>
        </x:is>
      </x:c>
      <x:c r="F31" s="7" t="inlineStr">
        <x:is>
          <x:t xml:space="preserve">UPR, A</x:t>
        </x:is>
      </x:c>
      <x:c r="G31" s="6" t="inlineStr">
        <x:is>
          <x:t xml:space="preserve">Ramakant Patil Zainab Yunusah Saadu</x:t>
        </x:is>
      </x:c>
    </x:row>
    <x:row r="32" ht="60" customHeight="1">
      <x:c r="A32" s="6" t="inlineStr">
        <x:is>
          <x:t xml:space="preserve">MCS31</x:t>
        </x:is>
      </x:c>
      <x:c r="B32" s="6" t="inlineStr">
        <x:is>
          <x:t xml:space="preserve">Three-way match, two way match and direct vendor invoices</x:t>
        </x:is>
      </x:c>
      <x:c r="C32" s="7" t="n"/>
      <x:c r="D32" s="6" t="inlineStr">
        <x:is>
          <x:t xml:space="preserve">Fraudulent or incorrect purchase order </x:t>
        </x:is>
      </x:c>
      <x:c r="E32" s="6" t="inlineStr">
        <x:is>
          <x:t xml:space="preserve">Approval of Purchase request by Finance Department based on DOA.</x:t>
        </x:is>
      </x:c>
      <x:c r="F32" s="7" t="inlineStr">
        <x:is>
          <x:t xml:space="preserve">UPR</x:t>
        </x:is>
      </x:c>
      <x:c r="G32" s="6" t="inlineStr">
        <x:is>
          <x:t xml:space="preserve">Ramakant Patil Zainab Yunusah Saadu</x:t>
        </x:is>
      </x:c>
    </x:row>
    <x:row r="33" ht="60" customHeight="1">
      <x:c r="A33" s="6" t="inlineStr">
        <x:is>
          <x:t xml:space="preserve">MCS32</x:t>
        </x:is>
      </x:c>
      <x:c r="B33" s="6" t="inlineStr">
        <x:is>
          <x:t xml:space="preserve">Payment processing</x:t>
        </x:is>
      </x:c>
      <x:c r="C33" s="7" t="n"/>
      <x:c r="D33" s="6" t="inlineStr">
        <x:is>
          <x:t xml:space="preserve"> Unauthorized or erroneous processing of supplier payments </x:t>
        </x:is>
      </x:c>
      <x:c r="E33" s="6" t="inlineStr">
        <x:is>
          <x:t xml:space="preserve">Approval according to the Global Delegated Authorities, the local delegation of authority and related directives, of all payments and cash disbursements, prior to payment </x:t>
        </x:is>
      </x:c>
      <x:c r="F33" s="7" t="inlineStr">
        <x:is>
          <x:t xml:space="preserve">UPR, M</x:t>
        </x:is>
      </x:c>
      <x:c r="G33" s="6" t="inlineStr">
        <x:is>
          <x:t xml:space="preserve">Ramakant Patil Zainab Yunusah Saadu</x:t>
        </x:is>
      </x:c>
    </x:row>
    <x:row r="34" ht="60" customHeight="1">
      <x:c r="A34" s="6" t="inlineStr">
        <x:is>
          <x:t xml:space="preserve">MCS33</x:t>
        </x:is>
      </x:c>
      <x:c r="B34" s="6" t="inlineStr">
        <x:is>
          <x:t xml:space="preserve">3 Accruals for expenditures not invoiced</x:t>
        </x:is>
      </x:c>
      <x:c r="C34" s="7" t="n"/>
      <x:c r="D34" s="6" t="inlineStr">
        <x:is>
          <x:t xml:space="preserve"> Inaccurate or fraudulent recording of expenditure and accruals </x:t>
        </x:is>
      </x:c>
      <x:c r="E34" s="6" t="inlineStr">
        <x:is>
          <x:t xml:space="preserve">All goods receipt (GR) and services receipt (SR) should be recorded before the month end by the responsible locations</x:t>
        </x:is>
      </x:c>
      <x:c r="F34" s="7" t="inlineStr">
        <x:is>
          <x:t xml:space="preserve">UPR, M</x:t>
        </x:is>
      </x:c>
      <x:c r="G34" s="6" t="inlineStr">
        <x:is>
          <x:t xml:space="preserve">Ramakant Patil Zainab Yunusah Saadu</x:t>
        </x:is>
      </x:c>
    </x:row>
    <x:row r="35" ht="60" customHeight="1">
      <x:c r="A35" s="6" t="inlineStr">
        <x:is>
          <x:t xml:space="preserve">MCS34</x:t>
        </x:is>
      </x:c>
      <x:c r="B35" s="6" t="inlineStr">
        <x:is>
          <x:t xml:space="preserve">Physical Stock Count ,Reconciliation &amp; Valuation</x:t>
        </x:is>
      </x:c>
      <x:c r="C35" s="7" t="n"/>
      <x:c r="D35" s="6" t="inlineStr">
        <x:is>
          <x:t xml:space="preserve">Inaccurate or fraudulent recording and tracking of inventory</x:t>
        </x:is>
      </x:c>
      <x:c r="E35" s="6" t="inlineStr">
        <x:is>
          <x:t xml:space="preserve">Physical verification of inventory is conducted annually (or by rotation throughout the year) with counts documented and discrepancy.</x:t>
        </x:is>
      </x:c>
      <x:c r="F35" s="7" t="inlineStr">
        <x:is>
          <x:t xml:space="preserve">M, A</x:t>
        </x:is>
      </x:c>
      <x:c r="G35" s="6" t="inlineStr">
        <x:is>
          <x:t xml:space="preserve">Yomi Jegede Zainab Yunusah Saadu</x:t>
        </x:is>
      </x:c>
    </x:row>
    <x:row r="36" ht="60" customHeight="1">
      <x:c r="A36" s="6" t="inlineStr">
        <x:is>
          <x:t xml:space="preserve">MCS35</x:t>
        </x:is>
      </x:c>
      <x:c r="B36" s="6" t="inlineStr">
        <x:is>
          <x:t xml:space="preserve">Inventory Documentation (IMPEX)</x:t>
        </x:is>
      </x:c>
      <x:c r="C36" s="7" t="n"/>
      <x:c r="D36" s="6" t="inlineStr">
        <x:is>
          <x:t xml:space="preserve">Inaccurate or fraudulent recording and tracking of inventory </x:t>
        </x:is>
      </x:c>
      <x:c r="E36" s="6" t="inlineStr">
        <x:is>
          <x:t xml:space="preserve">Approval of the inventory costing and valuation according to the local delegation of authority (DoA).</x:t>
        </x:is>
      </x:c>
      <x:c r="F36" s="7" t="inlineStr">
        <x:is>
          <x:t xml:space="preserve">M, A</x:t>
        </x:is>
      </x:c>
      <x:c r="G36" s="6" t="inlineStr">
        <x:is>
          <x:t xml:space="preserve">Yomi Jegede Zainab Yunusah Saadu</x:t>
        </x:is>
      </x:c>
    </x:row>
    <x:row r="37" ht="60" customHeight="1">
      <x:c r="A37" s="6" t="inlineStr">
        <x:is>
          <x:t xml:space="preserve">MCS36</x:t>
        </x:is>
      </x:c>
      <x:c r="B37" s="6" t="inlineStr">
        <x:is>
          <x:t xml:space="preserve">Management of access to IT systems</x:t>
        </x:is>
      </x:c>
      <x:c r="C37" s="7" t="n"/>
      <x:c r="D37" s="6" t="inlineStr">
        <x:is>
          <x:t xml:space="preserve">Unauthorized access, disclosure, modification, damage or loss of data </x:t>
        </x:is>
      </x:c>
      <x:c r="E37" s="6" t="inlineStr">
        <x:is>
          <x:t xml:space="preserve"> Access to the IT systems will only be granted, changed or terminated based upon a correctly authorized access request as per defined procedureity of all internal users, and the SunKing sponsor for external users </x:t>
        </x:is>
      </x:c>
      <x:c r="F37" s="7" t="inlineStr">
        <x:is>
          <x:t xml:space="preserve">UPR</x:t>
        </x:is>
      </x:c>
      <x:c r="G37" s="6" t="inlineStr">
        <x:is>
          <x:t xml:space="preserve">Theophilus Okolie </x:t>
        </x:is>
      </x:c>
    </x:row>
    <x:row r="38" ht="60" customHeight="1">
      <x:c r="A38" s="6" t="inlineStr">
        <x:is>
          <x:t xml:space="preserve">MCS37</x:t>
        </x:is>
      </x:c>
      <x:c r="B38" s="6" t="inlineStr">
        <x:is>
          <x:t xml:space="preserve">Review of IT user access rights to production IT systems</x:t>
        </x:is>
      </x:c>
      <x:c r="C38" s="7" t="n"/>
      <x:c r="D38" s="6" t="inlineStr">
        <x:is>
          <x:t xml:space="preserve">Unauthorized access, disclosure, modification, damage or loss of data</x:t>
        </x:is>
      </x:c>
      <x:c r="E38" s="6" t="inlineStr">
        <x:is>
          <x:t xml:space="preserve">IT performs a half yearly review of all IT user access rights and permissions for accounts within the production systems. Half year</x:t>
        </x:is>
      </x:c>
      <x:c r="F38" s="7" t="inlineStr">
        <x:is>
          <x:t xml:space="preserve">UPR, HY</x:t>
        </x:is>
      </x:c>
      <x:c r="G38" s="6" t="inlineStr">
        <x:is>
          <x:t xml:space="preserve">Theophilus Okolie </x:t>
        </x:is>
      </x:c>
    </x:row>
    <x:row r="39" ht="60" customHeight="1">
      <x:c r="A39" s="6" t="inlineStr">
        <x:is>
          <x:t xml:space="preserve">MCS38</x:t>
        </x:is>
      </x:c>
      <x:c r="B39" s="6" t="inlineStr">
        <x:is>
          <x:t xml:space="preserve">Security configuration settings and batch job management</x:t>
        </x:is>
      </x:c>
      <x:c r="C39" s="7" t="n"/>
      <x:c r="D39" s="6" t="inlineStr">
        <x:is>
          <x:t xml:space="preserve">Unauthorized access, disclosure, modification, damage or loss of data </x:t>
        </x:is>
      </x:c>
      <x:c r="E39" s="6" t="inlineStr">
        <x:is>
          <x:t xml:space="preserve">IT performs a half yearly review of all IT user access rights and permissions for accounts within the production systems.</x:t>
        </x:is>
      </x:c>
      <x:c r="F39" s="7" t="inlineStr">
        <x:is>
          <x:t xml:space="preserve">HY, UPR</x:t>
        </x:is>
      </x:c>
      <x:c r="G39" s="6" t="inlineStr">
        <x:is>
          <x:t xml:space="preserve">Theophilus Okolie </x:t>
        </x:is>
      </x:c>
    </x:row>
    <x:row r="40" ht="60" customHeight="1">
      <x:c r="A40" s="6" t="inlineStr">
        <x:is>
          <x:t xml:space="preserve">MCS39</x:t>
        </x:is>
      </x:c>
      <x:c r="B40" s="6" t="inlineStr">
        <x:is>
          <x:t xml:space="preserve">Data backup, storage and restoration process</x:t>
        </x:is>
      </x:c>
      <x:c r="C40" s="7" t="n"/>
      <x:c r="D40" s="6" t="inlineStr">
        <x:is>
          <x:t xml:space="preserve">Business disruption due to IT/OT unavailability </x:t>
        </x:is>
      </x:c>
      <x:c r="E40" s="6" t="inlineStr">
        <x:is>
          <x:t xml:space="preserve">IT performs a half yearly review of all IT user access rights and permissions for accounts within the production systems</x:t>
        </x:is>
      </x:c>
      <x:c r="F40" s="7" t="inlineStr">
        <x:is>
          <x:t xml:space="preserve">UPR, HY</x:t>
        </x:is>
      </x:c>
      <x:c r="G40" s="6" t="inlineStr">
        <x:is>
          <x:t xml:space="preserve">Theophilus Okolie </x:t>
        </x:is>
      </x:c>
    </x:row>
    <x:row r="41" ht="60" customHeight="1">
      <x:c r="A41" s="6" t="inlineStr">
        <x:is>
          <x:t xml:space="preserve">MCS40</x:t>
        </x:is>
      </x:c>
      <x:c r="B41" s="6" t="inlineStr">
        <x:is>
          <x:t xml:space="preserve">Managing changes to IT systems</x:t>
        </x:is>
      </x:c>
      <x:c r="C41" s="7" t="n"/>
      <x:c r="D41" s="6" t="inlineStr">
        <x:is>
          <x:t xml:space="preserve">Unauthorized changes to the IT systems </x:t>
        </x:is>
      </x:c>
      <x:c r="E41" s="6" t="inlineStr">
        <x:is>
          <x:t xml:space="preserve">There is a verification that the requester is authorized to request changes to the relevant IT systems.</x:t>
        </x:is>
      </x:c>
      <x:c r="F41" s="7" t="inlineStr">
        <x:is>
          <x:t xml:space="preserve">UPR</x:t>
        </x:is>
      </x:c>
      <x:c r="G41" s="6" t="inlineStr">
        <x:is>
          <x:t xml:space="preserve">Theophilus Okolie </x:t>
        </x:is>
      </x:c>
    </x:row>
    <x:row r="42" ht="60" customHeight="1">
      <x:c r="A42" s="6" t="inlineStr">
        <x:is>
          <x:t xml:space="preserve">MCS41</x:t>
        </x:is>
      </x:c>
      <x:c r="B42" s="6" t="inlineStr">
        <x:is>
          <x:t xml:space="preserve">Compliance with accounting and reporting standards</x:t>
        </x:is>
      </x:c>
      <x:c r="C42" s="7" t="n"/>
      <x:c r="D42" s="6" t="inlineStr">
        <x:is>
          <x:t xml:space="preserve">Non-adherence to accounting and reporting requirements and standards</x:t>
        </x:is>
      </x:c>
      <x:c r="E42" s="6" t="inlineStr">
        <x:is>
          <x:t xml:space="preserve">Confirmation by the FC of compliance to SunKing Accounting and Reporting Principles (SARP) and International Financial Reporting Standards (IFRS) and Organization for the Harmonization of Business Law in Africa (OHADA) through the financial certification</x:t>
        </x:is>
      </x:c>
      <x:c r="F42" s="7" t="inlineStr">
        <x:is>
          <x:t xml:space="preserve">A</x:t>
        </x:is>
      </x:c>
      <x:c r="G42" s="6" t="inlineStr">
        <x:is>
          <x:t xml:space="preserve">Zainab Yunusah Saadu Daniel Banjo</x:t>
        </x:is>
      </x:c>
    </x:row>
    <x:row r="43" ht="60" customHeight="1">
      <x:c r="A43" s="6" t="inlineStr">
        <x:is>
          <x:t xml:space="preserve">MCS42</x:t>
        </x:is>
      </x:c>
      <x:c r="B43" s="6" t="inlineStr">
        <x:is>
          <x:t xml:space="preserve">Reconciliation of general ledger accounts</x:t>
        </x:is>
      </x:c>
      <x:c r="C43" s="7" t="n"/>
      <x:c r="D43" s="6" t="inlineStr">
        <x:is>
          <x:t xml:space="preserve">Inaccurate or fraudulent closing entries (incl. judgemental assumptions and estimates)</x:t>
        </x:is>
      </x:c>
      <x:c r="E43" s="6" t="inlineStr">
        <x:is>
          <x:t xml:space="preserve">Communication and monitoring by the FC (or designee) of a monthly closing checklist</x:t>
        </x:is>
      </x:c>
      <x:c r="F43" s="7" t="inlineStr">
        <x:is>
          <x:t xml:space="preserve">M</x:t>
        </x:is>
      </x:c>
      <x:c r="G43" s="6" t="inlineStr">
        <x:is>
          <x:t xml:space="preserve">Zainab Yunusah Saadu Daniel Banjo</x:t>
        </x:is>
      </x:c>
    </x:row>
    <x:row r="44" ht="60" customHeight="1">
      <x:c r="A44" s="6" t="inlineStr">
        <x:is>
          <x:t xml:space="preserve">MCS43</x:t>
        </x:is>
      </x:c>
      <x:c r="B44" s="6" t="inlineStr">
        <x:is>
          <x:t xml:space="preserve">Reconciliation of bank accounts</x:t>
        </x:is>
      </x:c>
      <x:c r="C44" s="7" t="n"/>
      <x:c r="D44" s="6" t="inlineStr">
        <x:is>
          <x:t xml:space="preserve">Inaccurate or fraudulent closing entries (incl. judgemental assumptions and estimates)
</x:t>
        </x:is>
      </x:c>
      <x:c r="E44" s="6" t="inlineStr">
        <x:is>
          <x:t xml:space="preserve">Monthly bank statements are obtained from the banks, and reconciliations with the general ledger (GL) are performed by the Finance responsible. 
</x:t>
        </x:is>
      </x:c>
      <x:c r="F44" s="7" t="inlineStr">
        <x:is>
          <x:t xml:space="preserve">M</x:t>
        </x:is>
      </x:c>
      <x:c r="G44" s="6" t="inlineStr">
        <x:is>
          <x:t xml:space="preserve">Zainab Yunusah Saadu Daniel Banjo</x:t>
        </x:is>
      </x:c>
    </x:row>
    <x:row r="45" ht="60" customHeight="1">
      <x:c r="A45" s="6" t="inlineStr">
        <x:is>
          <x:t xml:space="preserve">MCS44</x:t>
        </x:is>
      </x:c>
      <x:c r="B45" s="6" t="inlineStr">
        <x:is>
          <x:t xml:space="preserve">Reconciliation of intercompany balances</x:t>
        </x:is>
      </x:c>
      <x:c r="C45" s="7" t="n"/>
      <x:c r="D45" s="6" t="inlineStr">
        <x:is>
          <x:t xml:space="preserve">Inaccurate or fraudulent closing entries (incl. judgemental assumptions and estimates)</x:t>
        </x:is>
      </x:c>
      <x:c r="E45" s="6" t="inlineStr">
        <x:is>
          <x:t xml:space="preserve">Each intercompany transaction between different legal entities must have a signed contract. Each intercompany invoice must include relevant details for the goods or services provided based on a signed contract.</x:t>
        </x:is>
      </x:c>
      <x:c r="F45" s="7" t="inlineStr">
        <x:is>
          <x:t xml:space="preserve">M</x:t>
        </x:is>
      </x:c>
      <x:c r="G45" s="6" t="inlineStr">
        <x:is>
          <x:t xml:space="preserve">Zainab Yunusah Saadu Daniel Banjo</x:t>
        </x:is>
      </x:c>
    </x:row>
    <x:row r="46" ht="60" customHeight="1">
      <x:c r="A46" s="6" t="inlineStr">
        <x:is>
          <x:t xml:space="preserve">MCS45</x:t>
        </x:is>
      </x:c>
      <x:c r="B46" s="6" t="inlineStr">
        <x:is>
          <x:t xml:space="preserve">Manual journal entries</x:t>
        </x:is>
      </x:c>
      <x:c r="C46" s="7" t="n"/>
      <x:c r="D46" s="6" t="inlineStr">
        <x:is>
          <x:t xml:space="preserve">Inaccurate or fraudulent closing entries (incl. judgemental assumptions and estimates) 
</x:t>
        </x:is>
      </x:c>
      <x:c r="E46" s="6" t="inlineStr">
        <x:is>
          <x:t xml:space="preserve">Ensure that all manual journal entries (MJE) are approved as per local delegation of authority by the designated Finance person, together with supporting documentation prior to posting. Upon change </x:t>
        </x:is>
      </x:c>
      <x:c r="F46" s="7" t="inlineStr">
        <x:is>
          <x:t xml:space="preserve">M</x:t>
        </x:is>
      </x:c>
      <x:c r="G46" s="6" t="inlineStr">
        <x:is>
          <x:t xml:space="preserve">Zainab Yunusah Saadu Daniel Banjo</x:t>
        </x:is>
      </x:c>
    </x:row>
    <x:row r="47" ht="60" customHeight="1">
      <x:c r="A47" s="6" t="inlineStr">
        <x:is>
          <x:t xml:space="preserve">MCS46</x:t>
        </x:is>
      </x:c>
      <x:c r="B47" s="6" t="inlineStr">
        <x:is>
          <x:t xml:space="preserve">Impairment of goodwill, intangible assets and tangible assets</x:t>
        </x:is>
      </x:c>
      <x:c r="C47" s="7" t="n"/>
      <x:c r="D47" s="6" t="inlineStr">
        <x:is>
          <x:t xml:space="preserve">Inaccurate or fraudulent closing entries (incl. judgemental assumptions and estimates)</x:t>
        </x:is>
      </x:c>
      <x:c r="E47" s="6" t="inlineStr">
        <x:is>
          <x:t xml:space="preserve">At least annually, approval by the country FC (or designee) of the impairment tests for other intangible assets with indefinite lives and tangible assets annually or if a triggering event occurs</x:t>
        </x:is>
      </x:c>
      <x:c r="F47" s="7" t="inlineStr">
        <x:is>
          <x:t xml:space="preserve">HY, A</x:t>
        </x:is>
      </x:c>
      <x:c r="G47" s="6" t="inlineStr">
        <x:is>
          <x:t xml:space="preserve">Zainab Yunusah Saadu Daniel Banjo</x:t>
        </x:is>
      </x:c>
    </x:row>
    <x:row r="48" ht="60" customHeight="1">
      <x:c r="A48" s="6" t="inlineStr">
        <x:is>
          <x:t xml:space="preserve">MCS47</x:t>
        </x:is>
      </x:c>
      <x:c r="B48" s="6" t="inlineStr">
        <x:is>
          <x:t xml:space="preserve">Transactions in a foreign currency</x:t>
        </x:is>
      </x:c>
      <x:c r="C48" s="7" t="n"/>
      <x:c r="D48" s="6" t="inlineStr">
        <x:is>
          <x:t xml:space="preserve">Inaccurate or fraudulent closing entries (incl. judgemental assumptions and estimates) 
 </x:t>
        </x:is>
      </x:c>
      <x:c r="E48" s="6" t="inlineStr">
        <x:is>
          <x:t xml:space="preserve">Daily exchange rates published by central banks are usually used to record receivables and liabilities relating to the foreign currency transactions (settlements, recognized gains/losses)</x:t>
        </x:is>
      </x:c>
      <x:c r="F48" s="7" t="inlineStr">
        <x:is>
          <x:t xml:space="preserve">HY, A</x:t>
        </x:is>
      </x:c>
      <x:c r="G48" s="6" t="inlineStr">
        <x:is>
          <x:t xml:space="preserve">Zainab Yunusah Saadu Daniel Banjo</x:t>
        </x:is>
      </x:c>
    </x:row>
    <x:row r="49" ht="60" customHeight="1">
      <x:c r="A49" s="6" t="inlineStr">
        <x:is>
          <x:t xml:space="preserve">MCS48</x:t>
        </x:is>
      </x:c>
      <x:c r="B49" s="6" t="inlineStr">
        <x:is>
          <x:t xml:space="preserve">Management of legal structure and consolidation hierarchy</x:t>
        </x:is>
      </x:c>
      <x:c r="C49" s="7" t="n"/>
      <x:c r="D49" s="6" t="inlineStr">
        <x:is>
          <x:t xml:space="preserve">Non-adherence to accounting and reporting requirements and standards</x:t>
        </x:is>
      </x:c>
      <x:c r="E49" s="6" t="inlineStr">
        <x:is>
          <x:t xml:space="preserve">A new legal entity and/or any changes in the structure of a legal entity must be documented within 3 days of incorporation or change.</x:t>
        </x:is>
      </x:c>
      <x:c r="F49" s="7" t="inlineStr">
        <x:is>
          <x:t xml:space="preserve">HY, M</x:t>
        </x:is>
      </x:c>
      <x:c r="G49" s="6" t="inlineStr">
        <x:is>
          <x:t xml:space="preserve">Zainab Yunusah Saadu Daniel Banjo</x:t>
        </x:is>
      </x:c>
    </x:row>
    <x:row r="50" ht="60" customHeight="1">
      <x:c r="A50" s="6" t="inlineStr">
        <x:is>
          <x:t xml:space="preserve">MCS49</x:t>
        </x:is>
      </x:c>
      <x:c r="B50" s="6" t="inlineStr">
        <x:is>
          <x:t xml:space="preserve">Consolidation of financial statement</x:t>
        </x:is>
      </x:c>
      <x:c r="C50" s="7" t="n"/>
      <x:c r="D50" s="6" t="inlineStr">
        <x:is>
          <x:t xml:space="preserve">Non-adherence to accounting and reporting requirements and standards </x:t>
        </x:is>
      </x:c>
      <x:c r="E50" s="6" t="inlineStr">
        <x:is>
          <x:t xml:space="preserve">Review and sign off by the FC (or designee) of the Financial Consolidation reporting package before submission as per the requirements</x:t>
        </x:is>
      </x:c>
      <x:c r="F50" s="7" t="inlineStr">
        <x:is>
          <x:t xml:space="preserve">M</x:t>
        </x:is>
      </x:c>
      <x:c r="G50" s="6" t="inlineStr">
        <x:is>
          <x:t xml:space="preserve">Zainab Yunusah Saadu Daniel Banjo</x:t>
        </x:is>
      </x:c>
    </x:row>
    <x:row r="51" ht="60" customHeight="1">
      <x:c r="A51" s="6" t="inlineStr">
        <x:is>
          <x:t xml:space="preserve">MCS50</x:t>
        </x:is>
      </x:c>
      <x:c r="B51" s="6" t="inlineStr">
        <x:is>
          <x:t xml:space="preserve">Statutory financial statements</x:t>
        </x:is>
      </x:c>
      <x:c r="C51" s="7" t="n"/>
      <x:c r="D51" s="6" t="inlineStr">
        <x:is>
          <x:t xml:space="preserve">Errors in financials </x:t>
        </x:is>
      </x:c>
      <x:c r="E51" s="6" t="inlineStr">
        <x:is>
          <x:t xml:space="preserve">Review and sign off by the RFC on the statutory financial statements and all adjustments made.</x:t>
        </x:is>
      </x:c>
      <x:c r="F51" s="7" t="inlineStr">
        <x:is>
          <x:t xml:space="preserve">M</x:t>
        </x:is>
      </x:c>
      <x:c r="G51" s="6" t="inlineStr">
        <x:is>
          <x:t xml:space="preserve">Zainab Yunusah Saadu Daniel Banjo</x:t>
        </x:is>
      </x:c>
    </x:row>
    <x:row r="52" ht="60" customHeight="1">
      <x:c r="A52" s="6" t="inlineStr">
        <x:is>
          <x:t xml:space="preserve">MCS51</x:t>
        </x:is>
      </x:c>
      <x:c r="B52" s="6" t="inlineStr">
        <x:is>
          <x:t xml:space="preserve">Tax risk assessment and reporting</x:t>
        </x:is>
      </x:c>
      <x:c r="C52" s="7" t="n"/>
      <x:c r="D52" s="6" t="inlineStr">
        <x:is>
          <x:t xml:space="preserve">Lack of proper tax risk monitoring and reporting </x:t>
        </x:is>
      </x:c>
      <x:c r="E52" s="6" t="inlineStr">
        <x:is>
          <x:t xml:space="preserve">Local Tax responsible to implement a tax calendar with all tax filing and payment due dates.</x:t>
        </x:is>
      </x:c>
      <x:c r="F52" s="7" t="inlineStr">
        <x:is>
          <x:t xml:space="preserve">M, A</x:t>
        </x:is>
      </x:c>
      <x:c r="G52" s="6" t="n"/>
    </x:row>
    <x:row r="53" ht="60" customHeight="1">
      <x:c r="A53" s="6" t="inlineStr">
        <x:is>
          <x:t xml:space="preserve">MCS52</x:t>
        </x:is>
      </x:c>
      <x:c r="B53" s="6" t="inlineStr">
        <x:is>
          <x:t xml:space="preserve">Tax filings and payments</x:t>
        </x:is>
      </x:c>
      <x:c r="C53" s="7" t="n"/>
      <x:c r="D53" s="6" t="inlineStr">
        <x:is>
          <x:t xml:space="preserve">Statutory filings and payments not performed timely</x:t>
        </x:is>
      </x:c>
      <x:c r="E53" s="6" t="inlineStr">
        <x:is>
          <x:t xml:space="preserve">Local Tax responsible and FC (or designee) to implement a tax calendar with all tax filing and payment due date</x:t>
        </x:is>
      </x:c>
      <x:c r="F53" s="7" t="inlineStr">
        <x:is>
          <x:t xml:space="preserve">A, UPR</x:t>
        </x:is>
      </x:c>
      <x:c r="G53" s="6" t="n"/>
    </x:row>
    <x:row r="54" ht="60" customHeight="1">
      <x:c r="A54" s="6" t="inlineStr">
        <x:is>
          <x:t xml:space="preserve">MCS53</x:t>
        </x:is>
      </x:c>
      <x:c r="B54" s="6" t="inlineStr">
        <x:is>
          <x:t xml:space="preserve">Deferred and current income tax calculations</x:t>
        </x:is>
      </x:c>
      <x:c r="C54" s="7" t="n"/>
      <x:c r="D54" s="6" t="inlineStr">
        <x:is>
          <x:t xml:space="preserve">Inaccurate or fraudulent closing entries (incl. judgemental assumptions and estimates) </x:t>
        </x:is>
      </x:c>
      <x:c r="E54" s="6" t="inlineStr">
        <x:is>
          <x:t xml:space="preserve">Review by the local Tax responsible and approval by the RFC (or designee) of all income tax and deferred tax calculations and related documentation, at least quarterly.</x:t>
        </x:is>
      </x:c>
      <x:c r="F54" s="7" t="inlineStr">
        <x:is>
          <x:t xml:space="preserve">A, UPR</x:t>
        </x:is>
      </x:c>
      <x:c r="G54" s="6" t="n"/>
    </x:row>
    <x:row r="55" ht="60" customHeight="1">
      <x:c r="A55" s="6" t="inlineStr">
        <x:is>
          <x:t xml:space="preserve">MCS54</x:t>
        </x:is>
      </x:c>
      <x:c r="B55" s="6" t="inlineStr">
        <x:is>
          <x:t xml:space="preserve">Transfer pricing</x:t>
        </x:is>
      </x:c>
      <x:c r="C55" s="7" t="n"/>
      <x:c r="D55" s="6" t="inlineStr">
        <x:is>
          <x:t xml:space="preserve">Lack of proper tax risk monitoring and reporting</x:t>
        </x:is>
      </x:c>
      <x:c r="E55" s="6" t="inlineStr">
        <x:is>
          <x:t xml:space="preserve">Any and all intercompany transactions must comply with the arm’s-length principle as also required by local laws and regulation.</x:t>
        </x:is>
      </x:c>
      <x:c r="F55" s="7" t="inlineStr">
        <x:is>
          <x:t xml:space="preserve">A</x:t>
        </x:is>
      </x:c>
      <x:c r="G55" s="6" t="n"/>
    </x:row>
    <x:row r="56" ht="60" customHeight="1">
      <x:c r="A56" s="6" t="inlineStr">
        <x:is>
          <x:t xml:space="preserve">MCS55</x:t>
        </x:is>
      </x:c>
      <x:c r="B56" s="6" t="inlineStr">
        <x:is>
          <x:t xml:space="preserve">Non-income (indirect) taxes</x:t>
        </x:is>
      </x:c>
      <x:c r="C56" s="7" t="n"/>
      <x:c r="D56" s="6" t="inlineStr">
        <x:is>
          <x:t xml:space="preserve">Statutory filings and payments not performed timely</x:t>
        </x:is>
      </x:c>
      <x:c r="E56" s="6" t="inlineStr">
        <x:is>
          <x:t xml:space="preserve">Value Added Tax (VAT) and indirect tax returns are prepared, reviewed and approved in line with the local required frequency and local tax requirements. </x:t>
        </x:is>
      </x:c>
      <x:c r="F56" s="7" t="inlineStr">
        <x:is>
          <x:t xml:space="preserve">M</x:t>
        </x:is>
      </x:c>
      <x:c r="G56" s="6" t="n"/>
    </x:row>
    <x:row r="57" ht="60" customHeight="1">
      <x:c r="A57" s="6" t="inlineStr">
        <x:is>
          <x:t xml:space="preserve">MCS56</x:t>
        </x:is>
      </x:c>
      <x:c r="B57" s="6" t="inlineStr">
        <x:is>
          <x:t xml:space="preserve">Bank relations</x:t>
        </x:is>
      </x:c>
      <x:c r="C57" s="7" t="n"/>
      <x:c r="D57" s="6" t="inlineStr">
        <x:is>
          <x:t xml:space="preserve">Unauthorized commitment or relationship with bank</x:t>
        </x:is>
      </x:c>
      <x:c r="E57" s="6" t="inlineStr">
        <x:is>
          <x:t xml:space="preserve">Bank relations, including fees, are approved as per the Group Delegated Authorities (GDA), when applicable, and Group Treasury Directive</x:t>
        </x:is>
      </x:c>
      <x:c r="F57" s="7" t="inlineStr">
        <x:is>
          <x:t xml:space="preserve">UPR, A</x:t>
        </x:is>
      </x:c>
      <x:c r="G57" s="6" t="n"/>
    </x:row>
    <x:row r="58" ht="60" customHeight="1">
      <x:c r="A58" s="6" t="inlineStr">
        <x:is>
          <x:t xml:space="preserve">MCS57</x:t>
        </x:is>
      </x:c>
      <x:c r="B58" s="6" t="inlineStr">
        <x:is>
          <x:t xml:space="preserve">Cash transactions are not permitted without Regional Controller approval</x:t>
        </x:is>
      </x:c>
      <x:c r="C58" s="7" t="n"/>
      <x:c r="D58" s="6" t="inlineStr">
        <x:is>
          <x:t xml:space="preserve">Unsecured payment means and cash transactions</x:t>
        </x:is>
      </x:c>
      <x:c r="E58" s="6" t="inlineStr">
        <x:is>
          <x:t xml:space="preserve">No cash payment to suppliers</x:t>
        </x:is>
      </x:c>
      <x:c r="F58" s="7" t="inlineStr">
        <x:is>
          <x:t xml:space="preserve">M, UPR</x:t>
        </x:is>
      </x:c>
      <x:c r="G58" s="6" t="n"/>
    </x:row>
    <x:row r="59" ht="60" customHeight="1">
      <x:c r="A59" s="6" t="inlineStr">
        <x:is>
          <x:t xml:space="preserve">MCS58</x:t>
        </x:is>
      </x:c>
      <x:c r="B59" s="6" t="inlineStr">
        <x:is>
          <x:t xml:space="preserve">Secure payment means</x:t>
        </x:is>
      </x:c>
      <x:c r="C59" s="7" t="n"/>
      <x:c r="D59" s="6" t="inlineStr">
        <x:is>
          <x:t xml:space="preserve">Unsecured payment means and cash transactions Unauthorized access, disclosure, modification, damage or loss of data </x:t>
        </x:is>
      </x:c>
      <x:c r="E59" s="6" t="inlineStr">
        <x:is>
          <x:t xml:space="preserve">All users with access to SAP-BCM and/ or bank portals are approved by the CFO (or designee) as per the local DoA requiring dual approval for payments. </x:t>
        </x:is>
      </x:c>
      <x:c r="F59" s="7" t="inlineStr">
        <x:is>
          <x:t xml:space="preserve">A, Q, UPR</x:t>
        </x:is>
      </x:c>
      <x:c r="G59" s="6" t="n"/>
    </x:row>
    <x:row r="60" ht="60" customHeight="1">
      <x:c r="A60" s="6" t="inlineStr">
        <x:is>
          <x:t xml:space="preserve">MCS59</x:t>
        </x:is>
      </x:c>
      <x:c r="B60" s="6" t="inlineStr">
        <x:is>
          <x:t xml:space="preserve">Financial instruments, borrowings, commitments and working capital schemes</x:t>
        </x:is>
      </x:c>
      <x:c r="C60" s="7" t="n"/>
      <x:c r="D60" s="6" t="inlineStr">
        <x:is>
          <x:t xml:space="preserve">Inability to maintain an adequate cash flow and liquidity position to pay obligations</x:t>
        </x:is>
      </x:c>
      <x:c r="E60" s="6" t="inlineStr">
        <x:is>
          <x:t xml:space="preserve">Approval according to the local delegation of authority and the Group Treasury Directive of any new financial instruments, borrowings, commitments and working capital schemes.</x:t>
        </x:is>
      </x:c>
      <x:c r="F60" s="7" t="inlineStr">
        <x:is>
          <x:t xml:space="preserve">Q, UPR</x:t>
        </x:is>
      </x:c>
      <x:c r="G60" s="6" t="n"/>
    </x:row>
    <x:row r="61" ht="60" customHeight="1">
      <x:c r="A61" s="6" t="inlineStr">
        <x:is>
          <x:t xml:space="preserve">MCS60</x:t>
        </x:is>
      </x:c>
      <x:c r="B61" s="6" t="inlineStr">
        <x:is>
          <x:t xml:space="preserve">Forex, interest rate, commodities risks monitoring and hedging</x:t>
        </x:is>
      </x:c>
      <x:c r="C61" s="7" t="n"/>
      <x:c r="D61" s="6" t="inlineStr">
        <x:is>
          <x:t xml:space="preserve">Improper management of foreign exchange</x:t>
        </x:is>
      </x:c>
      <x:c r="E61" s="6" t="inlineStr">
        <x:is>
          <x:t xml:space="preserve">Monthly sign off and notification to Group Treasury of the exposure in foreign currency and potential foreign exchange or interest rate exposure that may need to be hedged by Group Treasury. </x:t>
        </x:is>
      </x:c>
      <x:c r="F61" s="7" t="inlineStr">
        <x:is>
          <x:t xml:space="preserve">M, Q</x:t>
        </x:is>
      </x:c>
      <x:c r="G61" s="6" t="n"/>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customWidth="1"/>
    <x:col min="2" max="2" width="40" customWidth="1"/>
    <x:col min="3" max="3" width="55" customWidth="1"/>
    <x:col min="4" max="4" width="30" customWidth="1"/>
    <x:col min="5" max="5" width="14" customWidth="1"/>
    <x:col min="6" max="6" width="26" customWidth="1"/>
    <x:col min="7" max="7" width="18" customWidth="1"/>
    <x:col min="8" max="8" width="14" customWidth="1"/>
    <x:col min="9" max="9" width="18" customWidth="1"/>
    <x:col min="10" max="10" width="14" customWidth="1"/>
    <x:col min="11" max="11" width="16" customWidth="1"/>
    <x:col min="12" max="12" width="28" customWidth="1"/>
    <x:col min="13" max="13" width="18" customWidth="1"/>
    <x:col min="14" max="14" width="14" customWidth="1"/>
    <x:col min="15" max="15" width="14" customWidth="1"/>
    <x:col min="16" max="16" width="14" customWidth="1"/>
    <x:col min="17" max="17" width="10" customWidth="1"/>
  </x:cols>
  <x:sheetData>
    <x:row r="1" ht="30" customHeight="1">
      <x:c r="A1" s="5" t="inlineStr">
        <x:is>
          <x:t xml:space="preserve">Control ID</x:t>
        </x:is>
      </x:c>
      <x:c r="B1" s="5" t="inlineStr">
        <x:is>
          <x:t xml:space="preserve">Control Name / Key Area</x:t>
        </x:is>
      </x:c>
      <x:c r="C1" s="5" t="inlineStr">
        <x:is>
          <x:t xml:space="preserve">Control Description (Activity)</x:t>
        </x:is>
      </x:c>
      <x:c r="D1" s="5" t="inlineStr">
        <x:is>
          <x:t xml:space="preserve">Risk(s)</x:t>
        </x:is>
      </x:c>
      <x:c r="E1" s="5" t="inlineStr">
        <x:is>
          <x:t xml:space="preserve">MCS Status</x:t>
        </x:is>
      </x:c>
      <x:c r="F1" s="5" t="inlineStr">
        <x:is>
          <x:t xml:space="preserve">Control Owner</x:t>
        </x:is>
      </x:c>
      <x:c r="G1" s="5" t="inlineStr">
        <x:is>
          <x:t xml:space="preserve">Control Frequency (Ops)</x:t>
        </x:is>
      </x:c>
      <x:c r="H1" s="5" t="inlineStr">
        <x:is>
          <x:t xml:space="preserve">Testing Cadence</x:t>
        </x:is>
      </x:c>
      <x:c r="I1" s="5" t="inlineStr">
        <x:is>
          <x:t xml:space="preserve">Testing Owner</x:t>
        </x:is>
      </x:c>
      <x:c r="J1" s="5" t="inlineStr">
        <x:is>
          <x:t xml:space="preserve">Control Type</x:t>
        </x:is>
      </x:c>
      <x:c r="K1" s="5" t="inlineStr">
        <x:is>
          <x:t xml:space="preserve">Control Nature</x:t>
        </x:is>
      </x:c>
      <x:c r="L1" s="5" t="inlineStr">
        <x:is>
          <x:t xml:space="preserve">Evidence / Artifact</x:t>
        </x:is>
      </x:c>
      <x:c r="M1" s="5" t="inlineStr">
        <x:is>
          <x:t xml:space="preserve">System / Process</x:t>
        </x:is>
      </x:c>
      <x:c r="N1" s="5" t="inlineStr">
        <x:is>
          <x:t xml:space="preserve">Last Test Date</x:t>
        </x:is>
      </x:c>
      <x:c r="O1" s="5" t="inlineStr">
        <x:is>
          <x:t xml:space="preserve">Last Test Result</x:t>
        </x:is>
      </x:c>
      <x:c r="P1" s="5" t="inlineStr">
        <x:is>
          <x:t xml:space="preserve">Next Test Due</x:t>
        </x:is>
      </x:c>
      <x:c r="Q1" s="5" t="inlineStr">
        <x:is>
          <x:t xml:space="preserve">Active?</x:t>
        </x:is>
      </x:c>
    </x:row>
    <x:row r="2" ht="70" customHeight="1">
      <x:c r="A2" s="6" t="inlineStr">
        <x:is>
          <x:t xml:space="preserve">MCS01</x:t>
        </x:is>
      </x:c>
      <x:c r="B2" s="6" t="inlineStr">
        <x:is>
          <x:t xml:space="preserve">Communication and promotion of the Code of Business Conduct and speak-up culture</x:t>
        </x:is>
      </x:c>
      <x:c r="C2" s="6" t="inlineStr">
        <x:is>
          <x:t xml:space="preserve">The Code of Business Conduct (CoBC) is communicated to all new employees, with a short introduction, at on-boarding &amp; Annually</x:t>
        </x:is>
      </x:c>
      <x:c r="D2" s="6" t="inlineStr">
        <x:is>
          <x:t xml:space="preserve">Corruption and Bribery, Money Laundering</x:t>
        </x:is>
      </x:c>
      <x:c r="E2" s="7" t="n"/>
      <x:c r="F2" s="6" t="inlineStr">
        <x:is>
          <x:t xml:space="preserve">Omoyemi Tuga Olamide Ayo-Ogunlade </x:t>
        </x:is>
      </x:c>
      <x:c r="G2" s="7" t="inlineStr">
        <x:is>
          <x:t xml:space="preserve">A, M</x:t>
        </x:is>
      </x:c>
      <x:c r="H2" s="7" t="inlineStr">
        <x:is>
          <x:t xml:space="preserve">Monthly</x:t>
        </x:is>
      </x:c>
      <x:c r="I2" s="6" t="inlineStr">
        <x:is>
          <x:t xml:space="preserve"/>
        </x:is>
      </x:c>
      <x:c r="J2" s="7" t="inlineStr">
        <x:is>
          <x:t xml:space="preserve"/>
        </x:is>
      </x:c>
      <x:c r="K2" s="7" t="inlineStr">
        <x:is>
          <x:t xml:space="preserve"/>
        </x:is>
      </x:c>
      <x:c r="L2" s="6" t="inlineStr">
        <x:is>
          <x:t xml:space="preserve"/>
        </x:is>
      </x:c>
      <x:c r="M2" s="6" t="inlineStr">
        <x:is>
          <x:t xml:space="preserve"/>
        </x:is>
      </x:c>
      <x:c r="N2" s="8" t="inlineStr">
        <x:is>
          <x:t xml:space="preserve"/>
        </x:is>
      </x:c>
      <x:c r="O2" s="7" t="inlineStr">
        <x:is>
          <x:t xml:space="preserve"/>
        </x:is>
      </x:c>
      <x:c r="P2" s="8">
        <x:f>IF($Q2="No","",IF(ISBLANK($N2),DATE(YEAR(TODAY()),MONTH(TODAY()),1),IF($H2="Monthly",EDATE($N2,1),IF($H2="Quarterly",EDATE($N2,3),IF($H2="Semi-Annual",EDATE($N2,6),IF($H2="Annual",EDATE($N2,12),EDATE($N2,1)))))))</x:f>
        <x:v>46054</x:v>
      </x:c>
      <x:c r="Q2" s="7" t="inlineStr">
        <x:is>
          <x:t xml:space="preserve">Yes</x:t>
        </x:is>
      </x:c>
    </x:row>
    <x:row r="3" ht="70" customHeight="1">
      <x:c r="A3" s="6" t="inlineStr">
        <x:is>
          <x:t xml:space="preserve">MCS02</x:t>
        </x:is>
      </x:c>
      <x:c r="B3" s="6" t="inlineStr">
        <x:is>
          <x:t xml:space="preserve">Compliance with Fair Competition laws and requirements</x:t>
        </x:is>
      </x:c>
      <x:c r="C3" s="6" t="inlineStr">
        <x:is>
          <x:t xml:space="preserve">Employees must comply with the Fair Competition Directive and applicable local competition laws. </x:t>
        </x:is>
      </x:c>
      <x:c r="D3" s="6" t="inlineStr">
        <x:is>
          <x:t xml:space="preserve">Infringement of Fair Competition regulations</x:t>
        </x:is>
      </x:c>
      <x:c r="E3" s="7" t="n"/>
      <x:c r="F3" s="6" t="inlineStr">
        <x:is>
          <x:t xml:space="preserve">Mary Waititu</x:t>
        </x:is>
      </x:c>
      <x:c r="G3" s="7" t="inlineStr">
        <x:is>
          <x:t xml:space="preserve">A</x:t>
        </x:is>
      </x:c>
      <x:c r="H3" s="7" t="inlineStr">
        <x:is>
          <x:t xml:space="preserve">Annual</x:t>
        </x:is>
      </x:c>
      <x:c r="I3" s="6" t="inlineStr">
        <x:is>
          <x:t xml:space="preserve"/>
        </x:is>
      </x:c>
      <x:c r="J3" s="7" t="inlineStr">
        <x:is>
          <x:t xml:space="preserve"/>
        </x:is>
      </x:c>
      <x:c r="K3" s="7" t="inlineStr">
        <x:is>
          <x:t xml:space="preserve"/>
        </x:is>
      </x:c>
      <x:c r="L3" s="6" t="inlineStr">
        <x:is>
          <x:t xml:space="preserve"/>
        </x:is>
      </x:c>
      <x:c r="M3" s="6" t="inlineStr">
        <x:is>
          <x:t xml:space="preserve"/>
        </x:is>
      </x:c>
      <x:c r="N3" s="8" t="inlineStr">
        <x:is>
          <x:t xml:space="preserve"/>
        </x:is>
      </x:c>
      <x:c r="O3" s="7" t="inlineStr">
        <x:is>
          <x:t xml:space="preserve"/>
        </x:is>
      </x:c>
      <x:c r="P3" s="8">
        <x:f>IF($Q3="No","",IF(ISBLANK($N3),DATE(YEAR(TODAY()),MONTH(TODAY()),1),IF($H3="Monthly",EDATE($N3,1),IF($H3="Quarterly",EDATE($N3,3),IF($H3="Semi-Annual",EDATE($N3,6),IF($H3="Annual",EDATE($N3,12),EDATE($N3,1)))))))</x:f>
        <x:v>46054</x:v>
      </x:c>
      <x:c r="Q3" s="7" t="inlineStr">
        <x:is>
          <x:t xml:space="preserve">Yes</x:t>
        </x:is>
      </x:c>
    </x:row>
    <x:row r="4" ht="70" customHeight="1">
      <x:c r="A4" s="6" t="inlineStr">
        <x:is>
          <x:t xml:space="preserve">MCS03</x:t>
        </x:is>
      </x:c>
      <x:c r="B4" s="6" t="inlineStr">
        <x:is>
          <x:t xml:space="preserve">Related party transactions and conflict of interests</x:t>
        </x:is>
      </x:c>
      <x:c r="C4" s="6" t="inlineStr">
        <x:is>
          <x:t xml:space="preserve">Perform Conflict of Interests communication annually.</x:t>
        </x:is>
      </x:c>
      <x:c r="D4" s="6" t="inlineStr">
        <x:is>
          <x:t xml:space="preserve">Poor tone at the top</x:t>
        </x:is>
      </x:c>
      <x:c r="E4" s="7" t="n"/>
      <x:c r="F4" s="6" t="inlineStr">
        <x:is>
          <x:t xml:space="preserve">Mary Waititu Godson Iwuozo</x:t>
        </x:is>
      </x:c>
      <x:c r="G4" s="7" t="inlineStr">
        <x:is>
          <x:t xml:space="preserve">M, A</x:t>
        </x:is>
      </x:c>
      <x:c r="H4" s="7" t="inlineStr">
        <x:is>
          <x:t xml:space="preserve">Monthly</x:t>
        </x:is>
      </x:c>
      <x:c r="I4" s="6" t="inlineStr">
        <x:is>
          <x:t xml:space="preserve"/>
        </x:is>
      </x:c>
      <x:c r="J4" s="7" t="inlineStr">
        <x:is>
          <x:t xml:space="preserve"/>
        </x:is>
      </x:c>
      <x:c r="K4" s="7" t="inlineStr">
        <x:is>
          <x:t xml:space="preserve"/>
        </x:is>
      </x:c>
      <x:c r="L4" s="6" t="inlineStr">
        <x:is>
          <x:t xml:space="preserve"/>
        </x:is>
      </x:c>
      <x:c r="M4" s="6" t="inlineStr">
        <x:is>
          <x:t xml:space="preserve"/>
        </x:is>
      </x:c>
      <x:c r="N4" s="8" t="inlineStr">
        <x:is>
          <x:t xml:space="preserve"/>
        </x:is>
      </x:c>
      <x:c r="O4" s="7" t="inlineStr">
        <x:is>
          <x:t xml:space="preserve"/>
        </x:is>
      </x:c>
      <x:c r="P4" s="8">
        <x:f>IF($Q4="No","",IF(ISBLANK($N4),DATE(YEAR(TODAY()),MONTH(TODAY()),1),IF($H4="Monthly",EDATE($N4,1),IF($H4="Quarterly",EDATE($N4,3),IF($H4="Semi-Annual",EDATE($N4,6),IF($H4="Annual",EDATE($N4,12),EDATE($N4,1)))))))</x:f>
        <x:v>46054</x:v>
      </x:c>
      <x:c r="Q4" s="7" t="inlineStr">
        <x:is>
          <x:t xml:space="preserve">Yes</x:t>
        </x:is>
      </x:c>
    </x:row>
    <x:row r="5" ht="70" customHeight="1">
      <x:c r="A5" s="6" t="inlineStr">
        <x:is>
          <x:t xml:space="preserve">MCS04</x:t>
        </x:is>
      </x:c>
      <x:c r="B5" s="6" t="inlineStr">
        <x:is>
          <x:t xml:space="preserve">Board of Directors secretarial requirements</x:t>
        </x:is>
      </x:c>
      <x:c r="C5" s="6" t="inlineStr">
        <x:is>
          <x:t xml:space="preserve">Maintain Key corporate documents and records in accordance with applicable retention policies</x:t>
        </x:is>
      </x:c>
      <x:c r="D5" s="6" t="inlineStr">
        <x:is>
          <x:t xml:space="preserve">Lack of Board’s oversight responsibilities over risk and internal control</x:t>
        </x:is>
      </x:c>
      <x:c r="E5" s="7" t="n"/>
      <x:c r="F5" s="6" t="inlineStr">
        <x:is>
          <x:t xml:space="preserve">Mary Waititu Godson Iwuozo</x:t>
        </x:is>
      </x:c>
      <x:c r="G5" s="7" t="inlineStr">
        <x:is>
          <x:t xml:space="preserve">A, UPR, M, Q</x:t>
        </x:is>
      </x:c>
      <x:c r="H5" s="7" t="inlineStr">
        <x:is>
          <x:t xml:space="preserve">Monthly</x:t>
        </x:is>
      </x:c>
      <x:c r="I5" s="6" t="inlineStr">
        <x:is>
          <x:t xml:space="preserve"/>
        </x:is>
      </x:c>
      <x:c r="J5" s="7" t="inlineStr">
        <x:is>
          <x:t xml:space="preserve"/>
        </x:is>
      </x:c>
      <x:c r="K5" s="7" t="inlineStr">
        <x:is>
          <x:t xml:space="preserve"/>
        </x:is>
      </x:c>
      <x:c r="L5" s="6" t="inlineStr">
        <x:is>
          <x:t xml:space="preserve"/>
        </x:is>
      </x:c>
      <x:c r="M5" s="6" t="inlineStr">
        <x:is>
          <x:t xml:space="preserve"/>
        </x:is>
      </x:c>
      <x:c r="N5" s="8" t="inlineStr">
        <x:is>
          <x:t xml:space="preserve"/>
        </x:is>
      </x:c>
      <x:c r="O5" s="7" t="inlineStr">
        <x:is>
          <x:t xml:space="preserve"/>
        </x:is>
      </x:c>
      <x:c r="P5" s="8">
        <x:f>IF($Q5="No","",IF(ISBLANK($N5),DATE(YEAR(TODAY()),MONTH(TODAY()),1),IF($H5="Monthly",EDATE($N5,1),IF($H5="Quarterly",EDATE($N5,3),IF($H5="Semi-Annual",EDATE($N5,6),IF($H5="Annual",EDATE($N5,12),EDATE($N5,1)))))))</x:f>
        <x:v>46054</x:v>
      </x:c>
      <x:c r="Q5" s="7" t="inlineStr">
        <x:is>
          <x:t xml:space="preserve">Yes</x:t>
        </x:is>
      </x:c>
    </x:row>
    <x:row r="6" ht="70" customHeight="1">
      <x:c r="A6" s="6" t="inlineStr">
        <x:is>
          <x:t xml:space="preserve">MCS05</x:t>
        </x:is>
      </x:c>
      <x:c r="B6" s="6" t="inlineStr">
        <x:is>
          <x:t xml:space="preserve">Health, Safety &amp; Environment</x:t>
        </x:is>
      </x:c>
      <x:c r="C6" s="6" t="inlineStr">
        <x:is>
          <x:t xml:space="preserve">An annual Health, Safety &amp; Environment Improvement Plan. </x:t>
        </x:is>
      </x:c>
      <x:c r="D6" s="6" t="inlineStr">
        <x:is>
          <x:t xml:space="preserve">Health &amp; Safety issue (injuries, fatalities, illness) or incident  </x:t>
        </x:is>
      </x:c>
      <x:c r="E6" s="7" t="n"/>
      <x:c r="F6" s="6" t="inlineStr">
        <x:is>
          <x:t xml:space="preserve">Omoyemi Tuga Yomi Jegede</x:t>
        </x:is>
      </x:c>
      <x:c r="G6" s="7" t="inlineStr">
        <x:is>
          <x:t xml:space="preserve">A</x:t>
        </x:is>
      </x:c>
      <x:c r="H6" s="7" t="inlineStr">
        <x:is>
          <x:t xml:space="preserve">Annual</x:t>
        </x:is>
      </x:c>
      <x:c r="I6" s="6" t="inlineStr">
        <x:is>
          <x:t xml:space="preserve"/>
        </x:is>
      </x:c>
      <x:c r="J6" s="7" t="inlineStr">
        <x:is>
          <x:t xml:space="preserve"/>
        </x:is>
      </x:c>
      <x:c r="K6" s="7" t="inlineStr">
        <x:is>
          <x:t xml:space="preserve"/>
        </x:is>
      </x:c>
      <x:c r="L6" s="6" t="inlineStr">
        <x:is>
          <x:t xml:space="preserve"/>
        </x:is>
      </x:c>
      <x:c r="M6" s="6" t="inlineStr">
        <x:is>
          <x:t xml:space="preserve"/>
        </x:is>
      </x:c>
      <x:c r="N6" s="8" t="inlineStr">
        <x:is>
          <x:t xml:space="preserve"/>
        </x:is>
      </x:c>
      <x:c r="O6" s="7" t="inlineStr">
        <x:is>
          <x:t xml:space="preserve"/>
        </x:is>
      </x:c>
      <x:c r="P6" s="8">
        <x:f>IF($Q6="No","",IF(ISBLANK($N6),DATE(YEAR(TODAY()),MONTH(TODAY()),1),IF($H6="Monthly",EDATE($N6,1),IF($H6="Quarterly",EDATE($N6,3),IF($H6="Semi-Annual",EDATE($N6,6),IF($H6="Annual",EDATE($N6,12),EDATE($N6,1)))))))</x:f>
        <x:v>46054</x:v>
      </x:c>
      <x:c r="Q6" s="7" t="inlineStr">
        <x:is>
          <x:t xml:space="preserve">Yes</x:t>
        </x:is>
      </x:c>
    </x:row>
    <x:row r="7" ht="70" customHeight="1">
      <x:c r="A7" s="6" t="inlineStr">
        <x:is>
          <x:t xml:space="preserve">MCS06</x:t>
        </x:is>
      </x:c>
      <x:c r="B7" s="6" t="inlineStr">
        <x:is>
          <x:t xml:space="preserve">Risk assessment</x:t>
        </x:is>
      </x:c>
      <x:c r="C7" s="6" t="inlineStr">
        <x:is>
          <x:t xml:space="preserve">A risk assessment is performed annually  </x:t>
        </x:is>
      </x:c>
      <x:c r="D7" s="6" t="inlineStr">
        <x:is>
          <x:t xml:space="preserve">Poor tone at the top</x:t>
        </x:is>
      </x:c>
      <x:c r="E7" s="7" t="n"/>
      <x:c r="F7" s="6" t="inlineStr">
        <x:is>
          <x:t xml:space="preserve">Oluwaseun Oyedepo</x:t>
        </x:is>
      </x:c>
      <x:c r="G7" s="7" t="inlineStr">
        <x:is>
          <x:t xml:space="preserve">A</x:t>
        </x:is>
      </x:c>
      <x:c r="H7" s="7" t="inlineStr">
        <x:is>
          <x:t xml:space="preserve">Annual</x:t>
        </x:is>
      </x:c>
      <x:c r="I7" s="6" t="inlineStr">
        <x:is>
          <x:t xml:space="preserve"/>
        </x:is>
      </x:c>
      <x:c r="J7" s="7" t="inlineStr">
        <x:is>
          <x:t xml:space="preserve"/>
        </x:is>
      </x:c>
      <x:c r="K7" s="7" t="inlineStr">
        <x:is>
          <x:t xml:space="preserve"/>
        </x:is>
      </x:c>
      <x:c r="L7" s="6" t="inlineStr">
        <x:is>
          <x:t xml:space="preserve"/>
        </x:is>
      </x:c>
      <x:c r="M7" s="6" t="inlineStr">
        <x:is>
          <x:t xml:space="preserve"/>
        </x:is>
      </x:c>
      <x:c r="N7" s="8" t="inlineStr">
        <x:is>
          <x:t xml:space="preserve"/>
        </x:is>
      </x:c>
      <x:c r="O7" s="7" t="inlineStr">
        <x:is>
          <x:t xml:space="preserve"/>
        </x:is>
      </x:c>
      <x:c r="P7" s="8">
        <x:f>IF($Q7="No","",IF(ISBLANK($N7),DATE(YEAR(TODAY()),MONTH(TODAY()),1),IF($H7="Monthly",EDATE($N7,1),IF($H7="Quarterly",EDATE($N7,3),IF($H7="Semi-Annual",EDATE($N7,6),IF($H7="Annual",EDATE($N7,12),EDATE($N7,1)))))))</x:f>
        <x:v>46054</x:v>
      </x:c>
      <x:c r="Q7" s="7" t="inlineStr">
        <x:is>
          <x:t xml:space="preserve">Yes</x:t>
        </x:is>
      </x:c>
    </x:row>
    <x:row r="8" ht="70" customHeight="1">
      <x:c r="A8" s="6" t="inlineStr">
        <x:is>
          <x:t xml:space="preserve">MCS07</x:t>
        </x:is>
      </x:c>
      <x:c r="B8" s="6" t="inlineStr">
        <x:is>
          <x:t xml:space="preserve">Mitigation of business risks - Security</x:t>
        </x:is>
      </x:c>
      <x:c r="C8" s="6" t="inlineStr">
        <x:is>
          <x:t xml:space="preserve">Maintain weekly dashboard to verify visibility of all international and Local business travelers in the Travel Tracker. </x:t>
        </x:is>
      </x:c>
      <x:c r="D8" s="6" t="inlineStr">
        <x:is>
          <x:t xml:space="preserve">Assault on person.</x:t>
        </x:is>
      </x:c>
      <x:c r="E8" s="7" t="n"/>
      <x:c r="F8" s="6" t="inlineStr">
        <x:is>
          <x:t xml:space="preserve">Olamide Ayo-Ogunlade Obinna Ojimba</x:t>
        </x:is>
      </x:c>
      <x:c r="G8" s="7" t="inlineStr">
        <x:is>
          <x:t xml:space="preserve">A</x:t>
        </x:is>
      </x:c>
      <x:c r="H8" s="7" t="inlineStr">
        <x:is>
          <x:t xml:space="preserve">Annual</x:t>
        </x:is>
      </x:c>
      <x:c r="I8" s="6" t="inlineStr">
        <x:is>
          <x:t xml:space="preserve"/>
        </x:is>
      </x:c>
      <x:c r="J8" s="7" t="inlineStr">
        <x:is>
          <x:t xml:space="preserve"/>
        </x:is>
      </x:c>
      <x:c r="K8" s="7" t="inlineStr">
        <x:is>
          <x:t xml:space="preserve"/>
        </x:is>
      </x:c>
      <x:c r="L8" s="6" t="inlineStr">
        <x:is>
          <x:t xml:space="preserve"/>
        </x:is>
      </x:c>
      <x:c r="M8" s="6" t="inlineStr">
        <x:is>
          <x:t xml:space="preserve"/>
        </x:is>
      </x:c>
      <x:c r="N8" s="8" t="inlineStr">
        <x:is>
          <x:t xml:space="preserve"/>
        </x:is>
      </x:c>
      <x:c r="O8" s="7" t="inlineStr">
        <x:is>
          <x:t xml:space="preserve"/>
        </x:is>
      </x:c>
      <x:c r="P8" s="8">
        <x:f>IF($Q8="No","",IF(ISBLANK($N8),DATE(YEAR(TODAY()),MONTH(TODAY()),1),IF($H8="Monthly",EDATE($N8,1),IF($H8="Quarterly",EDATE($N8,3),IF($H8="Semi-Annual",EDATE($N8,6),IF($H8="Annual",EDATE($N8,12),EDATE($N8,1)))))))</x:f>
        <x:v>46054</x:v>
      </x:c>
      <x:c r="Q8" s="7" t="inlineStr">
        <x:is>
          <x:t xml:space="preserve">Yes</x:t>
        </x:is>
      </x:c>
    </x:row>
    <x:row r="9" ht="70" customHeight="1">
      <x:c r="A9" s="6" t="inlineStr">
        <x:is>
          <x:t xml:space="preserve">MCS08</x:t>
        </x:is>
      </x:c>
      <x:c r="B9" s="6" t="inlineStr">
        <x:is>
          <x:t xml:space="preserve">Mitigation of business risks - Group insurance</x:t>
        </x:is>
      </x:c>
      <x:c r="C9" s="6" t="inlineStr">
        <x:is>
          <x:t xml:space="preserve">Annual approval by Global CFO of property insurance values for accuracy  and adequacy</x:t>
        </x:is>
      </x:c>
      <x:c r="D9" s="6" t="inlineStr">
        <x:is>
          <x:t xml:space="preserve"> Lack of insurance coverage </x:t>
        </x:is>
      </x:c>
      <x:c r="E9" s="7" t="n"/>
      <x:c r="F9" s="6" t="inlineStr">
        <x:is>
          <x:t xml:space="preserve">Victory Olumuyiwa</x:t>
        </x:is>
      </x:c>
      <x:c r="G9" s="7" t="inlineStr">
        <x:is>
          <x:t xml:space="preserve">A, UPR</x:t>
        </x:is>
      </x:c>
      <x:c r="H9" s="7" t="inlineStr">
        <x:is>
          <x:t xml:space="preserve">Annual</x:t>
        </x:is>
      </x:c>
      <x:c r="I9" s="6" t="inlineStr">
        <x:is>
          <x:t xml:space="preserve"/>
        </x:is>
      </x:c>
      <x:c r="J9" s="7" t="inlineStr">
        <x:is>
          <x:t xml:space="preserve"/>
        </x:is>
      </x:c>
      <x:c r="K9" s="7" t="inlineStr">
        <x:is>
          <x:t xml:space="preserve"/>
        </x:is>
      </x:c>
      <x:c r="L9" s="6" t="inlineStr">
        <x:is>
          <x:t xml:space="preserve"/>
        </x:is>
      </x:c>
      <x:c r="M9" s="6" t="inlineStr">
        <x:is>
          <x:t xml:space="preserve"/>
        </x:is>
      </x:c>
      <x:c r="N9" s="8" t="inlineStr">
        <x:is>
          <x:t xml:space="preserve"/>
        </x:is>
      </x:c>
      <x:c r="O9" s="7" t="inlineStr">
        <x:is>
          <x:t xml:space="preserve"/>
        </x:is>
      </x:c>
      <x:c r="P9" s="8">
        <x:f>IF($Q9="No","",IF(ISBLANK($N9),DATE(YEAR(TODAY()),MONTH(TODAY()),1),IF($H9="Monthly",EDATE($N9,1),IF($H9="Quarterly",EDATE($N9,3),IF($H9="Semi-Annual",EDATE($N9,6),IF($H9="Annual",EDATE($N9,12),EDATE($N9,1)))))))</x:f>
        <x:v>46054</x:v>
      </x:c>
      <x:c r="Q9" s="7" t="inlineStr">
        <x:is>
          <x:t xml:space="preserve">Yes</x:t>
        </x:is>
      </x:c>
    </x:row>
    <x:row r="10" ht="70" customHeight="1">
      <x:c r="A10" s="6" t="inlineStr">
        <x:is>
          <x:t xml:space="preserve">MCS09</x:t>
        </x:is>
      </x:c>
      <x:c r="B10" s="6" t="inlineStr">
        <x:is>
          <x:t xml:space="preserve">Mitigation of business risks - Business Resilience System</x:t>
        </x:is>
      </x:c>
      <x:c r="C10" s="6" t="inlineStr">
        <x:is>
          <x:t xml:space="preserve">Every Country must have Country Business Resilience Plan .</x:t>
        </x:is>
      </x:c>
      <x:c r="D10" s="6" t="inlineStr">
        <x:is>
          <x:t xml:space="preserve">Supply chain disruption</x:t>
        </x:is>
      </x:c>
      <x:c r="E10" s="7" t="n"/>
      <x:c r="F10" s="6" t="inlineStr">
        <x:is>
          <x:t xml:space="preserve">Oluwaseun Oyedepo</x:t>
        </x:is>
      </x:c>
      <x:c r="G10" s="7" t="inlineStr">
        <x:is>
          <x:t xml:space="preserve">A</x:t>
        </x:is>
      </x:c>
      <x:c r="H10" s="7" t="inlineStr">
        <x:is>
          <x:t xml:space="preserve">Annual</x:t>
        </x:is>
      </x:c>
      <x:c r="I10" s="6" t="inlineStr">
        <x:is>
          <x:t xml:space="preserve"/>
        </x:is>
      </x:c>
      <x:c r="J10" s="7" t="inlineStr">
        <x:is>
          <x:t xml:space="preserve"/>
        </x:is>
      </x:c>
      <x:c r="K10" s="7" t="inlineStr">
        <x:is>
          <x:t xml:space="preserve"/>
        </x:is>
      </x:c>
      <x:c r="L10" s="6" t="inlineStr">
        <x:is>
          <x:t xml:space="preserve"/>
        </x:is>
      </x:c>
      <x:c r="M10" s="6" t="inlineStr">
        <x:is>
          <x:t xml:space="preserve"/>
        </x:is>
      </x:c>
      <x:c r="N10" s="8" t="inlineStr">
        <x:is>
          <x:t xml:space="preserve"/>
        </x:is>
      </x:c>
      <x:c r="O10" s="7" t="inlineStr">
        <x:is>
          <x:t xml:space="preserve"/>
        </x:is>
      </x:c>
      <x:c r="P10" s="8">
        <x:f>IF($Q10="No","",IF(ISBLANK($N10),DATE(YEAR(TODAY()),MONTH(TODAY()),1),IF($H10="Monthly",EDATE($N10,1),IF($H10="Quarterly",EDATE($N10,3),IF($H10="Semi-Annual",EDATE($N10,6),IF($H10="Annual",EDATE($N10,12),EDATE($N10,1)))))))</x:f>
        <x:v>46054</x:v>
      </x:c>
      <x:c r="Q10" s="7" t="inlineStr">
        <x:is>
          <x:t xml:space="preserve">Yes</x:t>
        </x:is>
      </x:c>
    </x:row>
    <x:row r="11" ht="70" customHeight="1">
      <x:c r="A11" s="6" t="inlineStr">
        <x:is>
          <x:t xml:space="preserve">MCS10</x:t>
        </x:is>
      </x:c>
      <x:c r="B11" s="6" t="inlineStr">
        <x:is>
          <x:t xml:space="preserve">Mitigation of business risks - Remediation of deficiencies and non-compliance with MCS</x:t>
        </x:is>
      </x:c>
      <x:c r="C11" s="6" t="inlineStr">
        <x:is>
          <x:t xml:space="preserve">Approval by Global/Regional Finance Controller is required for local Country controls when MCS is not Practicable</x:t>
        </x:is>
      </x:c>
      <x:c r="D11" s="6" t="inlineStr">
        <x:is>
          <x:t xml:space="preserve">Poor tone at the top.</x:t>
        </x:is>
      </x:c>
      <x:c r="E11" s="7" t="n"/>
      <x:c r="F11" s="6" t="inlineStr">
        <x:is>
          <x:t xml:space="preserve">Oluwaseun Oyedepo</x:t>
        </x:is>
      </x:c>
      <x:c r="G11" s="7" t="inlineStr">
        <x:is>
          <x:t xml:space="preserve">A</x:t>
        </x:is>
      </x:c>
      <x:c r="H11" s="7" t="inlineStr">
        <x:is>
          <x:t xml:space="preserve">Annual</x:t>
        </x:is>
      </x:c>
      <x:c r="I11" s="6" t="inlineStr">
        <x:is>
          <x:t xml:space="preserve"/>
        </x:is>
      </x:c>
      <x:c r="J11" s="7" t="inlineStr">
        <x:is>
          <x:t xml:space="preserve"/>
        </x:is>
      </x:c>
      <x:c r="K11" s="7" t="inlineStr">
        <x:is>
          <x:t xml:space="preserve"/>
        </x:is>
      </x:c>
      <x:c r="L11" s="6" t="inlineStr">
        <x:is>
          <x:t xml:space="preserve"/>
        </x:is>
      </x:c>
      <x:c r="M11" s="6" t="inlineStr">
        <x:is>
          <x:t xml:space="preserve"/>
        </x:is>
      </x:c>
      <x:c r="N11" s="8" t="inlineStr">
        <x:is>
          <x:t xml:space="preserve"/>
        </x:is>
      </x:c>
      <x:c r="O11" s="7" t="inlineStr">
        <x:is>
          <x:t xml:space="preserve"/>
        </x:is>
      </x:c>
      <x:c r="P11" s="8">
        <x:f>IF($Q11="No","",IF(ISBLANK($N11),DATE(YEAR(TODAY()),MONTH(TODAY()),1),IF($H11="Monthly",EDATE($N11,1),IF($H11="Quarterly",EDATE($N11,3),IF($H11="Semi-Annual",EDATE($N11,6),IF($H11="Annual",EDATE($N11,12),EDATE($N11,1)))))))</x:f>
        <x:v>46054</x:v>
      </x:c>
      <x:c r="Q11" s="7" t="inlineStr">
        <x:is>
          <x:t xml:space="preserve">Yes</x:t>
        </x:is>
      </x:c>
    </x:row>
    <x:row r="12" ht="70" customHeight="1">
      <x:c r="A12" s="6" t="inlineStr">
        <x:is>
          <x:t xml:space="preserve">MCS11</x:t>
        </x:is>
      </x:c>
      <x:c r="B12" s="6" t="inlineStr">
        <x:is>
          <x:t xml:space="preserve">Personal data protection</x:t>
        </x:is>
      </x:c>
      <x:c r="C12" s="6" t="inlineStr">
        <x:is>
          <x:t xml:space="preserve">The Data Privacy Notice/Policy is made available to all existing employees and distributed to new employees during the onboarding process.</x:t>
        </x:is>
      </x:c>
      <x:c r="D12" s="6" t="inlineStr">
        <x:is>
          <x:t xml:space="preserve">Unauthorized use of company &amp; personal information (incl. non compliance with GDPR)</x:t>
        </x:is>
      </x:c>
      <x:c r="E12" s="7" t="n"/>
      <x:c r="F12" s="6" t="inlineStr">
        <x:is>
          <x:t xml:space="preserve">Olamide Ayo-Ogunlade @</x:t>
        </x:is>
      </x:c>
      <x:c r="G12" s="7" t="inlineStr">
        <x:is>
          <x:t xml:space="preserve">A, M, UPR, Q</x:t>
        </x:is>
      </x:c>
      <x:c r="H12" s="7" t="inlineStr">
        <x:is>
          <x:t xml:space="preserve">Monthly</x:t>
        </x:is>
      </x:c>
      <x:c r="I12" s="6" t="inlineStr">
        <x:is>
          <x:t xml:space="preserve"/>
        </x:is>
      </x:c>
      <x:c r="J12" s="7" t="inlineStr">
        <x:is>
          <x:t xml:space="preserve"/>
        </x:is>
      </x:c>
      <x:c r="K12" s="7" t="inlineStr">
        <x:is>
          <x:t xml:space="preserve"/>
        </x:is>
      </x:c>
      <x:c r="L12" s="6" t="inlineStr">
        <x:is>
          <x:t xml:space="preserve"/>
        </x:is>
      </x:c>
      <x:c r="M12" s="6" t="inlineStr">
        <x:is>
          <x:t xml:space="preserve"/>
        </x:is>
      </x:c>
      <x:c r="N12" s="8" t="inlineStr">
        <x:is>
          <x:t xml:space="preserve"/>
        </x:is>
      </x:c>
      <x:c r="O12" s="7" t="inlineStr">
        <x:is>
          <x:t xml:space="preserve"/>
        </x:is>
      </x:c>
      <x:c r="P12" s="8">
        <x:f>IF($Q12="No","",IF(ISBLANK($N12),DATE(YEAR(TODAY()),MONTH(TODAY()),1),IF($H12="Monthly",EDATE($N12,1),IF($H12="Quarterly",EDATE($N12,3),IF($H12="Semi-Annual",EDATE($N12,6),IF($H12="Annual",EDATE($N12,12),EDATE($N12,1)))))))</x:f>
        <x:v>46054</x:v>
      </x:c>
      <x:c r="Q12" s="7" t="inlineStr">
        <x:is>
          <x:t xml:space="preserve">Yes</x:t>
        </x:is>
      </x:c>
    </x:row>
    <x:row r="13" ht="70" customHeight="1">
      <x:c r="A13" s="6" t="inlineStr">
        <x:is>
          <x:t xml:space="preserve">MCS12</x:t>
        </x:is>
      </x:c>
      <x:c r="B13" s="6" t="inlineStr">
        <x:is>
          <x:t xml:space="preserve">Segregation of duties and user access review</x:t>
        </x:is>
      </x:c>
      <x:c r="C13" s="6" t="inlineStr">
        <x:is>
          <x:t xml:space="preserve">A review of all user accounts to ensure that users have access according to their job roles.</x:t>
        </x:is>
      </x:c>
      <x:c r="D13" s="6" t="inlineStr">
        <x:is>
          <x:t xml:space="preserve">Unauthorized access, disclosure, modification, damage or loss of data </x:t>
        </x:is>
      </x:c>
      <x:c r="E13" s="7" t="n"/>
      <x:c r="F13" s="6" t="inlineStr">
        <x:is>
          <x:t xml:space="preserve">Theophilus Okolie</x:t>
        </x:is>
      </x:c>
      <x:c r="G13" s="7" t="inlineStr">
        <x:is>
          <x:t xml:space="preserve">A</x:t>
        </x:is>
      </x:c>
      <x:c r="H13" s="7" t="inlineStr">
        <x:is>
          <x:t xml:space="preserve">Annual</x:t>
        </x:is>
      </x:c>
      <x:c r="I13" s="6" t="inlineStr">
        <x:is>
          <x:t xml:space="preserve"/>
        </x:is>
      </x:c>
      <x:c r="J13" s="7" t="inlineStr">
        <x:is>
          <x:t xml:space="preserve"/>
        </x:is>
      </x:c>
      <x:c r="K13" s="7" t="inlineStr">
        <x:is>
          <x:t xml:space="preserve"/>
        </x:is>
      </x:c>
      <x:c r="L13" s="6" t="inlineStr">
        <x:is>
          <x:t xml:space="preserve"/>
        </x:is>
      </x:c>
      <x:c r="M13" s="6" t="inlineStr">
        <x:is>
          <x:t xml:space="preserve"/>
        </x:is>
      </x:c>
      <x:c r="N13" s="8" t="inlineStr">
        <x:is>
          <x:t xml:space="preserve"/>
        </x:is>
      </x:c>
      <x:c r="O13" s="7" t="inlineStr">
        <x:is>
          <x:t xml:space="preserve"/>
        </x:is>
      </x:c>
      <x:c r="P13" s="8">
        <x:f>IF($Q13="No","",IF(ISBLANK($N13),DATE(YEAR(TODAY()),MONTH(TODAY()),1),IF($H13="Monthly",EDATE($N13,1),IF($H13="Quarterly",EDATE($N13,3),IF($H13="Semi-Annual",EDATE($N13,6),IF($H13="Annual",EDATE($N13,12),EDATE($N13,1)))))))</x:f>
        <x:v>46054</x:v>
      </x:c>
      <x:c r="Q13" s="7" t="inlineStr">
        <x:is>
          <x:t xml:space="preserve">Yes</x:t>
        </x:is>
      </x:c>
    </x:row>
    <x:row r="14" ht="70" customHeight="1">
      <x:c r="A14" s="6" t="inlineStr">
        <x:is>
          <x:t xml:space="preserve">MCS13</x:t>
        </x:is>
      </x:c>
      <x:c r="B14" s="6" t="inlineStr">
        <x:is>
          <x:t xml:space="preserve">Delegation of authorities and approval workflows</x:t>
        </x:is>
      </x:c>
      <x:c r="C14" s="6" t="inlineStr">
        <x:is>
          <x:t xml:space="preserve">Approval by the local Board of Directors, if applicable of the authorization policy which includes  Delegated Authorities requirements</x:t>
        </x:is>
      </x:c>
      <x:c r="D14" s="6" t="inlineStr">
        <x:is>
          <x:t xml:space="preserve">Authority and responsibility not clearly and formally assigned</x:t>
        </x:is>
      </x:c>
      <x:c r="E14" s="7" t="n"/>
      <x:c r="F14" s="6" t="inlineStr">
        <x:is>
          <x:t xml:space="preserve">Ramakant Patil</x:t>
        </x:is>
      </x:c>
      <x:c r="G14" s="7" t="inlineStr">
        <x:is>
          <x:t xml:space="preserve">A</x:t>
        </x:is>
      </x:c>
      <x:c r="H14" s="7" t="inlineStr">
        <x:is>
          <x:t xml:space="preserve">Annual</x:t>
        </x:is>
      </x:c>
      <x:c r="I14" s="6" t="inlineStr">
        <x:is>
          <x:t xml:space="preserve"/>
        </x:is>
      </x:c>
      <x:c r="J14" s="7" t="inlineStr">
        <x:is>
          <x:t xml:space="preserve"/>
        </x:is>
      </x:c>
      <x:c r="K14" s="7" t="inlineStr">
        <x:is>
          <x:t xml:space="preserve"/>
        </x:is>
      </x:c>
      <x:c r="L14" s="6" t="inlineStr">
        <x:is>
          <x:t xml:space="preserve"/>
        </x:is>
      </x:c>
      <x:c r="M14" s="6" t="inlineStr">
        <x:is>
          <x:t xml:space="preserve"/>
        </x:is>
      </x:c>
      <x:c r="N14" s="8" t="inlineStr">
        <x:is>
          <x:t xml:space="preserve"/>
        </x:is>
      </x:c>
      <x:c r="O14" s="7" t="inlineStr">
        <x:is>
          <x:t xml:space="preserve"/>
        </x:is>
      </x:c>
      <x:c r="P14" s="8">
        <x:f>IF($Q14="No","",IF(ISBLANK($N14),DATE(YEAR(TODAY()),MONTH(TODAY()),1),IF($H14="Monthly",EDATE($N14,1),IF($H14="Quarterly",EDATE($N14,3),IF($H14="Semi-Annual",EDATE($N14,6),IF($H14="Annual",EDATE($N14,12),EDATE($N14,1)))))))</x:f>
        <x:v>46054</x:v>
      </x:c>
      <x:c r="Q14" s="7" t="inlineStr">
        <x:is>
          <x:t xml:space="preserve">Yes</x:t>
        </x:is>
      </x:c>
    </x:row>
    <x:row r="15" ht="70" customHeight="1">
      <x:c r="A15" s="6" t="inlineStr">
        <x:is>
          <x:t xml:space="preserve">MCS14</x:t>
        </x:is>
      </x:c>
      <x:c r="B15" s="6" t="inlineStr">
        <x:is>
          <x:t xml:space="preserve">Litigation disputes</x:t>
        </x:is>
      </x:c>
      <x:c r="C15" s="6" t="inlineStr">
        <x:is>
          <x:t xml:space="preserve">Monthly report tracking all litigation cases should be maintained by  Legal </x:t>
        </x:is>
      </x:c>
      <x:c r="D15" s="6" t="inlineStr">
        <x:is>
          <x:t xml:space="preserve"> Failure in litigation management </x:t>
        </x:is>
      </x:c>
      <x:c r="E15" s="7" t="n"/>
      <x:c r="F15" s="6" t="inlineStr">
        <x:is>
          <x:t xml:space="preserve">Mary Waititu</x:t>
        </x:is>
      </x:c>
      <x:c r="G15" s="7" t="inlineStr">
        <x:is>
          <x:t xml:space="preserve">M</x:t>
        </x:is>
      </x:c>
      <x:c r="H15" s="7" t="inlineStr">
        <x:is>
          <x:t xml:space="preserve">Monthly</x:t>
        </x:is>
      </x:c>
      <x:c r="I15" s="6" t="inlineStr">
        <x:is>
          <x:t xml:space="preserve"/>
        </x:is>
      </x:c>
      <x:c r="J15" s="7" t="inlineStr">
        <x:is>
          <x:t xml:space="preserve"/>
        </x:is>
      </x:c>
      <x:c r="K15" s="7" t="inlineStr">
        <x:is>
          <x:t xml:space="preserve"/>
        </x:is>
      </x:c>
      <x:c r="L15" s="6" t="inlineStr">
        <x:is>
          <x:t xml:space="preserve"/>
        </x:is>
      </x:c>
      <x:c r="M15" s="6" t="inlineStr">
        <x:is>
          <x:t xml:space="preserve"/>
        </x:is>
      </x:c>
      <x:c r="N15" s="8" t="inlineStr">
        <x:is>
          <x:t xml:space="preserve"/>
        </x:is>
      </x:c>
      <x:c r="O15" s="7" t="inlineStr">
        <x:is>
          <x:t xml:space="preserve"/>
        </x:is>
      </x:c>
      <x:c r="P15" s="8">
        <x:f>IF($Q15="No","",IF(ISBLANK($N15),DATE(YEAR(TODAY()),MONTH(TODAY()),1),IF($H15="Monthly",EDATE($N15,1),IF($H15="Quarterly",EDATE($N15,3),IF($H15="Semi-Annual",EDATE($N15,6),IF($H15="Annual",EDATE($N15,12),EDATE($N15,1)))))))</x:f>
        <x:v>46054</x:v>
      </x:c>
      <x:c r="Q15" s="7" t="inlineStr">
        <x:is>
          <x:t xml:space="preserve">Yes</x:t>
        </x:is>
      </x:c>
    </x:row>
    <x:row r="16" ht="70" customHeight="1">
      <x:c r="A16" s="6" t="inlineStr">
        <x:is>
          <x:t xml:space="preserve">MCS15</x:t>
        </x:is>
      </x:c>
      <x:c r="B16" s="6" t="inlineStr">
        <x:is>
          <x:t xml:space="preserve">Review of contracts by finance</x:t>
        </x:is>
      </x:c>
      <x:c r="C16" s="6" t="inlineStr">
        <x:is>
          <x:t xml:space="preserve">Finance Controller to review and approve all contracts in a foreign/ local currency, leases and all material commitments to ensure proper accounting.</x:t>
        </x:is>
      </x:c>
      <x:c r="D16" s="6" t="inlineStr">
        <x:is>
          <x:t xml:space="preserve"> Unauthorized transactions/ contracts made on behalf of SunKing.</x:t>
        </x:is>
      </x:c>
      <x:c r="E16" s="7" t="n"/>
      <x:c r="F16" s="6" t="inlineStr">
        <x:is>
          <x:t xml:space="preserve">Ovie Itie</x:t>
        </x:is>
      </x:c>
      <x:c r="G16" s="7" t="inlineStr">
        <x:is>
          <x:t xml:space="preserve">UPR</x:t>
        </x:is>
      </x:c>
      <x:c r="H16" s="7" t="inlineStr">
        <x:is>
          <x:t xml:space="preserve">Monthly</x:t>
        </x:is>
      </x:c>
      <x:c r="I16" s="6" t="inlineStr">
        <x:is>
          <x:t xml:space="preserve"/>
        </x:is>
      </x:c>
      <x:c r="J16" s="7" t="inlineStr">
        <x:is>
          <x:t xml:space="preserve"/>
        </x:is>
      </x:c>
      <x:c r="K16" s="7" t="inlineStr">
        <x:is>
          <x:t xml:space="preserve"/>
        </x:is>
      </x:c>
      <x:c r="L16" s="6" t="inlineStr">
        <x:is>
          <x:t xml:space="preserve"/>
        </x:is>
      </x:c>
      <x:c r="M16" s="6" t="inlineStr">
        <x:is>
          <x:t xml:space="preserve"/>
        </x:is>
      </x:c>
      <x:c r="N16" s="8" t="inlineStr">
        <x:is>
          <x:t xml:space="preserve"/>
        </x:is>
      </x:c>
      <x:c r="O16" s="7" t="inlineStr">
        <x:is>
          <x:t xml:space="preserve"/>
        </x:is>
      </x:c>
      <x:c r="P16" s="8">
        <x:f>IF($Q16="No","",IF(ISBLANK($N16),DATE(YEAR(TODAY()),MONTH(TODAY()),1),IF($H16="Monthly",EDATE($N16,1),IF($H16="Quarterly",EDATE($N16,3),IF($H16="Semi-Annual",EDATE($N16,6),IF($H16="Annual",EDATE($N16,12),EDATE($N16,1)))))))</x:f>
        <x:v>46054</x:v>
      </x:c>
      <x:c r="Q16" s="7" t="inlineStr">
        <x:is>
          <x:t xml:space="preserve">Yes</x:t>
        </x:is>
      </x:c>
    </x:row>
    <x:row r="17" ht="70" customHeight="1">
      <x:c r="A17" s="6" t="inlineStr">
        <x:is>
          <x:t xml:space="preserve">MCS16</x:t>
        </x:is>
      </x:c>
      <x:c r="B17" s="6" t="inlineStr">
        <x:is>
          <x:t xml:space="preserve">Management of titles and permits</x:t>
        </x:is>
      </x:c>
      <x:c r="C17" s="6" t="inlineStr">
        <x:is>
          <x:t xml:space="preserve">List of permits and licenses are maintain by the Legal officer.</x:t>
        </x:is>
      </x:c>
      <x:c r="D17" s="6" t="inlineStr">
        <x:is>
          <x:t xml:space="preserve"> Lack of valid titles, licenses and permits   Corruption and bribery</x:t>
        </x:is>
      </x:c>
      <x:c r="E17" s="7" t="n"/>
      <x:c r="F17" s="6" t="n"/>
      <x:c r="G17" s="7" t="inlineStr">
        <x:is>
          <x:t xml:space="preserve">UPR</x:t>
        </x:is>
      </x:c>
      <x:c r="H17" s="7" t="inlineStr">
        <x:is>
          <x:t xml:space="preserve">Monthly</x:t>
        </x:is>
      </x:c>
      <x:c r="I17" s="6" t="inlineStr">
        <x:is>
          <x:t xml:space="preserve"/>
        </x:is>
      </x:c>
      <x:c r="J17" s="7" t="inlineStr">
        <x:is>
          <x:t xml:space="preserve"/>
        </x:is>
      </x:c>
      <x:c r="K17" s="7" t="inlineStr">
        <x:is>
          <x:t xml:space="preserve"/>
        </x:is>
      </x:c>
      <x:c r="L17" s="6" t="inlineStr">
        <x:is>
          <x:t xml:space="preserve"/>
        </x:is>
      </x:c>
      <x:c r="M17" s="6" t="inlineStr">
        <x:is>
          <x:t xml:space="preserve"/>
        </x:is>
      </x:c>
      <x:c r="N17" s="8" t="inlineStr">
        <x:is>
          <x:t xml:space="preserve"/>
        </x:is>
      </x:c>
      <x:c r="O17" s="7" t="inlineStr">
        <x:is>
          <x:t xml:space="preserve"/>
        </x:is>
      </x:c>
      <x:c r="P17" s="8">
        <x:f>IF($Q17="No","",IF(ISBLANK($N17),DATE(YEAR(TODAY()),MONTH(TODAY()),1),IF($H17="Monthly",EDATE($N17,1),IF($H17="Quarterly",EDATE($N17,3),IF($H17="Semi-Annual",EDATE($N17,6),IF($H17="Annual",EDATE($N17,12),EDATE($N17,1)))))))</x:f>
        <x:v>46054</x:v>
      </x:c>
      <x:c r="Q17" s="7" t="inlineStr">
        <x:is>
          <x:t xml:space="preserve">Yes</x:t>
        </x:is>
      </x:c>
    </x:row>
    <x:row r="18" ht="70" customHeight="1">
      <x:c r="A18" s="6" t="inlineStr">
        <x:is>
          <x:t xml:space="preserve">MCS18</x:t>
        </x:is>
      </x:c>
      <x:c r="B18" s="6" t="inlineStr">
        <x:is>
          <x:t xml:space="preserve">Classification and depreciation of property, plant &amp; equipment</x:t>
        </x:is>
      </x:c>
      <x:c r="C18" s="6" t="inlineStr">
        <x:is>
          <x:t xml:space="preserve"> Approval by the RFC (or designee) to capitalize an expenditure according to the SARP classifications and assign the proper life and depreciation methods </x:t>
        </x:is>
      </x:c>
      <x:c r="D18" s="6" t="inlineStr">
        <x:is>
          <x:t xml:space="preserve"> Inaccurate or fraudulent recording of fixed assets  Non-adherence to accounting and reporting requirements and standards</x:t>
        </x:is>
      </x:c>
      <x:c r="E18" s="7" t="n"/>
      <x:c r="F18" s="6" t="n"/>
      <x:c r="G18" s="7" t="inlineStr">
        <x:is>
          <x:t xml:space="preserve">UPR</x:t>
        </x:is>
      </x:c>
      <x:c r="H18" s="7" t="inlineStr">
        <x:is>
          <x:t xml:space="preserve">Monthly</x:t>
        </x:is>
      </x:c>
      <x:c r="I18" s="6" t="inlineStr">
        <x:is>
          <x:t xml:space="preserve"/>
        </x:is>
      </x:c>
      <x:c r="J18" s="7" t="inlineStr">
        <x:is>
          <x:t xml:space="preserve"/>
        </x:is>
      </x:c>
      <x:c r="K18" s="7" t="inlineStr">
        <x:is>
          <x:t xml:space="preserve"/>
        </x:is>
      </x:c>
      <x:c r="L18" s="6" t="inlineStr">
        <x:is>
          <x:t xml:space="preserve"/>
        </x:is>
      </x:c>
      <x:c r="M18" s="6" t="inlineStr">
        <x:is>
          <x:t xml:space="preserve"/>
        </x:is>
      </x:c>
      <x:c r="N18" s="8" t="inlineStr">
        <x:is>
          <x:t xml:space="preserve"/>
        </x:is>
      </x:c>
      <x:c r="O18" s="7" t="inlineStr">
        <x:is>
          <x:t xml:space="preserve"/>
        </x:is>
      </x:c>
      <x:c r="P18" s="8">
        <x:f>IF($Q18="No","",IF(ISBLANK($N18),DATE(YEAR(TODAY()),MONTH(TODAY()),1),IF($H18="Monthly",EDATE($N18,1),IF($H18="Quarterly",EDATE($N18,3),IF($H18="Semi-Annual",EDATE($N18,6),IF($H18="Annual",EDATE($N18,12),EDATE($N18,1)))))))</x:f>
        <x:v>46054</x:v>
      </x:c>
      <x:c r="Q18" s="7" t="inlineStr">
        <x:is>
          <x:t xml:space="preserve">Yes</x:t>
        </x:is>
      </x:c>
    </x:row>
    <x:row r="19" ht="70" customHeight="1">
      <x:c r="A19" s="6" t="inlineStr">
        <x:is>
          <x:t xml:space="preserve">MCS19</x:t>
        </x:is>
      </x:c>
      <x:c r="B19" s="6" t="inlineStr">
        <x:is>
          <x:t xml:space="preserve">Physical verification of Fixed Asset</x:t>
        </x:is>
      </x:c>
      <x:c r="C19" s="6" t="inlineStr">
        <x:is>
          <x:t xml:space="preserve"> Completion of a physical inventory of fixed assets is performed at least once every year with counts documented and differences identified and adjusted after approval by the FC</x:t>
        </x:is>
      </x:c>
      <x:c r="D19" s="6" t="inlineStr">
        <x:is>
          <x:t xml:space="preserve"> Inaccurate or fraudulent recording of fixed assets </x:t>
        </x:is>
      </x:c>
      <x:c r="E19" s="7" t="n"/>
      <x:c r="F19" s="6" t="n"/>
      <x:c r="G19" s="7" t="inlineStr">
        <x:is>
          <x:t xml:space="preserve">UPR</x:t>
        </x:is>
      </x:c>
      <x:c r="H19" s="7" t="inlineStr">
        <x:is>
          <x:t xml:space="preserve">Monthly</x:t>
        </x:is>
      </x:c>
      <x:c r="I19" s="6" t="inlineStr">
        <x:is>
          <x:t xml:space="preserve"/>
        </x:is>
      </x:c>
      <x:c r="J19" s="7" t="inlineStr">
        <x:is>
          <x:t xml:space="preserve"/>
        </x:is>
      </x:c>
      <x:c r="K19" s="7" t="inlineStr">
        <x:is>
          <x:t xml:space="preserve"/>
        </x:is>
      </x:c>
      <x:c r="L19" s="6" t="inlineStr">
        <x:is>
          <x:t xml:space="preserve"/>
        </x:is>
      </x:c>
      <x:c r="M19" s="6" t="inlineStr">
        <x:is>
          <x:t xml:space="preserve"/>
        </x:is>
      </x:c>
      <x:c r="N19" s="8" t="inlineStr">
        <x:is>
          <x:t xml:space="preserve"/>
        </x:is>
      </x:c>
      <x:c r="O19" s="7" t="inlineStr">
        <x:is>
          <x:t xml:space="preserve"/>
        </x:is>
      </x:c>
      <x:c r="P19" s="8">
        <x:f>IF($Q19="No","",IF(ISBLANK($N19),DATE(YEAR(TODAY()),MONTH(TODAY()),1),IF($H19="Monthly",EDATE($N19,1),IF($H19="Quarterly",EDATE($N19,3),IF($H19="Semi-Annual",EDATE($N19,6),IF($H19="Annual",EDATE($N19,12),EDATE($N19,1)))))))</x:f>
        <x:v>46054</x:v>
      </x:c>
      <x:c r="Q19" s="7" t="inlineStr">
        <x:is>
          <x:t xml:space="preserve">Yes</x:t>
        </x:is>
      </x:c>
    </x:row>
    <x:row r="20" ht="70" customHeight="1">
      <x:c r="A20" s="6" t="inlineStr">
        <x:is>
          <x:t xml:space="preserve">MCS20</x:t>
        </x:is>
      </x:c>
      <x:c r="B20" s="6" t="inlineStr">
        <x:is>
          <x:t xml:space="preserve">Management of customer and inventory master data</x:t>
        </x:is>
      </x:c>
      <x:c r="C20" s="6" t="inlineStr">
        <x:is>
          <x:t xml:space="preserve">KYC must perform on all Easy Buy &amp; Partnership customers by corporate risk department (CRK) </x:t>
        </x:is>
      </x:c>
      <x:c r="D20" s="6" t="inlineStr">
        <x:is>
          <x:t xml:space="preserve"> Failure in customer master data creation or maintenance </x:t>
        </x:is>
      </x:c>
      <x:c r="E20" s="7" t="n"/>
      <x:c r="F20" s="6" t="inlineStr">
        <x:is>
          <x:t xml:space="preserve">Yomi Jegede</x:t>
        </x:is>
      </x:c>
      <x:c r="G20" s="7" t="inlineStr">
        <x:is>
          <x:t xml:space="preserve">M, A, UPR</x:t>
        </x:is>
      </x:c>
      <x:c r="H20" s="7" t="inlineStr">
        <x:is>
          <x:t xml:space="preserve">Monthly</x:t>
        </x:is>
      </x:c>
      <x:c r="I20" s="6" t="inlineStr">
        <x:is>
          <x:t xml:space="preserve"/>
        </x:is>
      </x:c>
      <x:c r="J20" s="7" t="inlineStr">
        <x:is>
          <x:t xml:space="preserve"/>
        </x:is>
      </x:c>
      <x:c r="K20" s="7" t="inlineStr">
        <x:is>
          <x:t xml:space="preserve"/>
        </x:is>
      </x:c>
      <x:c r="L20" s="6" t="inlineStr">
        <x:is>
          <x:t xml:space="preserve"/>
        </x:is>
      </x:c>
      <x:c r="M20" s="6" t="inlineStr">
        <x:is>
          <x:t xml:space="preserve"/>
        </x:is>
      </x:c>
      <x:c r="N20" s="8" t="inlineStr">
        <x:is>
          <x:t xml:space="preserve"/>
        </x:is>
      </x:c>
      <x:c r="O20" s="7" t="inlineStr">
        <x:is>
          <x:t xml:space="preserve"/>
        </x:is>
      </x:c>
      <x:c r="P20" s="8">
        <x:f>IF($Q20="No","",IF(ISBLANK($N20),DATE(YEAR(TODAY()),MONTH(TODAY()),1),IF($H20="Monthly",EDATE($N20,1),IF($H20="Quarterly",EDATE($N20,3),IF($H20="Semi-Annual",EDATE($N20,6),IF($H20="Annual",EDATE($N20,12),EDATE($N20,1)))))))</x:f>
        <x:v>46054</x:v>
      </x:c>
      <x:c r="Q20" s="7" t="inlineStr">
        <x:is>
          <x:t xml:space="preserve">Yes</x:t>
        </x:is>
      </x:c>
    </x:row>
    <x:row r="21" ht="70" customHeight="1">
      <x:c r="A21" s="6" t="inlineStr">
        <x:is>
          <x:t xml:space="preserve">MCS21</x:t>
        </x:is>
      </x:c>
      <x:c r="B21" s="6" t="inlineStr">
        <x:is>
          <x:t xml:space="preserve">Price management</x:t>
        </x:is>
      </x:c>
      <x:c r="C21" s="6" t="inlineStr">
        <x:is>
          <x:t xml:space="preserve">Approval, as per the delegation of authority, of standard prices, price changes are reviewed and documented.</x:t>
        </x:is>
      </x:c>
      <x:c r="D21" s="6" t="inlineStr">
        <x:is>
          <x:t xml:space="preserve"> Lack of commercial strategy and pricing policy </x:t>
        </x:is>
      </x:c>
      <x:c r="E21" s="7" t="n"/>
      <x:c r="F21" s="6" t="n"/>
      <x:c r="G21" s="7" t="inlineStr">
        <x:is>
          <x:t xml:space="preserve">Q, UPR</x:t>
        </x:is>
      </x:c>
      <x:c r="H21" s="7" t="inlineStr">
        <x:is>
          <x:t xml:space="preserve">Quarterly</x:t>
        </x:is>
      </x:c>
      <x:c r="I21" s="6" t="inlineStr">
        <x:is>
          <x:t xml:space="preserve"/>
        </x:is>
      </x:c>
      <x:c r="J21" s="7" t="inlineStr">
        <x:is>
          <x:t xml:space="preserve"/>
        </x:is>
      </x:c>
      <x:c r="K21" s="7" t="inlineStr">
        <x:is>
          <x:t xml:space="preserve"/>
        </x:is>
      </x:c>
      <x:c r="L21" s="6" t="inlineStr">
        <x:is>
          <x:t xml:space="preserve"/>
        </x:is>
      </x:c>
      <x:c r="M21" s="6" t="inlineStr">
        <x:is>
          <x:t xml:space="preserve"/>
        </x:is>
      </x:c>
      <x:c r="N21" s="8" t="inlineStr">
        <x:is>
          <x:t xml:space="preserve"/>
        </x:is>
      </x:c>
      <x:c r="O21" s="7" t="inlineStr">
        <x:is>
          <x:t xml:space="preserve"/>
        </x:is>
      </x:c>
      <x:c r="P21" s="8">
        <x:f>IF($Q21="No","",IF(ISBLANK($N21),DATE(YEAR(TODAY()),MONTH(TODAY()),1),IF($H21="Monthly",EDATE($N21,1),IF($H21="Quarterly",EDATE($N21,3),IF($H21="Semi-Annual",EDATE($N21,6),IF($H21="Annual",EDATE($N21,12),EDATE($N21,1)))))))</x:f>
        <x:v>46054</x:v>
      </x:c>
      <x:c r="Q21" s="7" t="inlineStr">
        <x:is>
          <x:t xml:space="preserve">Yes</x:t>
        </x:is>
      </x:c>
    </x:row>
    <x:row r="22" ht="70" customHeight="1">
      <x:c r="A22" s="6" t="inlineStr">
        <x:is>
          <x:t xml:space="preserve">MCS22.1</x:t>
        </x:is>
      </x:c>
      <x:c r="B22" s="6" t="inlineStr">
        <x:is>
          <x:t xml:space="preserve">Control of customer credit limits - Easybuy</x:t>
        </x:is>
      </x:c>
      <x:c r="C22" s="6" t="inlineStr">
        <x:is>
          <x:t xml:space="preserve">Different categories of agents and the criteria should be documented, reviewed and approved at least annually.</x:t>
        </x:is>
      </x:c>
      <x:c r="D22" s="6" t="inlineStr">
        <x:is>
          <x:t xml:space="preserve"> Lack of commercial strategy and pricing policy </x:t>
        </x:is>
      </x:c>
      <x:c r="E22" s="7" t="n"/>
      <x:c r="F22" s="6" t="inlineStr">
        <x:is>
          <x:t xml:space="preserve">Omoyemi Tuga Ogunsanmi Opeyemi Listbon</x:t>
        </x:is>
      </x:c>
      <x:c r="G22" s="7" t="inlineStr">
        <x:is>
          <x:t xml:space="preserve">UPR, Q</x:t>
        </x:is>
      </x:c>
      <x:c r="H22" s="7" t="inlineStr">
        <x:is>
          <x:t xml:space="preserve">Quarterly</x:t>
        </x:is>
      </x:c>
      <x:c r="I22" s="6" t="inlineStr">
        <x:is>
          <x:t xml:space="preserve"/>
        </x:is>
      </x:c>
      <x:c r="J22" s="7" t="inlineStr">
        <x:is>
          <x:t xml:space="preserve"/>
        </x:is>
      </x:c>
      <x:c r="K22" s="7" t="inlineStr">
        <x:is>
          <x:t xml:space="preserve"/>
        </x:is>
      </x:c>
      <x:c r="L22" s="6" t="inlineStr">
        <x:is>
          <x:t xml:space="preserve"/>
        </x:is>
      </x:c>
      <x:c r="M22" s="6" t="inlineStr">
        <x:is>
          <x:t xml:space="preserve"/>
        </x:is>
      </x:c>
      <x:c r="N22" s="8" t="inlineStr">
        <x:is>
          <x:t xml:space="preserve"/>
        </x:is>
      </x:c>
      <x:c r="O22" s="7" t="inlineStr">
        <x:is>
          <x:t xml:space="preserve"/>
        </x:is>
      </x:c>
      <x:c r="P22" s="8">
        <x:f>IF($Q22="No","",IF(ISBLANK($N22),DATE(YEAR(TODAY()),MONTH(TODAY()),1),IF($H22="Monthly",EDATE($N22,1),IF($H22="Quarterly",EDATE($N22,3),IF($H22="Semi-Annual",EDATE($N22,6),IF($H22="Annual",EDATE($N22,12),EDATE($N22,1)))))))</x:f>
        <x:v>46054</x:v>
      </x:c>
      <x:c r="Q22" s="7" t="inlineStr">
        <x:is>
          <x:t xml:space="preserve">Yes</x:t>
        </x:is>
      </x:c>
    </x:row>
    <x:row r="23" ht="70" customHeight="1">
      <x:c r="A23" s="6" t="inlineStr">
        <x:is>
          <x:t xml:space="preserve">MCS22.2</x:t>
        </x:is>
      </x:c>
      <x:c r="B23" s="6" t="inlineStr">
        <x:is>
          <x:t xml:space="preserve">Control of customer credit limits - Partnership</x:t>
        </x:is>
      </x:c>
      <x:c r="C23" s="6" t="inlineStr">
        <x:is>
          <x:t xml:space="preserve">Monthly reconciliation of balances with partnership entity by Finance.</x:t>
        </x:is>
      </x:c>
      <x:c r="D23" s="6" t="inlineStr">
        <x:is>
          <x:t xml:space="preserve"> Lack of commercial strategy and pricing policy </x:t>
        </x:is>
      </x:c>
      <x:c r="E23" s="7" t="n"/>
      <x:c r="F23" s="6" t="inlineStr">
        <x:is>
          <x:t xml:space="preserve">Eno Umoh Ameh Bright Agbo</x:t>
        </x:is>
      </x:c>
      <x:c r="G23" s="7" t="inlineStr">
        <x:is>
          <x:t xml:space="preserve">UPR, A</x:t>
        </x:is>
      </x:c>
      <x:c r="H23" s="7" t="inlineStr">
        <x:is>
          <x:t xml:space="preserve">Annual</x:t>
        </x:is>
      </x:c>
      <x:c r="I23" s="6" t="inlineStr">
        <x:is>
          <x:t xml:space="preserve"/>
        </x:is>
      </x:c>
      <x:c r="J23" s="7" t="inlineStr">
        <x:is>
          <x:t xml:space="preserve"/>
        </x:is>
      </x:c>
      <x:c r="K23" s="7" t="inlineStr">
        <x:is>
          <x:t xml:space="preserve"/>
        </x:is>
      </x:c>
      <x:c r="L23" s="6" t="inlineStr">
        <x:is>
          <x:t xml:space="preserve"/>
        </x:is>
      </x:c>
      <x:c r="M23" s="6" t="inlineStr">
        <x:is>
          <x:t xml:space="preserve"/>
        </x:is>
      </x:c>
      <x:c r="N23" s="8" t="inlineStr">
        <x:is>
          <x:t xml:space="preserve"/>
        </x:is>
      </x:c>
      <x:c r="O23" s="7" t="inlineStr">
        <x:is>
          <x:t xml:space="preserve"/>
        </x:is>
      </x:c>
      <x:c r="P23" s="8">
        <x:f>IF($Q23="No","",IF(ISBLANK($N23),DATE(YEAR(TODAY()),MONTH(TODAY()),1),IF($H23="Monthly",EDATE($N23,1),IF($H23="Quarterly",EDATE($N23,3),IF($H23="Semi-Annual",EDATE($N23,6),IF($H23="Annual",EDATE($N23,12),EDATE($N23,1)))))))</x:f>
        <x:v>46054</x:v>
      </x:c>
      <x:c r="Q23" s="7" t="inlineStr">
        <x:is>
          <x:t xml:space="preserve">Yes</x:t>
        </x:is>
      </x:c>
    </x:row>
    <x:row r="24" ht="70" customHeight="1">
      <x:c r="A24" s="6" t="inlineStr">
        <x:is>
          <x:t xml:space="preserve">MCS23</x:t>
        </x:is>
      </x:c>
      <x:c r="B24" s="6" t="inlineStr">
        <x:is>
          <x:t xml:space="preserve">Invoicing </x:t>
        </x:is>
      </x:c>
      <x:c r="C24" s="6" t="inlineStr">
        <x:is>
          <x:t xml:space="preserve">All sales orders, shipments and invoices are recorded in the Customer Relationship Management  (CRM) Applications. </x:t>
        </x:is>
      </x:c>
      <x:c r="D24" s="6" t="inlineStr">
        <x:is>
          <x:t xml:space="preserve"> Inaccurate or fraudulent revenue recognition </x:t>
        </x:is>
      </x:c>
      <x:c r="E24" s="7" t="n"/>
      <x:c r="F24" s="6" t="inlineStr">
        <x:is>
          <x:t xml:space="preserve">Ramakant Patil</x:t>
        </x:is>
      </x:c>
      <x:c r="G24" s="7" t="inlineStr">
        <x:is>
          <x:t xml:space="preserve">UPR, M</x:t>
        </x:is>
      </x:c>
      <x:c r="H24" s="7" t="inlineStr">
        <x:is>
          <x:t xml:space="preserve">Monthly</x:t>
        </x:is>
      </x:c>
      <x:c r="I24" s="6" t="inlineStr">
        <x:is>
          <x:t xml:space="preserve"/>
        </x:is>
      </x:c>
      <x:c r="J24" s="7" t="inlineStr">
        <x:is>
          <x:t xml:space="preserve"/>
        </x:is>
      </x:c>
      <x:c r="K24" s="7" t="inlineStr">
        <x:is>
          <x:t xml:space="preserve"/>
        </x:is>
      </x:c>
      <x:c r="L24" s="6" t="inlineStr">
        <x:is>
          <x:t xml:space="preserve"/>
        </x:is>
      </x:c>
      <x:c r="M24" s="6" t="inlineStr">
        <x:is>
          <x:t xml:space="preserve"/>
        </x:is>
      </x:c>
      <x:c r="N24" s="8" t="inlineStr">
        <x:is>
          <x:t xml:space="preserve"/>
        </x:is>
      </x:c>
      <x:c r="O24" s="7" t="inlineStr">
        <x:is>
          <x:t xml:space="preserve"/>
        </x:is>
      </x:c>
      <x:c r="P24" s="8">
        <x:f>IF($Q24="No","",IF(ISBLANK($N24),DATE(YEAR(TODAY()),MONTH(TODAY()),1),IF($H24="Monthly",EDATE($N24,1),IF($H24="Quarterly",EDATE($N24,3),IF($H24="Semi-Annual",EDATE($N24,6),IF($H24="Annual",EDATE($N24,12),EDATE($N24,1)))))))</x:f>
        <x:v>46054</x:v>
      </x:c>
      <x:c r="Q24" s="7" t="inlineStr">
        <x:is>
          <x:t xml:space="preserve">Yes</x:t>
        </x:is>
      </x:c>
    </x:row>
    <x:row r="25" ht="70" customHeight="1">
      <x:c r="A25" s="6" t="inlineStr">
        <x:is>
          <x:t xml:space="preserve">MCS24</x:t>
        </x:is>
      </x:c>
      <x:c r="B25" s="6" t="inlineStr">
        <x:is>
          <x:t xml:space="preserve">Accounts receivable valuation</x:t>
        </x:is>
      </x:c>
      <x:c r="C25" s="6" t="inlineStr">
        <x:is>
          <x:t xml:space="preserve">The assessment of the bad debt allowance is estimated using an expected credit loss (ECL) model. </x:t>
        </x:is>
      </x:c>
      <x:c r="D25" s="6" t="inlineStr">
        <x:is>
          <x:t xml:space="preserve"> Unauthorized or erroneous sales orders and/or shipments.</x:t>
        </x:is>
      </x:c>
      <x:c r="E25" s="7" t="n"/>
      <x:c r="F25" s="6" t="inlineStr">
        <x:is>
          <x:t xml:space="preserve">Zainab Yunusah Saadu</x:t>
        </x:is>
      </x:c>
      <x:c r="G25" s="7" t="inlineStr">
        <x:is>
          <x:t xml:space="preserve">UPR, M</x:t>
        </x:is>
      </x:c>
      <x:c r="H25" s="7" t="inlineStr">
        <x:is>
          <x:t xml:space="preserve">Monthly</x:t>
        </x:is>
      </x:c>
      <x:c r="I25" s="6" t="inlineStr">
        <x:is>
          <x:t xml:space="preserve"/>
        </x:is>
      </x:c>
      <x:c r="J25" s="7" t="inlineStr">
        <x:is>
          <x:t xml:space="preserve"/>
        </x:is>
      </x:c>
      <x:c r="K25" s="7" t="inlineStr">
        <x:is>
          <x:t xml:space="preserve"/>
        </x:is>
      </x:c>
      <x:c r="L25" s="6" t="inlineStr">
        <x:is>
          <x:t xml:space="preserve"/>
        </x:is>
      </x:c>
      <x:c r="M25" s="6" t="inlineStr">
        <x:is>
          <x:t xml:space="preserve"/>
        </x:is>
      </x:c>
      <x:c r="N25" s="8" t="inlineStr">
        <x:is>
          <x:t xml:space="preserve"/>
        </x:is>
      </x:c>
      <x:c r="O25" s="7" t="inlineStr">
        <x:is>
          <x:t xml:space="preserve"/>
        </x:is>
      </x:c>
      <x:c r="P25" s="8">
        <x:f>IF($Q25="No","",IF(ISBLANK($N25),DATE(YEAR(TODAY()),MONTH(TODAY()),1),IF($H25="Monthly",EDATE($N25,1),IF($H25="Quarterly",EDATE($N25,3),IF($H25="Semi-Annual",EDATE($N25,6),IF($H25="Annual",EDATE($N25,12),EDATE($N25,1)))))))</x:f>
        <x:v>46054</x:v>
      </x:c>
      <x:c r="Q25" s="7" t="inlineStr">
        <x:is>
          <x:t xml:space="preserve">Yes</x:t>
        </x:is>
      </x:c>
    </x:row>
    <x:row r="26" ht="70" customHeight="1">
      <x:c r="A26" s="6" t="inlineStr">
        <x:is>
          <x:t xml:space="preserve">MCS25</x:t>
        </x:is>
      </x:c>
      <x:c r="B26" s="6" t="inlineStr">
        <x:is>
          <x:t xml:space="preserve">Execution of onboarding, offboarding, master data management and transfers of workers</x:t>
        </x:is>
      </x:c>
      <x:c r="C26" s="6" t="inlineStr">
        <x:is>
          <x:t xml:space="preserve">Signing, by the employee and the company, of employment contracts or hiring documentation for all employees, including a Compliance Reference Check for Senior positions.</x:t>
        </x:is>
      </x:c>
      <x:c r="D26" s="6" t="inlineStr">
        <x:is>
          <x:t xml:space="preserve"> Lack or ineffective HR management process (for example onboard, offboarding, worker transfer process) </x:t>
        </x:is>
      </x:c>
      <x:c r="E26" s="7" t="n"/>
      <x:c r="F26" s="6" t="n"/>
      <x:c r="G26" s="7" t="inlineStr">
        <x:is>
          <x:t xml:space="preserve">M, UPR</x:t>
        </x:is>
      </x:c>
      <x:c r="H26" s="7" t="inlineStr">
        <x:is>
          <x:t xml:space="preserve">Monthly</x:t>
        </x:is>
      </x:c>
      <x:c r="I26" s="6" t="inlineStr">
        <x:is>
          <x:t xml:space="preserve"/>
        </x:is>
      </x:c>
      <x:c r="J26" s="7" t="inlineStr">
        <x:is>
          <x:t xml:space="preserve"/>
        </x:is>
      </x:c>
      <x:c r="K26" s="7" t="inlineStr">
        <x:is>
          <x:t xml:space="preserve"/>
        </x:is>
      </x:c>
      <x:c r="L26" s="6" t="inlineStr">
        <x:is>
          <x:t xml:space="preserve"/>
        </x:is>
      </x:c>
      <x:c r="M26" s="6" t="inlineStr">
        <x:is>
          <x:t xml:space="preserve"/>
        </x:is>
      </x:c>
      <x:c r="N26" s="8" t="inlineStr">
        <x:is>
          <x:t xml:space="preserve"/>
        </x:is>
      </x:c>
      <x:c r="O26" s="7" t="inlineStr">
        <x:is>
          <x:t xml:space="preserve"/>
        </x:is>
      </x:c>
      <x:c r="P26" s="8">
        <x:f>IF($Q26="No","",IF(ISBLANK($N26),DATE(YEAR(TODAY()),MONTH(TODAY()),1),IF($H26="Monthly",EDATE($N26,1),IF($H26="Quarterly",EDATE($N26,3),IF($H26="Semi-Annual",EDATE($N26,6),IF($H26="Annual",EDATE($N26,12),EDATE($N26,1)))))))</x:f>
        <x:v>46054</x:v>
      </x:c>
      <x:c r="Q26" s="7" t="inlineStr">
        <x:is>
          <x:t xml:space="preserve">Yes</x:t>
        </x:is>
      </x:c>
    </x:row>
    <x:row r="27" ht="70" customHeight="1">
      <x:c r="A27" s="6" t="inlineStr">
        <x:is>
          <x:t xml:space="preserve">MCS26</x:t>
        </x:is>
      </x:c>
      <x:c r="B27" s="6" t="inlineStr">
        <x:is>
          <x:t xml:space="preserve">Payroll</x:t>
        </x:is>
      </x:c>
      <x:c r="C27" s="6" t="n"/>
      <x:c r="D27" s="6" t="n"/>
      <x:c r="E27" s="7" t="n"/>
      <x:c r="F27" s="6" t="inlineStr">
        <x:is>
          <x:t xml:space="preserve">Olamide Ayo-Ogunlade Oluwatosin Ogunsekan</x:t>
        </x:is>
      </x:c>
      <x:c r="G27" s="7" t="n"/>
      <x:c r="H27" s="7" t="inlineStr">
        <x:is>
          <x:t xml:space="preserve">Monthly</x:t>
        </x:is>
      </x:c>
      <x:c r="I27" s="6" t="inlineStr">
        <x:is>
          <x:t xml:space="preserve"/>
        </x:is>
      </x:c>
      <x:c r="J27" s="7" t="inlineStr">
        <x:is>
          <x:t xml:space="preserve"/>
        </x:is>
      </x:c>
      <x:c r="K27" s="7" t="inlineStr">
        <x:is>
          <x:t xml:space="preserve"/>
        </x:is>
      </x:c>
      <x:c r="L27" s="6" t="inlineStr">
        <x:is>
          <x:t xml:space="preserve"/>
        </x:is>
      </x:c>
      <x:c r="M27" s="6" t="inlineStr">
        <x:is>
          <x:t xml:space="preserve"/>
        </x:is>
      </x:c>
      <x:c r="N27" s="8" t="inlineStr">
        <x:is>
          <x:t xml:space="preserve"/>
        </x:is>
      </x:c>
      <x:c r="O27" s="7" t="inlineStr">
        <x:is>
          <x:t xml:space="preserve"/>
        </x:is>
      </x:c>
      <x:c r="P27" s="8">
        <x:f>IF($Q27="No","",IF(ISBLANK($N27),DATE(YEAR(TODAY()),MONTH(TODAY()),1),IF($H27="Monthly",EDATE($N27,1),IF($H27="Quarterly",EDATE($N27,3),IF($H27="Semi-Annual",EDATE($N27,6),IF($H27="Annual",EDATE($N27,12),EDATE($N27,1)))))))</x:f>
        <x:v>46054</x:v>
      </x:c>
      <x:c r="Q27" s="7" t="inlineStr">
        <x:is>
          <x:t xml:space="preserve">Yes</x:t>
        </x:is>
      </x:c>
    </x:row>
    <x:row r="28" ht="70" customHeight="1">
      <x:c r="A28" s="6" t="inlineStr">
        <x:is>
          <x:t xml:space="preserve">MCS27</x:t>
        </x:is>
      </x:c>
      <x:c r="B28" s="6" t="inlineStr">
        <x:is>
          <x:t xml:space="preserve">Compliance with Labour law</x:t>
        </x:is>
      </x:c>
      <x:c r="C28" s="6" t="n"/>
      <x:c r="D28" s="6" t="n"/>
      <x:c r="E28" s="7" t="n"/>
      <x:c r="F28" s="6" t="inlineStr">
        <x:is>
          <x:t xml:space="preserve">Olamide Ayo-Ogunlade Oluwatosin Ogunsekan</x:t>
        </x:is>
      </x:c>
      <x:c r="G28" s="7" t="n"/>
      <x:c r="H28" s="7" t="inlineStr">
        <x:is>
          <x:t xml:space="preserve">Monthly</x:t>
        </x:is>
      </x:c>
      <x:c r="I28" s="6" t="inlineStr">
        <x:is>
          <x:t xml:space="preserve"/>
        </x:is>
      </x:c>
      <x:c r="J28" s="7" t="inlineStr">
        <x:is>
          <x:t xml:space="preserve"/>
        </x:is>
      </x:c>
      <x:c r="K28" s="7" t="inlineStr">
        <x:is>
          <x:t xml:space="preserve"/>
        </x:is>
      </x:c>
      <x:c r="L28" s="6" t="inlineStr">
        <x:is>
          <x:t xml:space="preserve"/>
        </x:is>
      </x:c>
      <x:c r="M28" s="6" t="inlineStr">
        <x:is>
          <x:t xml:space="preserve"/>
        </x:is>
      </x:c>
      <x:c r="N28" s="8" t="inlineStr">
        <x:is>
          <x:t xml:space="preserve"/>
        </x:is>
      </x:c>
      <x:c r="O28" s="7" t="inlineStr">
        <x:is>
          <x:t xml:space="preserve"/>
        </x:is>
      </x:c>
      <x:c r="P28" s="8">
        <x:f>IF($Q28="No","",IF(ISBLANK($N28),DATE(YEAR(TODAY()),MONTH(TODAY()),1),IF($H28="Monthly",EDATE($N28,1),IF($H28="Quarterly",EDATE($N28,3),IF($H28="Semi-Annual",EDATE($N28,6),IF($H28="Annual",EDATE($N28,12),EDATE($N28,1)))))))</x:f>
        <x:v>46054</x:v>
      </x:c>
      <x:c r="Q28" s="7" t="inlineStr">
        <x:is>
          <x:t xml:space="preserve">Yes</x:t>
        </x:is>
      </x:c>
    </x:row>
    <x:row r="29" ht="70" customHeight="1">
      <x:c r="A29" s="6" t="inlineStr">
        <x:is>
          <x:t xml:space="preserve">MCS28</x:t>
        </x:is>
      </x:c>
      <x:c r="B29" s="6" t="inlineStr">
        <x:is>
          <x:t xml:space="preserve">Employee pension and benefit plan</x:t>
        </x:is>
      </x:c>
      <x:c r="C29" s="6" t="inlineStr">
        <x:is>
          <x:t xml:space="preserve">Pensions and post-employment benefit plans are correctly valued by Finance representative</x:t>
        </x:is>
      </x:c>
      <x:c r="D29" s="6" t="inlineStr">
        <x:is>
          <x:t xml:space="preserve"> Error in payroll process or unauthorized employee benefit </x:t>
        </x:is>
      </x:c>
      <x:c r="E29" s="7" t="n"/>
      <x:c r="F29" s="6" t="inlineStr">
        <x:is>
          <x:t xml:space="preserve">Olamide Ayo-Ogunlade Oluwatosin Ogunsekan</x:t>
        </x:is>
      </x:c>
      <x:c r="G29" s="7" t="inlineStr">
        <x:is>
          <x:t xml:space="preserve">UPR, M</x:t>
        </x:is>
      </x:c>
      <x:c r="H29" s="7" t="inlineStr">
        <x:is>
          <x:t xml:space="preserve">Monthly</x:t>
        </x:is>
      </x:c>
      <x:c r="I29" s="6" t="inlineStr">
        <x:is>
          <x:t xml:space="preserve"/>
        </x:is>
      </x:c>
      <x:c r="J29" s="7" t="inlineStr">
        <x:is>
          <x:t xml:space="preserve"/>
        </x:is>
      </x:c>
      <x:c r="K29" s="7" t="inlineStr">
        <x:is>
          <x:t xml:space="preserve"/>
        </x:is>
      </x:c>
      <x:c r="L29" s="6" t="inlineStr">
        <x:is>
          <x:t xml:space="preserve"/>
        </x:is>
      </x:c>
      <x:c r="M29" s="6" t="inlineStr">
        <x:is>
          <x:t xml:space="preserve"/>
        </x:is>
      </x:c>
      <x:c r="N29" s="8" t="inlineStr">
        <x:is>
          <x:t xml:space="preserve"/>
        </x:is>
      </x:c>
      <x:c r="O29" s="7" t="inlineStr">
        <x:is>
          <x:t xml:space="preserve"/>
        </x:is>
      </x:c>
      <x:c r="P29" s="8">
        <x:f>IF($Q29="No","",IF(ISBLANK($N29),DATE(YEAR(TODAY()),MONTH(TODAY()),1),IF($H29="Monthly",EDATE($N29,1),IF($H29="Quarterly",EDATE($N29,3),IF($H29="Semi-Annual",EDATE($N29,6),IF($H29="Annual",EDATE($N29,12),EDATE($N29,1)))))))</x:f>
        <x:v>46054</x:v>
      </x:c>
      <x:c r="Q29" s="7" t="inlineStr">
        <x:is>
          <x:t xml:space="preserve">Yes</x:t>
        </x:is>
      </x:c>
    </x:row>
    <x:row r="30" ht="70" customHeight="1">
      <x:c r="A30" s="6" t="inlineStr">
        <x:is>
          <x:t xml:space="preserve">MCS 29</x:t>
        </x:is>
      </x:c>
      <x:c r="B30" s="6" t="inlineStr">
        <x:is>
          <x:t xml:space="preserve">Management of supplier master data</x:t>
        </x:is>
      </x:c>
      <x:c r="C30" s="6" t="inlineStr">
        <x:is>
          <x:t xml:space="preserve">Changes to supplier master data are performed by an authorized user and based on an approved request</x:t>
        </x:is>
      </x:c>
      <x:c r="D30" s="6" t="inlineStr">
        <x:is>
          <x:t xml:space="preserve"> Ineffective or unethical vendor selection.</x:t>
        </x:is>
      </x:c>
      <x:c r="E30" s="7" t="n"/>
      <x:c r="F30" s="6" t="inlineStr">
        <x:is>
          <x:t xml:space="preserve">Ramakant Patil Zainab Yunusah Saadu</x:t>
        </x:is>
      </x:c>
      <x:c r="G30" s="7" t="inlineStr">
        <x:is>
          <x:t xml:space="preserve">UPR, Q</x:t>
        </x:is>
      </x:c>
      <x:c r="H30" s="7" t="inlineStr">
        <x:is>
          <x:t xml:space="preserve">Quarterly</x:t>
        </x:is>
      </x:c>
      <x:c r="I30" s="6" t="inlineStr">
        <x:is>
          <x:t xml:space="preserve"/>
        </x:is>
      </x:c>
      <x:c r="J30" s="7" t="inlineStr">
        <x:is>
          <x:t xml:space="preserve"/>
        </x:is>
      </x:c>
      <x:c r="K30" s="7" t="inlineStr">
        <x:is>
          <x:t xml:space="preserve"/>
        </x:is>
      </x:c>
      <x:c r="L30" s="6" t="inlineStr">
        <x:is>
          <x:t xml:space="preserve"/>
        </x:is>
      </x:c>
      <x:c r="M30" s="6" t="inlineStr">
        <x:is>
          <x:t xml:space="preserve"/>
        </x:is>
      </x:c>
      <x:c r="N30" s="8" t="inlineStr">
        <x:is>
          <x:t xml:space="preserve"/>
        </x:is>
      </x:c>
      <x:c r="O30" s="7" t="inlineStr">
        <x:is>
          <x:t xml:space="preserve"/>
        </x:is>
      </x:c>
      <x:c r="P30" s="8">
        <x:f>IF($Q30="No","",IF(ISBLANK($N30),DATE(YEAR(TODAY()),MONTH(TODAY()),1),IF($H30="Monthly",EDATE($N30,1),IF($H30="Quarterly",EDATE($N30,3),IF($H30="Semi-Annual",EDATE($N30,6),IF($H30="Annual",EDATE($N30,12),EDATE($N30,1)))))))</x:f>
        <x:v>46054</x:v>
      </x:c>
      <x:c r="Q30" s="7" t="inlineStr">
        <x:is>
          <x:t xml:space="preserve">Yes</x:t>
        </x:is>
      </x:c>
    </x:row>
    <x:row r="31" ht="70" customHeight="1">
      <x:c r="A31" s="6" t="inlineStr">
        <x:is>
          <x:t xml:space="preserve">MCS30</x:t>
        </x:is>
      </x:c>
      <x:c r="B31" s="6" t="inlineStr">
        <x:is>
          <x:t xml:space="preserve">Vendor Registration and Performance Management</x:t>
        </x:is>
      </x:c>
      <x:c r="C31" s="6" t="inlineStr">
        <x:is>
          <x:t xml:space="preserve">KYC compliance required for all vendors in line with KYC Policy. Exceptions to be supported with appropriate approval</x:t>
        </x:is>
      </x:c>
      <x:c r="D31" s="6" t="inlineStr">
        <x:is>
          <x:t xml:space="preserve"> Ineffective or unethical vendor selection process.</x:t>
        </x:is>
      </x:c>
      <x:c r="E31" s="7" t="n"/>
      <x:c r="F31" s="6" t="inlineStr">
        <x:is>
          <x:t xml:space="preserve">Ramakant Patil Zainab Yunusah Saadu</x:t>
        </x:is>
      </x:c>
      <x:c r="G31" s="7" t="inlineStr">
        <x:is>
          <x:t xml:space="preserve">UPR, A</x:t>
        </x:is>
      </x:c>
      <x:c r="H31" s="7" t="inlineStr">
        <x:is>
          <x:t xml:space="preserve">Annual</x:t>
        </x:is>
      </x:c>
      <x:c r="I31" s="6" t="inlineStr">
        <x:is>
          <x:t xml:space="preserve"/>
        </x:is>
      </x:c>
      <x:c r="J31" s="7" t="inlineStr">
        <x:is>
          <x:t xml:space="preserve"/>
        </x:is>
      </x:c>
      <x:c r="K31" s="7" t="inlineStr">
        <x:is>
          <x:t xml:space="preserve"/>
        </x:is>
      </x:c>
      <x:c r="L31" s="6" t="inlineStr">
        <x:is>
          <x:t xml:space="preserve"/>
        </x:is>
      </x:c>
      <x:c r="M31" s="6" t="inlineStr">
        <x:is>
          <x:t xml:space="preserve"/>
        </x:is>
      </x:c>
      <x:c r="N31" s="8" t="inlineStr">
        <x:is>
          <x:t xml:space="preserve"/>
        </x:is>
      </x:c>
      <x:c r="O31" s="7" t="inlineStr">
        <x:is>
          <x:t xml:space="preserve"/>
        </x:is>
      </x:c>
      <x:c r="P31" s="8">
        <x:f>IF($Q31="No","",IF(ISBLANK($N31),DATE(YEAR(TODAY()),MONTH(TODAY()),1),IF($H31="Monthly",EDATE($N31,1),IF($H31="Quarterly",EDATE($N31,3),IF($H31="Semi-Annual",EDATE($N31,6),IF($H31="Annual",EDATE($N31,12),EDATE($N31,1)))))))</x:f>
        <x:v>46054</x:v>
      </x:c>
      <x:c r="Q31" s="7" t="inlineStr">
        <x:is>
          <x:t xml:space="preserve">Yes</x:t>
        </x:is>
      </x:c>
    </x:row>
    <x:row r="32" ht="70" customHeight="1">
      <x:c r="A32" s="6" t="inlineStr">
        <x:is>
          <x:t xml:space="preserve">MCS31</x:t>
        </x:is>
      </x:c>
      <x:c r="B32" s="6" t="inlineStr">
        <x:is>
          <x:t xml:space="preserve">Three-way match, two way match and direct vendor invoices</x:t>
        </x:is>
      </x:c>
      <x:c r="C32" s="6" t="inlineStr">
        <x:is>
          <x:t xml:space="preserve">Approval of Purchase request by Finance Department based on DOA.</x:t>
        </x:is>
      </x:c>
      <x:c r="D32" s="6" t="inlineStr">
        <x:is>
          <x:t xml:space="preserve">Fraudulent or incorrect purchase order </x:t>
        </x:is>
      </x:c>
      <x:c r="E32" s="7" t="n"/>
      <x:c r="F32" s="6" t="inlineStr">
        <x:is>
          <x:t xml:space="preserve">Ramakant Patil Zainab Yunusah Saadu</x:t>
        </x:is>
      </x:c>
      <x:c r="G32" s="7" t="inlineStr">
        <x:is>
          <x:t xml:space="preserve">UPR</x:t>
        </x:is>
      </x:c>
      <x:c r="H32" s="7" t="inlineStr">
        <x:is>
          <x:t xml:space="preserve">Monthly</x:t>
        </x:is>
      </x:c>
      <x:c r="I32" s="6" t="inlineStr">
        <x:is>
          <x:t xml:space="preserve"/>
        </x:is>
      </x:c>
      <x:c r="J32" s="7" t="inlineStr">
        <x:is>
          <x:t xml:space="preserve"/>
        </x:is>
      </x:c>
      <x:c r="K32" s="7" t="inlineStr">
        <x:is>
          <x:t xml:space="preserve"/>
        </x:is>
      </x:c>
      <x:c r="L32" s="6" t="inlineStr">
        <x:is>
          <x:t xml:space="preserve"/>
        </x:is>
      </x:c>
      <x:c r="M32" s="6" t="inlineStr">
        <x:is>
          <x:t xml:space="preserve"/>
        </x:is>
      </x:c>
      <x:c r="N32" s="8" t="inlineStr">
        <x:is>
          <x:t xml:space="preserve"/>
        </x:is>
      </x:c>
      <x:c r="O32" s="7" t="inlineStr">
        <x:is>
          <x:t xml:space="preserve"/>
        </x:is>
      </x:c>
      <x:c r="P32" s="8">
        <x:f>IF($Q32="No","",IF(ISBLANK($N32),DATE(YEAR(TODAY()),MONTH(TODAY()),1),IF($H32="Monthly",EDATE($N32,1),IF($H32="Quarterly",EDATE($N32,3),IF($H32="Semi-Annual",EDATE($N32,6),IF($H32="Annual",EDATE($N32,12),EDATE($N32,1)))))))</x:f>
        <x:v>46054</x:v>
      </x:c>
      <x:c r="Q32" s="7" t="inlineStr">
        <x:is>
          <x:t xml:space="preserve">Yes</x:t>
        </x:is>
      </x:c>
    </x:row>
    <x:row r="33" ht="70" customHeight="1">
      <x:c r="A33" s="6" t="inlineStr">
        <x:is>
          <x:t xml:space="preserve">MCS32</x:t>
        </x:is>
      </x:c>
      <x:c r="B33" s="6" t="inlineStr">
        <x:is>
          <x:t xml:space="preserve">Payment processing</x:t>
        </x:is>
      </x:c>
      <x:c r="C33" s="6" t="inlineStr">
        <x:is>
          <x:t xml:space="preserve">Approval according to the Global Delegated Authorities, the local delegation of authority and related directives, of all payments and cash disbursements, prior to payment </x:t>
        </x:is>
      </x:c>
      <x:c r="D33" s="6" t="inlineStr">
        <x:is>
          <x:t xml:space="preserve"> Unauthorized or erroneous processing of supplier payments </x:t>
        </x:is>
      </x:c>
      <x:c r="E33" s="7" t="n"/>
      <x:c r="F33" s="6" t="inlineStr">
        <x:is>
          <x:t xml:space="preserve">Ramakant Patil Zainab Yunusah Saadu</x:t>
        </x:is>
      </x:c>
      <x:c r="G33" s="7" t="inlineStr">
        <x:is>
          <x:t xml:space="preserve">UPR, M</x:t>
        </x:is>
      </x:c>
      <x:c r="H33" s="7" t="inlineStr">
        <x:is>
          <x:t xml:space="preserve">Monthly</x:t>
        </x:is>
      </x:c>
      <x:c r="I33" s="6" t="inlineStr">
        <x:is>
          <x:t xml:space="preserve"/>
        </x:is>
      </x:c>
      <x:c r="J33" s="7" t="inlineStr">
        <x:is>
          <x:t xml:space="preserve"/>
        </x:is>
      </x:c>
      <x:c r="K33" s="7" t="inlineStr">
        <x:is>
          <x:t xml:space="preserve"/>
        </x:is>
      </x:c>
      <x:c r="L33" s="6" t="inlineStr">
        <x:is>
          <x:t xml:space="preserve"/>
        </x:is>
      </x:c>
      <x:c r="M33" s="6" t="inlineStr">
        <x:is>
          <x:t xml:space="preserve"/>
        </x:is>
      </x:c>
      <x:c r="N33" s="8" t="inlineStr">
        <x:is>
          <x:t xml:space="preserve"/>
        </x:is>
      </x:c>
      <x:c r="O33" s="7" t="inlineStr">
        <x:is>
          <x:t xml:space="preserve"/>
        </x:is>
      </x:c>
      <x:c r="P33" s="8">
        <x:f>IF($Q33="No","",IF(ISBLANK($N33),DATE(YEAR(TODAY()),MONTH(TODAY()),1),IF($H33="Monthly",EDATE($N33,1),IF($H33="Quarterly",EDATE($N33,3),IF($H33="Semi-Annual",EDATE($N33,6),IF($H33="Annual",EDATE($N33,12),EDATE($N33,1)))))))</x:f>
        <x:v>46054</x:v>
      </x:c>
      <x:c r="Q33" s="7" t="inlineStr">
        <x:is>
          <x:t xml:space="preserve">Yes</x:t>
        </x:is>
      </x:c>
    </x:row>
    <x:row r="34" ht="70" customHeight="1">
      <x:c r="A34" s="6" t="inlineStr">
        <x:is>
          <x:t xml:space="preserve">MCS33</x:t>
        </x:is>
      </x:c>
      <x:c r="B34" s="6" t="inlineStr">
        <x:is>
          <x:t xml:space="preserve">3 Accruals for expenditures not invoiced</x:t>
        </x:is>
      </x:c>
      <x:c r="C34" s="6" t="inlineStr">
        <x:is>
          <x:t xml:space="preserve">All goods receipt (GR) and services receipt (SR) should be recorded before the month end by the responsible locations</x:t>
        </x:is>
      </x:c>
      <x:c r="D34" s="6" t="inlineStr">
        <x:is>
          <x:t xml:space="preserve"> Inaccurate or fraudulent recording of expenditure and accruals </x:t>
        </x:is>
      </x:c>
      <x:c r="E34" s="7" t="n"/>
      <x:c r="F34" s="6" t="inlineStr">
        <x:is>
          <x:t xml:space="preserve">Ramakant Patil Zainab Yunusah Saadu</x:t>
        </x:is>
      </x:c>
      <x:c r="G34" s="7" t="inlineStr">
        <x:is>
          <x:t xml:space="preserve">UPR, M</x:t>
        </x:is>
      </x:c>
      <x:c r="H34" s="7" t="inlineStr">
        <x:is>
          <x:t xml:space="preserve">Monthly</x:t>
        </x:is>
      </x:c>
      <x:c r="I34" s="6" t="inlineStr">
        <x:is>
          <x:t xml:space="preserve"/>
        </x:is>
      </x:c>
      <x:c r="J34" s="7" t="inlineStr">
        <x:is>
          <x:t xml:space="preserve"/>
        </x:is>
      </x:c>
      <x:c r="K34" s="7" t="inlineStr">
        <x:is>
          <x:t xml:space="preserve"/>
        </x:is>
      </x:c>
      <x:c r="L34" s="6" t="inlineStr">
        <x:is>
          <x:t xml:space="preserve"/>
        </x:is>
      </x:c>
      <x:c r="M34" s="6" t="inlineStr">
        <x:is>
          <x:t xml:space="preserve"/>
        </x:is>
      </x:c>
      <x:c r="N34" s="8" t="inlineStr">
        <x:is>
          <x:t xml:space="preserve"/>
        </x:is>
      </x:c>
      <x:c r="O34" s="7" t="inlineStr">
        <x:is>
          <x:t xml:space="preserve"/>
        </x:is>
      </x:c>
      <x:c r="P34" s="8">
        <x:f>IF($Q34="No","",IF(ISBLANK($N34),DATE(YEAR(TODAY()),MONTH(TODAY()),1),IF($H34="Monthly",EDATE($N34,1),IF($H34="Quarterly",EDATE($N34,3),IF($H34="Semi-Annual",EDATE($N34,6),IF($H34="Annual",EDATE($N34,12),EDATE($N34,1)))))))</x:f>
        <x:v>46054</x:v>
      </x:c>
      <x:c r="Q34" s="7" t="inlineStr">
        <x:is>
          <x:t xml:space="preserve">Yes</x:t>
        </x:is>
      </x:c>
    </x:row>
    <x:row r="35" ht="70" customHeight="1">
      <x:c r="A35" s="6" t="inlineStr">
        <x:is>
          <x:t xml:space="preserve">MCS34</x:t>
        </x:is>
      </x:c>
      <x:c r="B35" s="6" t="inlineStr">
        <x:is>
          <x:t xml:space="preserve">Physical Stock Count ,Reconciliation &amp; Valuation</x:t>
        </x:is>
      </x:c>
      <x:c r="C35" s="6" t="inlineStr">
        <x:is>
          <x:t xml:space="preserve">Physical verification of inventory is conducted annually (or by rotation throughout the year) with counts documented and discrepancy.</x:t>
        </x:is>
      </x:c>
      <x:c r="D35" s="6" t="inlineStr">
        <x:is>
          <x:t xml:space="preserve">Inaccurate or fraudulent recording and tracking of inventory</x:t>
        </x:is>
      </x:c>
      <x:c r="E35" s="7" t="n"/>
      <x:c r="F35" s="6" t="inlineStr">
        <x:is>
          <x:t xml:space="preserve">Yomi Jegede Zainab Yunusah Saadu</x:t>
        </x:is>
      </x:c>
      <x:c r="G35" s="7" t="inlineStr">
        <x:is>
          <x:t xml:space="preserve">M, A</x:t>
        </x:is>
      </x:c>
      <x:c r="H35" s="7" t="inlineStr">
        <x:is>
          <x:t xml:space="preserve">Monthly</x:t>
        </x:is>
      </x:c>
      <x:c r="I35" s="6" t="inlineStr">
        <x:is>
          <x:t xml:space="preserve"/>
        </x:is>
      </x:c>
      <x:c r="J35" s="7" t="inlineStr">
        <x:is>
          <x:t xml:space="preserve"/>
        </x:is>
      </x:c>
      <x:c r="K35" s="7" t="inlineStr">
        <x:is>
          <x:t xml:space="preserve"/>
        </x:is>
      </x:c>
      <x:c r="L35" s="6" t="inlineStr">
        <x:is>
          <x:t xml:space="preserve"/>
        </x:is>
      </x:c>
      <x:c r="M35" s="6" t="inlineStr">
        <x:is>
          <x:t xml:space="preserve"/>
        </x:is>
      </x:c>
      <x:c r="N35" s="8" t="inlineStr">
        <x:is>
          <x:t xml:space="preserve"/>
        </x:is>
      </x:c>
      <x:c r="O35" s="7" t="inlineStr">
        <x:is>
          <x:t xml:space="preserve"/>
        </x:is>
      </x:c>
      <x:c r="P35" s="8">
        <x:f>IF($Q35="No","",IF(ISBLANK($N35),DATE(YEAR(TODAY()),MONTH(TODAY()),1),IF($H35="Monthly",EDATE($N35,1),IF($H35="Quarterly",EDATE($N35,3),IF($H35="Semi-Annual",EDATE($N35,6),IF($H35="Annual",EDATE($N35,12),EDATE($N35,1)))))))</x:f>
        <x:v>46054</x:v>
      </x:c>
      <x:c r="Q35" s="7" t="inlineStr">
        <x:is>
          <x:t xml:space="preserve">Yes</x:t>
        </x:is>
      </x:c>
    </x:row>
    <x:row r="36" ht="70" customHeight="1">
      <x:c r="A36" s="6" t="inlineStr">
        <x:is>
          <x:t xml:space="preserve">MCS35</x:t>
        </x:is>
      </x:c>
      <x:c r="B36" s="6" t="inlineStr">
        <x:is>
          <x:t xml:space="preserve">Inventory Documentation (IMPEX)</x:t>
        </x:is>
      </x:c>
      <x:c r="C36" s="6" t="inlineStr">
        <x:is>
          <x:t xml:space="preserve">Approval of the inventory costing and valuation according to the local delegation of authority (DoA).</x:t>
        </x:is>
      </x:c>
      <x:c r="D36" s="6" t="inlineStr">
        <x:is>
          <x:t xml:space="preserve">Inaccurate or fraudulent recording and tracking of inventory </x:t>
        </x:is>
      </x:c>
      <x:c r="E36" s="7" t="n"/>
      <x:c r="F36" s="6" t="inlineStr">
        <x:is>
          <x:t xml:space="preserve">Yomi Jegede Zainab Yunusah Saadu</x:t>
        </x:is>
      </x:c>
      <x:c r="G36" s="7" t="inlineStr">
        <x:is>
          <x:t xml:space="preserve">M, A</x:t>
        </x:is>
      </x:c>
      <x:c r="H36" s="7" t="inlineStr">
        <x:is>
          <x:t xml:space="preserve">Monthly</x:t>
        </x:is>
      </x:c>
      <x:c r="I36" s="6" t="inlineStr">
        <x:is>
          <x:t xml:space="preserve"/>
        </x:is>
      </x:c>
      <x:c r="J36" s="7" t="inlineStr">
        <x:is>
          <x:t xml:space="preserve"/>
        </x:is>
      </x:c>
      <x:c r="K36" s="7" t="inlineStr">
        <x:is>
          <x:t xml:space="preserve"/>
        </x:is>
      </x:c>
      <x:c r="L36" s="6" t="inlineStr">
        <x:is>
          <x:t xml:space="preserve"/>
        </x:is>
      </x:c>
      <x:c r="M36" s="6" t="inlineStr">
        <x:is>
          <x:t xml:space="preserve"/>
        </x:is>
      </x:c>
      <x:c r="N36" s="8" t="inlineStr">
        <x:is>
          <x:t xml:space="preserve"/>
        </x:is>
      </x:c>
      <x:c r="O36" s="7" t="inlineStr">
        <x:is>
          <x:t xml:space="preserve"/>
        </x:is>
      </x:c>
      <x:c r="P36" s="8">
        <x:f>IF($Q36="No","",IF(ISBLANK($N36),DATE(YEAR(TODAY()),MONTH(TODAY()),1),IF($H36="Monthly",EDATE($N36,1),IF($H36="Quarterly",EDATE($N36,3),IF($H36="Semi-Annual",EDATE($N36,6),IF($H36="Annual",EDATE($N36,12),EDATE($N36,1)))))))</x:f>
        <x:v>46054</x:v>
      </x:c>
      <x:c r="Q36" s="7" t="inlineStr">
        <x:is>
          <x:t xml:space="preserve">Yes</x:t>
        </x:is>
      </x:c>
    </x:row>
    <x:row r="37" ht="70" customHeight="1">
      <x:c r="A37" s="6" t="inlineStr">
        <x:is>
          <x:t xml:space="preserve">MCS36</x:t>
        </x:is>
      </x:c>
      <x:c r="B37" s="6" t="inlineStr">
        <x:is>
          <x:t xml:space="preserve">Management of access to IT systems</x:t>
        </x:is>
      </x:c>
      <x:c r="C37" s="6" t="inlineStr">
        <x:is>
          <x:t xml:space="preserve"> Access to the IT systems will only be granted, changed or terminated based upon a correctly authorized access request as per defined procedureity of all internal users, and the SunKing sponsor for external users </x:t>
        </x:is>
      </x:c>
      <x:c r="D37" s="6" t="inlineStr">
        <x:is>
          <x:t xml:space="preserve">Unauthorized access, disclosure, modification, damage or loss of data </x:t>
        </x:is>
      </x:c>
      <x:c r="E37" s="7" t="n"/>
      <x:c r="F37" s="6" t="inlineStr">
        <x:is>
          <x:t xml:space="preserve">Theophilus Okolie </x:t>
        </x:is>
      </x:c>
      <x:c r="G37" s="7" t="inlineStr">
        <x:is>
          <x:t xml:space="preserve">UPR</x:t>
        </x:is>
      </x:c>
      <x:c r="H37" s="7" t="inlineStr">
        <x:is>
          <x:t xml:space="preserve">Monthly</x:t>
        </x:is>
      </x:c>
      <x:c r="I37" s="6" t="inlineStr">
        <x:is>
          <x:t xml:space="preserve"/>
        </x:is>
      </x:c>
      <x:c r="J37" s="7" t="inlineStr">
        <x:is>
          <x:t xml:space="preserve"/>
        </x:is>
      </x:c>
      <x:c r="K37" s="7" t="inlineStr">
        <x:is>
          <x:t xml:space="preserve"/>
        </x:is>
      </x:c>
      <x:c r="L37" s="6" t="inlineStr">
        <x:is>
          <x:t xml:space="preserve"/>
        </x:is>
      </x:c>
      <x:c r="M37" s="6" t="inlineStr">
        <x:is>
          <x:t xml:space="preserve"/>
        </x:is>
      </x:c>
      <x:c r="N37" s="8" t="inlineStr">
        <x:is>
          <x:t xml:space="preserve"/>
        </x:is>
      </x:c>
      <x:c r="O37" s="7" t="inlineStr">
        <x:is>
          <x:t xml:space="preserve"/>
        </x:is>
      </x:c>
      <x:c r="P37" s="8">
        <x:f>IF($Q37="No","",IF(ISBLANK($N37),DATE(YEAR(TODAY()),MONTH(TODAY()),1),IF($H37="Monthly",EDATE($N37,1),IF($H37="Quarterly",EDATE($N37,3),IF($H37="Semi-Annual",EDATE($N37,6),IF($H37="Annual",EDATE($N37,12),EDATE($N37,1)))))))</x:f>
        <x:v>46054</x:v>
      </x:c>
      <x:c r="Q37" s="7" t="inlineStr">
        <x:is>
          <x:t xml:space="preserve">Yes</x:t>
        </x:is>
      </x:c>
    </x:row>
    <x:row r="38" ht="70" customHeight="1">
      <x:c r="A38" s="6" t="inlineStr">
        <x:is>
          <x:t xml:space="preserve">MCS37</x:t>
        </x:is>
      </x:c>
      <x:c r="B38" s="6" t="inlineStr">
        <x:is>
          <x:t xml:space="preserve">Review of IT user access rights to production IT systems</x:t>
        </x:is>
      </x:c>
      <x:c r="C38" s="6" t="inlineStr">
        <x:is>
          <x:t xml:space="preserve">IT performs a half yearly review of all IT user access rights and permissions for accounts within the production systems. Half year</x:t>
        </x:is>
      </x:c>
      <x:c r="D38" s="6" t="inlineStr">
        <x:is>
          <x:t xml:space="preserve">Unauthorized access, disclosure, modification, damage or loss of data</x:t>
        </x:is>
      </x:c>
      <x:c r="E38" s="7" t="n"/>
      <x:c r="F38" s="6" t="inlineStr">
        <x:is>
          <x:t xml:space="preserve">Theophilus Okolie </x:t>
        </x:is>
      </x:c>
      <x:c r="G38" s="7" t="inlineStr">
        <x:is>
          <x:t xml:space="preserve">UPR, HY</x:t>
        </x:is>
      </x:c>
      <x:c r="H38" s="7" t="inlineStr">
        <x:is>
          <x:t xml:space="preserve">Monthly</x:t>
        </x:is>
      </x:c>
      <x:c r="I38" s="6" t="inlineStr">
        <x:is>
          <x:t xml:space="preserve"/>
        </x:is>
      </x:c>
      <x:c r="J38" s="7" t="inlineStr">
        <x:is>
          <x:t xml:space="preserve"/>
        </x:is>
      </x:c>
      <x:c r="K38" s="7" t="inlineStr">
        <x:is>
          <x:t xml:space="preserve"/>
        </x:is>
      </x:c>
      <x:c r="L38" s="6" t="inlineStr">
        <x:is>
          <x:t xml:space="preserve"/>
        </x:is>
      </x:c>
      <x:c r="M38" s="6" t="inlineStr">
        <x:is>
          <x:t xml:space="preserve"/>
        </x:is>
      </x:c>
      <x:c r="N38" s="8" t="inlineStr">
        <x:is>
          <x:t xml:space="preserve"/>
        </x:is>
      </x:c>
      <x:c r="O38" s="7" t="inlineStr">
        <x:is>
          <x:t xml:space="preserve"/>
        </x:is>
      </x:c>
      <x:c r="P38" s="8">
        <x:f>IF($Q38="No","",IF(ISBLANK($N38),DATE(YEAR(TODAY()),MONTH(TODAY()),1),IF($H38="Monthly",EDATE($N38,1),IF($H38="Quarterly",EDATE($N38,3),IF($H38="Semi-Annual",EDATE($N38,6),IF($H38="Annual",EDATE($N38,12),EDATE($N38,1)))))))</x:f>
        <x:v>46054</x:v>
      </x:c>
      <x:c r="Q38" s="7" t="inlineStr">
        <x:is>
          <x:t xml:space="preserve">Yes</x:t>
        </x:is>
      </x:c>
    </x:row>
    <x:row r="39" ht="70" customHeight="1">
      <x:c r="A39" s="6" t="inlineStr">
        <x:is>
          <x:t xml:space="preserve">MCS38</x:t>
        </x:is>
      </x:c>
      <x:c r="B39" s="6" t="inlineStr">
        <x:is>
          <x:t xml:space="preserve">Security configuration settings and batch job management</x:t>
        </x:is>
      </x:c>
      <x:c r="C39" s="6" t="inlineStr">
        <x:is>
          <x:t xml:space="preserve">IT performs a half yearly review of all IT user access rights and permissions for accounts within the production systems.</x:t>
        </x:is>
      </x:c>
      <x:c r="D39" s="6" t="inlineStr">
        <x:is>
          <x:t xml:space="preserve">Unauthorized access, disclosure, modification, damage or loss of data </x:t>
        </x:is>
      </x:c>
      <x:c r="E39" s="7" t="n"/>
      <x:c r="F39" s="6" t="inlineStr">
        <x:is>
          <x:t xml:space="preserve">Theophilus Okolie </x:t>
        </x:is>
      </x:c>
      <x:c r="G39" s="7" t="inlineStr">
        <x:is>
          <x:t xml:space="preserve">HY, UPR</x:t>
        </x:is>
      </x:c>
      <x:c r="H39" s="7" t="inlineStr">
        <x:is>
          <x:t xml:space="preserve">Monthly</x:t>
        </x:is>
      </x:c>
      <x:c r="I39" s="6" t="inlineStr">
        <x:is>
          <x:t xml:space="preserve"/>
        </x:is>
      </x:c>
      <x:c r="J39" s="7" t="inlineStr">
        <x:is>
          <x:t xml:space="preserve"/>
        </x:is>
      </x:c>
      <x:c r="K39" s="7" t="inlineStr">
        <x:is>
          <x:t xml:space="preserve"/>
        </x:is>
      </x:c>
      <x:c r="L39" s="6" t="inlineStr">
        <x:is>
          <x:t xml:space="preserve"/>
        </x:is>
      </x:c>
      <x:c r="M39" s="6" t="inlineStr">
        <x:is>
          <x:t xml:space="preserve"/>
        </x:is>
      </x:c>
      <x:c r="N39" s="8" t="inlineStr">
        <x:is>
          <x:t xml:space="preserve"/>
        </x:is>
      </x:c>
      <x:c r="O39" s="7" t="inlineStr">
        <x:is>
          <x:t xml:space="preserve"/>
        </x:is>
      </x:c>
      <x:c r="P39" s="8">
        <x:f>IF($Q39="No","",IF(ISBLANK($N39),DATE(YEAR(TODAY()),MONTH(TODAY()),1),IF($H39="Monthly",EDATE($N39,1),IF($H39="Quarterly",EDATE($N39,3),IF($H39="Semi-Annual",EDATE($N39,6),IF($H39="Annual",EDATE($N39,12),EDATE($N39,1)))))))</x:f>
        <x:v>46054</x:v>
      </x:c>
      <x:c r="Q39" s="7" t="inlineStr">
        <x:is>
          <x:t xml:space="preserve">Yes</x:t>
        </x:is>
      </x:c>
    </x:row>
    <x:row r="40" ht="70" customHeight="1">
      <x:c r="A40" s="6" t="inlineStr">
        <x:is>
          <x:t xml:space="preserve">MCS39</x:t>
        </x:is>
      </x:c>
      <x:c r="B40" s="6" t="inlineStr">
        <x:is>
          <x:t xml:space="preserve">Data backup, storage and restoration process</x:t>
        </x:is>
      </x:c>
      <x:c r="C40" s="6" t="inlineStr">
        <x:is>
          <x:t xml:space="preserve">IT performs a half yearly review of all IT user access rights and permissions for accounts within the production systems</x:t>
        </x:is>
      </x:c>
      <x:c r="D40" s="6" t="inlineStr">
        <x:is>
          <x:t xml:space="preserve">Business disruption due to IT/OT unavailability </x:t>
        </x:is>
      </x:c>
      <x:c r="E40" s="7" t="n"/>
      <x:c r="F40" s="6" t="inlineStr">
        <x:is>
          <x:t xml:space="preserve">Theophilus Okolie </x:t>
        </x:is>
      </x:c>
      <x:c r="G40" s="7" t="inlineStr">
        <x:is>
          <x:t xml:space="preserve">UPR, HY</x:t>
        </x:is>
      </x:c>
      <x:c r="H40" s="7" t="inlineStr">
        <x:is>
          <x:t xml:space="preserve">Monthly</x:t>
        </x:is>
      </x:c>
      <x:c r="I40" s="6" t="inlineStr">
        <x:is>
          <x:t xml:space="preserve"/>
        </x:is>
      </x:c>
      <x:c r="J40" s="7" t="inlineStr">
        <x:is>
          <x:t xml:space="preserve"/>
        </x:is>
      </x:c>
      <x:c r="K40" s="7" t="inlineStr">
        <x:is>
          <x:t xml:space="preserve"/>
        </x:is>
      </x:c>
      <x:c r="L40" s="6" t="inlineStr">
        <x:is>
          <x:t xml:space="preserve"/>
        </x:is>
      </x:c>
      <x:c r="M40" s="6" t="inlineStr">
        <x:is>
          <x:t xml:space="preserve"/>
        </x:is>
      </x:c>
      <x:c r="N40" s="8" t="inlineStr">
        <x:is>
          <x:t xml:space="preserve"/>
        </x:is>
      </x:c>
      <x:c r="O40" s="7" t="inlineStr">
        <x:is>
          <x:t xml:space="preserve"/>
        </x:is>
      </x:c>
      <x:c r="P40" s="8">
        <x:f>IF($Q40="No","",IF(ISBLANK($N40),DATE(YEAR(TODAY()),MONTH(TODAY()),1),IF($H40="Monthly",EDATE($N40,1),IF($H40="Quarterly",EDATE($N40,3),IF($H40="Semi-Annual",EDATE($N40,6),IF($H40="Annual",EDATE($N40,12),EDATE($N40,1)))))))</x:f>
        <x:v>46054</x:v>
      </x:c>
      <x:c r="Q40" s="7" t="inlineStr">
        <x:is>
          <x:t xml:space="preserve">Yes</x:t>
        </x:is>
      </x:c>
    </x:row>
    <x:row r="41" ht="70" customHeight="1">
      <x:c r="A41" s="6" t="inlineStr">
        <x:is>
          <x:t xml:space="preserve">MCS40</x:t>
        </x:is>
      </x:c>
      <x:c r="B41" s="6" t="inlineStr">
        <x:is>
          <x:t xml:space="preserve">Managing changes to IT systems</x:t>
        </x:is>
      </x:c>
      <x:c r="C41" s="6" t="inlineStr">
        <x:is>
          <x:t xml:space="preserve">There is a verification that the requester is authorized to request changes to the relevant IT systems.</x:t>
        </x:is>
      </x:c>
      <x:c r="D41" s="6" t="inlineStr">
        <x:is>
          <x:t xml:space="preserve">Unauthorized changes to the IT systems </x:t>
        </x:is>
      </x:c>
      <x:c r="E41" s="7" t="n"/>
      <x:c r="F41" s="6" t="inlineStr">
        <x:is>
          <x:t xml:space="preserve">Theophilus Okolie </x:t>
        </x:is>
      </x:c>
      <x:c r="G41" s="7" t="inlineStr">
        <x:is>
          <x:t xml:space="preserve">UPR</x:t>
        </x:is>
      </x:c>
      <x:c r="H41" s="7" t="inlineStr">
        <x:is>
          <x:t xml:space="preserve">Monthly</x:t>
        </x:is>
      </x:c>
      <x:c r="I41" s="6" t="inlineStr">
        <x:is>
          <x:t xml:space="preserve"/>
        </x:is>
      </x:c>
      <x:c r="J41" s="7" t="inlineStr">
        <x:is>
          <x:t xml:space="preserve"/>
        </x:is>
      </x:c>
      <x:c r="K41" s="7" t="inlineStr">
        <x:is>
          <x:t xml:space="preserve"/>
        </x:is>
      </x:c>
      <x:c r="L41" s="6" t="inlineStr">
        <x:is>
          <x:t xml:space="preserve"/>
        </x:is>
      </x:c>
      <x:c r="M41" s="6" t="inlineStr">
        <x:is>
          <x:t xml:space="preserve"/>
        </x:is>
      </x:c>
      <x:c r="N41" s="8" t="inlineStr">
        <x:is>
          <x:t xml:space="preserve"/>
        </x:is>
      </x:c>
      <x:c r="O41" s="7" t="inlineStr">
        <x:is>
          <x:t xml:space="preserve"/>
        </x:is>
      </x:c>
      <x:c r="P41" s="8">
        <x:f>IF($Q41="No","",IF(ISBLANK($N41),DATE(YEAR(TODAY()),MONTH(TODAY()),1),IF($H41="Monthly",EDATE($N41,1),IF($H41="Quarterly",EDATE($N41,3),IF($H41="Semi-Annual",EDATE($N41,6),IF($H41="Annual",EDATE($N41,12),EDATE($N41,1)))))))</x:f>
        <x:v>46054</x:v>
      </x:c>
      <x:c r="Q41" s="7" t="inlineStr">
        <x:is>
          <x:t xml:space="preserve">Yes</x:t>
        </x:is>
      </x:c>
    </x:row>
    <x:row r="42" ht="70" customHeight="1">
      <x:c r="A42" s="6" t="inlineStr">
        <x:is>
          <x:t xml:space="preserve">MCS41</x:t>
        </x:is>
      </x:c>
      <x:c r="B42" s="6" t="inlineStr">
        <x:is>
          <x:t xml:space="preserve">Compliance with accounting and reporting standards</x:t>
        </x:is>
      </x:c>
      <x:c r="C42" s="6" t="inlineStr">
        <x:is>
          <x:t xml:space="preserve">Confirmation by the FC of compliance to SunKing Accounting and Reporting Principles (SARP) and International Financial Reporting Standards (IFRS) and Organization for the Harmonization of Business Law in Africa (OHADA) through the financial certification</x:t>
        </x:is>
      </x:c>
      <x:c r="D42" s="6" t="inlineStr">
        <x:is>
          <x:t xml:space="preserve">Non-adherence to accounting and reporting requirements and standards</x:t>
        </x:is>
      </x:c>
      <x:c r="E42" s="7" t="n"/>
      <x:c r="F42" s="6" t="inlineStr">
        <x:is>
          <x:t xml:space="preserve">Zainab Yunusah Saadu Daniel Banjo</x:t>
        </x:is>
      </x:c>
      <x:c r="G42" s="7" t="inlineStr">
        <x:is>
          <x:t xml:space="preserve">A</x:t>
        </x:is>
      </x:c>
      <x:c r="H42" s="7" t="inlineStr">
        <x:is>
          <x:t xml:space="preserve">Annual</x:t>
        </x:is>
      </x:c>
      <x:c r="I42" s="6" t="inlineStr">
        <x:is>
          <x:t xml:space="preserve"/>
        </x:is>
      </x:c>
      <x:c r="J42" s="7" t="inlineStr">
        <x:is>
          <x:t xml:space="preserve"/>
        </x:is>
      </x:c>
      <x:c r="K42" s="7" t="inlineStr">
        <x:is>
          <x:t xml:space="preserve"/>
        </x:is>
      </x:c>
      <x:c r="L42" s="6" t="inlineStr">
        <x:is>
          <x:t xml:space="preserve"/>
        </x:is>
      </x:c>
      <x:c r="M42" s="6" t="inlineStr">
        <x:is>
          <x:t xml:space="preserve"/>
        </x:is>
      </x:c>
      <x:c r="N42" s="8" t="inlineStr">
        <x:is>
          <x:t xml:space="preserve"/>
        </x:is>
      </x:c>
      <x:c r="O42" s="7" t="inlineStr">
        <x:is>
          <x:t xml:space="preserve"/>
        </x:is>
      </x:c>
      <x:c r="P42" s="8">
        <x:f>IF($Q42="No","",IF(ISBLANK($N42),DATE(YEAR(TODAY()),MONTH(TODAY()),1),IF($H42="Monthly",EDATE($N42,1),IF($H42="Quarterly",EDATE($N42,3),IF($H42="Semi-Annual",EDATE($N42,6),IF($H42="Annual",EDATE($N42,12),EDATE($N42,1)))))))</x:f>
        <x:v>46054</x:v>
      </x:c>
      <x:c r="Q42" s="7" t="inlineStr">
        <x:is>
          <x:t xml:space="preserve">Yes</x:t>
        </x:is>
      </x:c>
    </x:row>
    <x:row r="43" ht="70" customHeight="1">
      <x:c r="A43" s="6" t="inlineStr">
        <x:is>
          <x:t xml:space="preserve">MCS42</x:t>
        </x:is>
      </x:c>
      <x:c r="B43" s="6" t="inlineStr">
        <x:is>
          <x:t xml:space="preserve">Reconciliation of general ledger accounts</x:t>
        </x:is>
      </x:c>
      <x:c r="C43" s="6" t="inlineStr">
        <x:is>
          <x:t xml:space="preserve">Communication and monitoring by the FC (or designee) of a monthly closing checklist</x:t>
        </x:is>
      </x:c>
      <x:c r="D43" s="6" t="inlineStr">
        <x:is>
          <x:t xml:space="preserve">Inaccurate or fraudulent closing entries (incl. judgemental assumptions and estimates)</x:t>
        </x:is>
      </x:c>
      <x:c r="E43" s="7" t="n"/>
      <x:c r="F43" s="6" t="inlineStr">
        <x:is>
          <x:t xml:space="preserve">Zainab Yunusah Saadu Daniel Banjo</x:t>
        </x:is>
      </x:c>
      <x:c r="G43" s="7" t="inlineStr">
        <x:is>
          <x:t xml:space="preserve">M</x:t>
        </x:is>
      </x:c>
      <x:c r="H43" s="7" t="inlineStr">
        <x:is>
          <x:t xml:space="preserve">Monthly</x:t>
        </x:is>
      </x:c>
      <x:c r="I43" s="6" t="inlineStr">
        <x:is>
          <x:t xml:space="preserve"/>
        </x:is>
      </x:c>
      <x:c r="J43" s="7" t="inlineStr">
        <x:is>
          <x:t xml:space="preserve"/>
        </x:is>
      </x:c>
      <x:c r="K43" s="7" t="inlineStr">
        <x:is>
          <x:t xml:space="preserve"/>
        </x:is>
      </x:c>
      <x:c r="L43" s="6" t="inlineStr">
        <x:is>
          <x:t xml:space="preserve"/>
        </x:is>
      </x:c>
      <x:c r="M43" s="6" t="inlineStr">
        <x:is>
          <x:t xml:space="preserve"/>
        </x:is>
      </x:c>
      <x:c r="N43" s="8" t="inlineStr">
        <x:is>
          <x:t xml:space="preserve"/>
        </x:is>
      </x:c>
      <x:c r="O43" s="7" t="inlineStr">
        <x:is>
          <x:t xml:space="preserve"/>
        </x:is>
      </x:c>
      <x:c r="P43" s="8">
        <x:f>IF($Q43="No","",IF(ISBLANK($N43),DATE(YEAR(TODAY()),MONTH(TODAY()),1),IF($H43="Monthly",EDATE($N43,1),IF($H43="Quarterly",EDATE($N43,3),IF($H43="Semi-Annual",EDATE($N43,6),IF($H43="Annual",EDATE($N43,12),EDATE($N43,1)))))))</x:f>
        <x:v>46054</x:v>
      </x:c>
      <x:c r="Q43" s="7" t="inlineStr">
        <x:is>
          <x:t xml:space="preserve">Yes</x:t>
        </x:is>
      </x:c>
    </x:row>
    <x:row r="44" ht="70" customHeight="1">
      <x:c r="A44" s="6" t="inlineStr">
        <x:is>
          <x:t xml:space="preserve">MCS43</x:t>
        </x:is>
      </x:c>
      <x:c r="B44" s="6" t="inlineStr">
        <x:is>
          <x:t xml:space="preserve">Reconciliation of bank accounts</x:t>
        </x:is>
      </x:c>
      <x:c r="C44" s="6" t="inlineStr">
        <x:is>
          <x:t xml:space="preserve">Monthly bank statements are obtained from the banks, and reconciliations with the general ledger (GL) are performed by the Finance responsible. 
</x:t>
        </x:is>
      </x:c>
      <x:c r="D44" s="6" t="inlineStr">
        <x:is>
          <x:t xml:space="preserve">Inaccurate or fraudulent closing entries (incl. judgemental assumptions and estimates)
</x:t>
        </x:is>
      </x:c>
      <x:c r="E44" s="7" t="n"/>
      <x:c r="F44" s="6" t="inlineStr">
        <x:is>
          <x:t xml:space="preserve">Zainab Yunusah Saadu Daniel Banjo</x:t>
        </x:is>
      </x:c>
      <x:c r="G44" s="7" t="inlineStr">
        <x:is>
          <x:t xml:space="preserve">M</x:t>
        </x:is>
      </x:c>
      <x:c r="H44" s="7" t="inlineStr">
        <x:is>
          <x:t xml:space="preserve">Monthly</x:t>
        </x:is>
      </x:c>
      <x:c r="I44" s="6" t="inlineStr">
        <x:is>
          <x:t xml:space="preserve"/>
        </x:is>
      </x:c>
      <x:c r="J44" s="7" t="inlineStr">
        <x:is>
          <x:t xml:space="preserve"/>
        </x:is>
      </x:c>
      <x:c r="K44" s="7" t="inlineStr">
        <x:is>
          <x:t xml:space="preserve"/>
        </x:is>
      </x:c>
      <x:c r="L44" s="6" t="inlineStr">
        <x:is>
          <x:t xml:space="preserve"/>
        </x:is>
      </x:c>
      <x:c r="M44" s="6" t="inlineStr">
        <x:is>
          <x:t xml:space="preserve"/>
        </x:is>
      </x:c>
      <x:c r="N44" s="8" t="inlineStr">
        <x:is>
          <x:t xml:space="preserve"/>
        </x:is>
      </x:c>
      <x:c r="O44" s="7" t="inlineStr">
        <x:is>
          <x:t xml:space="preserve"/>
        </x:is>
      </x:c>
      <x:c r="P44" s="8">
        <x:f>IF($Q44="No","",IF(ISBLANK($N44),DATE(YEAR(TODAY()),MONTH(TODAY()),1),IF($H44="Monthly",EDATE($N44,1),IF($H44="Quarterly",EDATE($N44,3),IF($H44="Semi-Annual",EDATE($N44,6),IF($H44="Annual",EDATE($N44,12),EDATE($N44,1)))))))</x:f>
        <x:v>46054</x:v>
      </x:c>
      <x:c r="Q44" s="7" t="inlineStr">
        <x:is>
          <x:t xml:space="preserve">Yes</x:t>
        </x:is>
      </x:c>
    </x:row>
    <x:row r="45" ht="70" customHeight="1">
      <x:c r="A45" s="6" t="inlineStr">
        <x:is>
          <x:t xml:space="preserve">MCS44</x:t>
        </x:is>
      </x:c>
      <x:c r="B45" s="6" t="inlineStr">
        <x:is>
          <x:t xml:space="preserve">Reconciliation of intercompany balances</x:t>
        </x:is>
      </x:c>
      <x:c r="C45" s="6" t="inlineStr">
        <x:is>
          <x:t xml:space="preserve">Each intercompany transaction between different legal entities must have a signed contract. Each intercompany invoice must include relevant details for the goods or services provided based on a signed contract.</x:t>
        </x:is>
      </x:c>
      <x:c r="D45" s="6" t="inlineStr">
        <x:is>
          <x:t xml:space="preserve">Inaccurate or fraudulent closing entries (incl. judgemental assumptions and estimates)</x:t>
        </x:is>
      </x:c>
      <x:c r="E45" s="7" t="n"/>
      <x:c r="F45" s="6" t="inlineStr">
        <x:is>
          <x:t xml:space="preserve">Zainab Yunusah Saadu Daniel Banjo</x:t>
        </x:is>
      </x:c>
      <x:c r="G45" s="7" t="inlineStr">
        <x:is>
          <x:t xml:space="preserve">M</x:t>
        </x:is>
      </x:c>
      <x:c r="H45" s="7" t="inlineStr">
        <x:is>
          <x:t xml:space="preserve">Monthly</x:t>
        </x:is>
      </x:c>
      <x:c r="I45" s="6" t="inlineStr">
        <x:is>
          <x:t xml:space="preserve"/>
        </x:is>
      </x:c>
      <x:c r="J45" s="7" t="inlineStr">
        <x:is>
          <x:t xml:space="preserve"/>
        </x:is>
      </x:c>
      <x:c r="K45" s="7" t="inlineStr">
        <x:is>
          <x:t xml:space="preserve"/>
        </x:is>
      </x:c>
      <x:c r="L45" s="6" t="inlineStr">
        <x:is>
          <x:t xml:space="preserve"/>
        </x:is>
      </x:c>
      <x:c r="M45" s="6" t="inlineStr">
        <x:is>
          <x:t xml:space="preserve"/>
        </x:is>
      </x:c>
      <x:c r="N45" s="8" t="inlineStr">
        <x:is>
          <x:t xml:space="preserve"/>
        </x:is>
      </x:c>
      <x:c r="O45" s="7" t="inlineStr">
        <x:is>
          <x:t xml:space="preserve"/>
        </x:is>
      </x:c>
      <x:c r="P45" s="8">
        <x:f>IF($Q45="No","",IF(ISBLANK($N45),DATE(YEAR(TODAY()),MONTH(TODAY()),1),IF($H45="Monthly",EDATE($N45,1),IF($H45="Quarterly",EDATE($N45,3),IF($H45="Semi-Annual",EDATE($N45,6),IF($H45="Annual",EDATE($N45,12),EDATE($N45,1)))))))</x:f>
        <x:v>46054</x:v>
      </x:c>
      <x:c r="Q45" s="7" t="inlineStr">
        <x:is>
          <x:t xml:space="preserve">Yes</x:t>
        </x:is>
      </x:c>
    </x:row>
    <x:row r="46" ht="70" customHeight="1">
      <x:c r="A46" s="6" t="inlineStr">
        <x:is>
          <x:t xml:space="preserve">MCS45</x:t>
        </x:is>
      </x:c>
      <x:c r="B46" s="6" t="inlineStr">
        <x:is>
          <x:t xml:space="preserve">Manual journal entries</x:t>
        </x:is>
      </x:c>
      <x:c r="C46" s="6" t="inlineStr">
        <x:is>
          <x:t xml:space="preserve">Ensure that all manual journal entries (MJE) are approved as per local delegation of authority by the designated Finance person, together with supporting documentation prior to posting. Upon change </x:t>
        </x:is>
      </x:c>
      <x:c r="D46" s="6" t="inlineStr">
        <x:is>
          <x:t xml:space="preserve">Inaccurate or fraudulent closing entries (incl. judgemental assumptions and estimates) 
</x:t>
        </x:is>
      </x:c>
      <x:c r="E46" s="7" t="n"/>
      <x:c r="F46" s="6" t="inlineStr">
        <x:is>
          <x:t xml:space="preserve">Zainab Yunusah Saadu Daniel Banjo</x:t>
        </x:is>
      </x:c>
      <x:c r="G46" s="7" t="inlineStr">
        <x:is>
          <x:t xml:space="preserve">M</x:t>
        </x:is>
      </x:c>
      <x:c r="H46" s="7" t="inlineStr">
        <x:is>
          <x:t xml:space="preserve">Monthly</x:t>
        </x:is>
      </x:c>
      <x:c r="I46" s="6" t="inlineStr">
        <x:is>
          <x:t xml:space="preserve"/>
        </x:is>
      </x:c>
      <x:c r="J46" s="7" t="inlineStr">
        <x:is>
          <x:t xml:space="preserve"/>
        </x:is>
      </x:c>
      <x:c r="K46" s="7" t="inlineStr">
        <x:is>
          <x:t xml:space="preserve"/>
        </x:is>
      </x:c>
      <x:c r="L46" s="6" t="inlineStr">
        <x:is>
          <x:t xml:space="preserve"/>
        </x:is>
      </x:c>
      <x:c r="M46" s="6" t="inlineStr">
        <x:is>
          <x:t xml:space="preserve"/>
        </x:is>
      </x:c>
      <x:c r="N46" s="8" t="inlineStr">
        <x:is>
          <x:t xml:space="preserve"/>
        </x:is>
      </x:c>
      <x:c r="O46" s="7" t="inlineStr">
        <x:is>
          <x:t xml:space="preserve"/>
        </x:is>
      </x:c>
      <x:c r="P46" s="8">
        <x:f>IF($Q46="No","",IF(ISBLANK($N46),DATE(YEAR(TODAY()),MONTH(TODAY()),1),IF($H46="Monthly",EDATE($N46,1),IF($H46="Quarterly",EDATE($N46,3),IF($H46="Semi-Annual",EDATE($N46,6),IF($H46="Annual",EDATE($N46,12),EDATE($N46,1)))))))</x:f>
        <x:v>46054</x:v>
      </x:c>
      <x:c r="Q46" s="7" t="inlineStr">
        <x:is>
          <x:t xml:space="preserve">Yes</x:t>
        </x:is>
      </x:c>
    </x:row>
    <x:row r="47" ht="70" customHeight="1">
      <x:c r="A47" s="6" t="inlineStr">
        <x:is>
          <x:t xml:space="preserve">MCS46</x:t>
        </x:is>
      </x:c>
      <x:c r="B47" s="6" t="inlineStr">
        <x:is>
          <x:t xml:space="preserve">Impairment of goodwill, intangible assets and tangible assets</x:t>
        </x:is>
      </x:c>
      <x:c r="C47" s="6" t="inlineStr">
        <x:is>
          <x:t xml:space="preserve">At least annually, approval by the country FC (or designee) of the impairment tests for other intangible assets with indefinite lives and tangible assets annually or if a triggering event occurs</x:t>
        </x:is>
      </x:c>
      <x:c r="D47" s="6" t="inlineStr">
        <x:is>
          <x:t xml:space="preserve">Inaccurate or fraudulent closing entries (incl. judgemental assumptions and estimates)</x:t>
        </x:is>
      </x:c>
      <x:c r="E47" s="7" t="n"/>
      <x:c r="F47" s="6" t="inlineStr">
        <x:is>
          <x:t xml:space="preserve">Zainab Yunusah Saadu Daniel Banjo</x:t>
        </x:is>
      </x:c>
      <x:c r="G47" s="7" t="inlineStr">
        <x:is>
          <x:t xml:space="preserve">HY, A</x:t>
        </x:is>
      </x:c>
      <x:c r="H47" s="7" t="inlineStr">
        <x:is>
          <x:t xml:space="preserve">Annual</x:t>
        </x:is>
      </x:c>
      <x:c r="I47" s="6" t="inlineStr">
        <x:is>
          <x:t xml:space="preserve"/>
        </x:is>
      </x:c>
      <x:c r="J47" s="7" t="inlineStr">
        <x:is>
          <x:t xml:space="preserve"/>
        </x:is>
      </x:c>
      <x:c r="K47" s="7" t="inlineStr">
        <x:is>
          <x:t xml:space="preserve"/>
        </x:is>
      </x:c>
      <x:c r="L47" s="6" t="inlineStr">
        <x:is>
          <x:t xml:space="preserve"/>
        </x:is>
      </x:c>
      <x:c r="M47" s="6" t="inlineStr">
        <x:is>
          <x:t xml:space="preserve"/>
        </x:is>
      </x:c>
      <x:c r="N47" s="8" t="inlineStr">
        <x:is>
          <x:t xml:space="preserve"/>
        </x:is>
      </x:c>
      <x:c r="O47" s="7" t="inlineStr">
        <x:is>
          <x:t xml:space="preserve"/>
        </x:is>
      </x:c>
      <x:c r="P47" s="8">
        <x:f>IF($Q47="No","",IF(ISBLANK($N47),DATE(YEAR(TODAY()),MONTH(TODAY()),1),IF($H47="Monthly",EDATE($N47,1),IF($H47="Quarterly",EDATE($N47,3),IF($H47="Semi-Annual",EDATE($N47,6),IF($H47="Annual",EDATE($N47,12),EDATE($N47,1)))))))</x:f>
        <x:v>46054</x:v>
      </x:c>
      <x:c r="Q47" s="7" t="inlineStr">
        <x:is>
          <x:t xml:space="preserve">Yes</x:t>
        </x:is>
      </x:c>
    </x:row>
    <x:row r="48" ht="70" customHeight="1">
      <x:c r="A48" s="6" t="inlineStr">
        <x:is>
          <x:t xml:space="preserve">MCS47</x:t>
        </x:is>
      </x:c>
      <x:c r="B48" s="6" t="inlineStr">
        <x:is>
          <x:t xml:space="preserve">Transactions in a foreign currency</x:t>
        </x:is>
      </x:c>
      <x:c r="C48" s="6" t="inlineStr">
        <x:is>
          <x:t xml:space="preserve">Daily exchange rates published by central banks are usually used to record receivables and liabilities relating to the foreign currency transactions (settlements, recognized gains/losses)</x:t>
        </x:is>
      </x:c>
      <x:c r="D48" s="6" t="inlineStr">
        <x:is>
          <x:t xml:space="preserve">Inaccurate or fraudulent closing entries (incl. judgemental assumptions and estimates) 
 </x:t>
        </x:is>
      </x:c>
      <x:c r="E48" s="7" t="n"/>
      <x:c r="F48" s="6" t="inlineStr">
        <x:is>
          <x:t xml:space="preserve">Zainab Yunusah Saadu Daniel Banjo</x:t>
        </x:is>
      </x:c>
      <x:c r="G48" s="7" t="inlineStr">
        <x:is>
          <x:t xml:space="preserve">HY, A</x:t>
        </x:is>
      </x:c>
      <x:c r="H48" s="7" t="inlineStr">
        <x:is>
          <x:t xml:space="preserve">Annual</x:t>
        </x:is>
      </x:c>
      <x:c r="I48" s="6" t="inlineStr">
        <x:is>
          <x:t xml:space="preserve"/>
        </x:is>
      </x:c>
      <x:c r="J48" s="7" t="inlineStr">
        <x:is>
          <x:t xml:space="preserve"/>
        </x:is>
      </x:c>
      <x:c r="K48" s="7" t="inlineStr">
        <x:is>
          <x:t xml:space="preserve"/>
        </x:is>
      </x:c>
      <x:c r="L48" s="6" t="inlineStr">
        <x:is>
          <x:t xml:space="preserve"/>
        </x:is>
      </x:c>
      <x:c r="M48" s="6" t="inlineStr">
        <x:is>
          <x:t xml:space="preserve"/>
        </x:is>
      </x:c>
      <x:c r="N48" s="8" t="inlineStr">
        <x:is>
          <x:t xml:space="preserve"/>
        </x:is>
      </x:c>
      <x:c r="O48" s="7" t="inlineStr">
        <x:is>
          <x:t xml:space="preserve"/>
        </x:is>
      </x:c>
      <x:c r="P48" s="8">
        <x:f>IF($Q48="No","",IF(ISBLANK($N48),DATE(YEAR(TODAY()),MONTH(TODAY()),1),IF($H48="Monthly",EDATE($N48,1),IF($H48="Quarterly",EDATE($N48,3),IF($H48="Semi-Annual",EDATE($N48,6),IF($H48="Annual",EDATE($N48,12),EDATE($N48,1)))))))</x:f>
        <x:v>46054</x:v>
      </x:c>
      <x:c r="Q48" s="7" t="inlineStr">
        <x:is>
          <x:t xml:space="preserve">Yes</x:t>
        </x:is>
      </x:c>
    </x:row>
    <x:row r="49" ht="70" customHeight="1">
      <x:c r="A49" s="6" t="inlineStr">
        <x:is>
          <x:t xml:space="preserve">MCS48</x:t>
        </x:is>
      </x:c>
      <x:c r="B49" s="6" t="inlineStr">
        <x:is>
          <x:t xml:space="preserve">Management of legal structure and consolidation hierarchy</x:t>
        </x:is>
      </x:c>
      <x:c r="C49" s="6" t="inlineStr">
        <x:is>
          <x:t xml:space="preserve">A new legal entity and/or any changes in the structure of a legal entity must be documented within 3 days of incorporation or change.</x:t>
        </x:is>
      </x:c>
      <x:c r="D49" s="6" t="inlineStr">
        <x:is>
          <x:t xml:space="preserve">Non-adherence to accounting and reporting requirements and standards</x:t>
        </x:is>
      </x:c>
      <x:c r="E49" s="7" t="n"/>
      <x:c r="F49" s="6" t="inlineStr">
        <x:is>
          <x:t xml:space="preserve">Zainab Yunusah Saadu Daniel Banjo</x:t>
        </x:is>
      </x:c>
      <x:c r="G49" s="7" t="inlineStr">
        <x:is>
          <x:t xml:space="preserve">HY, M</x:t>
        </x:is>
      </x:c>
      <x:c r="H49" s="7" t="inlineStr">
        <x:is>
          <x:t xml:space="preserve">Monthly</x:t>
        </x:is>
      </x:c>
      <x:c r="I49" s="6" t="inlineStr">
        <x:is>
          <x:t xml:space="preserve"/>
        </x:is>
      </x:c>
      <x:c r="J49" s="7" t="inlineStr">
        <x:is>
          <x:t xml:space="preserve"/>
        </x:is>
      </x:c>
      <x:c r="K49" s="7" t="inlineStr">
        <x:is>
          <x:t xml:space="preserve"/>
        </x:is>
      </x:c>
      <x:c r="L49" s="6" t="inlineStr">
        <x:is>
          <x:t xml:space="preserve"/>
        </x:is>
      </x:c>
      <x:c r="M49" s="6" t="inlineStr">
        <x:is>
          <x:t xml:space="preserve"/>
        </x:is>
      </x:c>
      <x:c r="N49" s="8" t="inlineStr">
        <x:is>
          <x:t xml:space="preserve"/>
        </x:is>
      </x:c>
      <x:c r="O49" s="7" t="inlineStr">
        <x:is>
          <x:t xml:space="preserve"/>
        </x:is>
      </x:c>
      <x:c r="P49" s="8">
        <x:f>IF($Q49="No","",IF(ISBLANK($N49),DATE(YEAR(TODAY()),MONTH(TODAY()),1),IF($H49="Monthly",EDATE($N49,1),IF($H49="Quarterly",EDATE($N49,3),IF($H49="Semi-Annual",EDATE($N49,6),IF($H49="Annual",EDATE($N49,12),EDATE($N49,1)))))))</x:f>
        <x:v>46054</x:v>
      </x:c>
      <x:c r="Q49" s="7" t="inlineStr">
        <x:is>
          <x:t xml:space="preserve">Yes</x:t>
        </x:is>
      </x:c>
    </x:row>
    <x:row r="50" ht="70" customHeight="1">
      <x:c r="A50" s="6" t="inlineStr">
        <x:is>
          <x:t xml:space="preserve">MCS49</x:t>
        </x:is>
      </x:c>
      <x:c r="B50" s="6" t="inlineStr">
        <x:is>
          <x:t xml:space="preserve">Consolidation of financial statement</x:t>
        </x:is>
      </x:c>
      <x:c r="C50" s="6" t="inlineStr">
        <x:is>
          <x:t xml:space="preserve">Review and sign off by the FC (or designee) of the Financial Consolidation reporting package before submission as per the requirements</x:t>
        </x:is>
      </x:c>
      <x:c r="D50" s="6" t="inlineStr">
        <x:is>
          <x:t xml:space="preserve">Non-adherence to accounting and reporting requirements and standards </x:t>
        </x:is>
      </x:c>
      <x:c r="E50" s="7" t="n"/>
      <x:c r="F50" s="6" t="inlineStr">
        <x:is>
          <x:t xml:space="preserve">Zainab Yunusah Saadu Daniel Banjo</x:t>
        </x:is>
      </x:c>
      <x:c r="G50" s="7" t="inlineStr">
        <x:is>
          <x:t xml:space="preserve">M</x:t>
        </x:is>
      </x:c>
      <x:c r="H50" s="7" t="inlineStr">
        <x:is>
          <x:t xml:space="preserve">Monthly</x:t>
        </x:is>
      </x:c>
      <x:c r="I50" s="6" t="inlineStr">
        <x:is>
          <x:t xml:space="preserve"/>
        </x:is>
      </x:c>
      <x:c r="J50" s="7" t="inlineStr">
        <x:is>
          <x:t xml:space="preserve"/>
        </x:is>
      </x:c>
      <x:c r="K50" s="7" t="inlineStr">
        <x:is>
          <x:t xml:space="preserve"/>
        </x:is>
      </x:c>
      <x:c r="L50" s="6" t="inlineStr">
        <x:is>
          <x:t xml:space="preserve"/>
        </x:is>
      </x:c>
      <x:c r="M50" s="6" t="inlineStr">
        <x:is>
          <x:t xml:space="preserve"/>
        </x:is>
      </x:c>
      <x:c r="N50" s="8" t="inlineStr">
        <x:is>
          <x:t xml:space="preserve"/>
        </x:is>
      </x:c>
      <x:c r="O50" s="7" t="inlineStr">
        <x:is>
          <x:t xml:space="preserve"/>
        </x:is>
      </x:c>
      <x:c r="P50" s="8">
        <x:f>IF($Q50="No","",IF(ISBLANK($N50),DATE(YEAR(TODAY()),MONTH(TODAY()),1),IF($H50="Monthly",EDATE($N50,1),IF($H50="Quarterly",EDATE($N50,3),IF($H50="Semi-Annual",EDATE($N50,6),IF($H50="Annual",EDATE($N50,12),EDATE($N50,1)))))))</x:f>
        <x:v>46054</x:v>
      </x:c>
      <x:c r="Q50" s="7" t="inlineStr">
        <x:is>
          <x:t xml:space="preserve">Yes</x:t>
        </x:is>
      </x:c>
    </x:row>
    <x:row r="51" ht="70" customHeight="1">
      <x:c r="A51" s="6" t="inlineStr">
        <x:is>
          <x:t xml:space="preserve">MCS50</x:t>
        </x:is>
      </x:c>
      <x:c r="B51" s="6" t="inlineStr">
        <x:is>
          <x:t xml:space="preserve">Statutory financial statements</x:t>
        </x:is>
      </x:c>
      <x:c r="C51" s="6" t="inlineStr">
        <x:is>
          <x:t xml:space="preserve">Review and sign off by the RFC on the statutory financial statements and all adjustments made.</x:t>
        </x:is>
      </x:c>
      <x:c r="D51" s="6" t="inlineStr">
        <x:is>
          <x:t xml:space="preserve">Errors in financials </x:t>
        </x:is>
      </x:c>
      <x:c r="E51" s="7" t="n"/>
      <x:c r="F51" s="6" t="inlineStr">
        <x:is>
          <x:t xml:space="preserve">Zainab Yunusah Saadu Daniel Banjo</x:t>
        </x:is>
      </x:c>
      <x:c r="G51" s="7" t="inlineStr">
        <x:is>
          <x:t xml:space="preserve">M</x:t>
        </x:is>
      </x:c>
      <x:c r="H51" s="7" t="inlineStr">
        <x:is>
          <x:t xml:space="preserve">Monthly</x:t>
        </x:is>
      </x:c>
      <x:c r="I51" s="6" t="inlineStr">
        <x:is>
          <x:t xml:space="preserve"/>
        </x:is>
      </x:c>
      <x:c r="J51" s="7" t="inlineStr">
        <x:is>
          <x:t xml:space="preserve"/>
        </x:is>
      </x:c>
      <x:c r="K51" s="7" t="inlineStr">
        <x:is>
          <x:t xml:space="preserve"/>
        </x:is>
      </x:c>
      <x:c r="L51" s="6" t="inlineStr">
        <x:is>
          <x:t xml:space="preserve"/>
        </x:is>
      </x:c>
      <x:c r="M51" s="6" t="inlineStr">
        <x:is>
          <x:t xml:space="preserve"/>
        </x:is>
      </x:c>
      <x:c r="N51" s="8" t="inlineStr">
        <x:is>
          <x:t xml:space="preserve"/>
        </x:is>
      </x:c>
      <x:c r="O51" s="7" t="inlineStr">
        <x:is>
          <x:t xml:space="preserve"/>
        </x:is>
      </x:c>
      <x:c r="P51" s="8">
        <x:f>IF($Q51="No","",IF(ISBLANK($N51),DATE(YEAR(TODAY()),MONTH(TODAY()),1),IF($H51="Monthly",EDATE($N51,1),IF($H51="Quarterly",EDATE($N51,3),IF($H51="Semi-Annual",EDATE($N51,6),IF($H51="Annual",EDATE($N51,12),EDATE($N51,1)))))))</x:f>
      </x:c>
      <x:c r="Q51" s="7" t="inlineStr">
        <x:is>
          <x:t xml:space="preserve">Yes</x:t>
        </x:is>
      </x:c>
    </x:row>
    <x:row r="52" ht="70" customHeight="1">
      <x:c r="A52" s="6" t="inlineStr">
        <x:is>
          <x:t xml:space="preserve">MCS51</x:t>
        </x:is>
      </x:c>
      <x:c r="B52" s="6" t="inlineStr">
        <x:is>
          <x:t xml:space="preserve">Tax risk assessment and reporting</x:t>
        </x:is>
      </x:c>
      <x:c r="C52" s="6" t="inlineStr">
        <x:is>
          <x:t xml:space="preserve">Local Tax responsible to implement a tax calendar with all tax filing and payment due dates.</x:t>
        </x:is>
      </x:c>
      <x:c r="D52" s="6" t="inlineStr">
        <x:is>
          <x:t xml:space="preserve">Lack of proper tax risk monitoring and reporting </x:t>
        </x:is>
      </x:c>
      <x:c r="E52" s="7" t="n"/>
      <x:c r="F52" s="6" t="n"/>
      <x:c r="G52" s="7" t="inlineStr">
        <x:is>
          <x:t xml:space="preserve">M, A</x:t>
        </x:is>
      </x:c>
      <x:c r="H52" s="7" t="inlineStr">
        <x:is>
          <x:t xml:space="preserve">Monthly</x:t>
        </x:is>
      </x:c>
      <x:c r="I52" s="6" t="inlineStr">
        <x:is>
          <x:t xml:space="preserve"/>
        </x:is>
      </x:c>
      <x:c r="J52" s="7" t="inlineStr">
        <x:is>
          <x:t xml:space="preserve"/>
        </x:is>
      </x:c>
      <x:c r="K52" s="7" t="inlineStr">
        <x:is>
          <x:t xml:space="preserve"/>
        </x:is>
      </x:c>
      <x:c r="L52" s="6" t="inlineStr">
        <x:is>
          <x:t xml:space="preserve"/>
        </x:is>
      </x:c>
      <x:c r="M52" s="6" t="inlineStr">
        <x:is>
          <x:t xml:space="preserve"/>
        </x:is>
      </x:c>
      <x:c r="N52" s="8" t="inlineStr">
        <x:is>
          <x:t xml:space="preserve"/>
        </x:is>
      </x:c>
      <x:c r="O52" s="7" t="inlineStr">
        <x:is>
          <x:t xml:space="preserve"/>
        </x:is>
      </x:c>
      <x:c r="P52" s="8">
        <x:f>IF($Q52="No","",IF(ISBLANK($N52),DATE(YEAR(TODAY()),MONTH(TODAY()),1),IF($H52="Monthly",EDATE($N52,1),IF($H52="Quarterly",EDATE($N52,3),IF($H52="Semi-Annual",EDATE($N52,6),IF($H52="Annual",EDATE($N52,12),EDATE($N52,1)))))))</x:f>
      </x:c>
      <x:c r="Q52" s="7" t="inlineStr">
        <x:is>
          <x:t xml:space="preserve">Yes</x:t>
        </x:is>
      </x:c>
    </x:row>
    <x:row r="53" ht="70" customHeight="1">
      <x:c r="A53" s="6" t="inlineStr">
        <x:is>
          <x:t xml:space="preserve">MCS52</x:t>
        </x:is>
      </x:c>
      <x:c r="B53" s="6" t="inlineStr">
        <x:is>
          <x:t xml:space="preserve">Tax filings and payments</x:t>
        </x:is>
      </x:c>
      <x:c r="C53" s="6" t="inlineStr">
        <x:is>
          <x:t xml:space="preserve">Local Tax responsible and FC (or designee) to implement a tax calendar with all tax filing and payment due date</x:t>
        </x:is>
      </x:c>
      <x:c r="D53" s="6" t="inlineStr">
        <x:is>
          <x:t xml:space="preserve">Statutory filings and payments not performed timely</x:t>
        </x:is>
      </x:c>
      <x:c r="E53" s="7" t="n"/>
      <x:c r="F53" s="6" t="n"/>
      <x:c r="G53" s="7" t="inlineStr">
        <x:is>
          <x:t xml:space="preserve">A, UPR</x:t>
        </x:is>
      </x:c>
      <x:c r="H53" s="7" t="inlineStr">
        <x:is>
          <x:t xml:space="preserve">Annual</x:t>
        </x:is>
      </x:c>
      <x:c r="I53" s="6" t="inlineStr">
        <x:is>
          <x:t xml:space="preserve"/>
        </x:is>
      </x:c>
      <x:c r="J53" s="7" t="inlineStr">
        <x:is>
          <x:t xml:space="preserve"/>
        </x:is>
      </x:c>
      <x:c r="K53" s="7" t="inlineStr">
        <x:is>
          <x:t xml:space="preserve"/>
        </x:is>
      </x:c>
      <x:c r="L53" s="6" t="inlineStr">
        <x:is>
          <x:t xml:space="preserve"/>
        </x:is>
      </x:c>
      <x:c r="M53" s="6" t="inlineStr">
        <x:is>
          <x:t xml:space="preserve"/>
        </x:is>
      </x:c>
      <x:c r="N53" s="8" t="inlineStr">
        <x:is>
          <x:t xml:space="preserve"/>
        </x:is>
      </x:c>
      <x:c r="O53" s="7" t="inlineStr">
        <x:is>
          <x:t xml:space="preserve"/>
        </x:is>
      </x:c>
      <x:c r="P53" s="8">
        <x:f>IF($Q53="No","",IF(ISBLANK($N53),DATE(YEAR(TODAY()),MONTH(TODAY()),1),IF($H53="Monthly",EDATE($N53,1),IF($H53="Quarterly",EDATE($N53,3),IF($H53="Semi-Annual",EDATE($N53,6),IF($H53="Annual",EDATE($N53,12),EDATE($N53,1)))))))</x:f>
      </x:c>
      <x:c r="Q53" s="7" t="inlineStr">
        <x:is>
          <x:t xml:space="preserve">Yes</x:t>
        </x:is>
      </x:c>
    </x:row>
    <x:row r="54" ht="70" customHeight="1">
      <x:c r="A54" s="6" t="inlineStr">
        <x:is>
          <x:t xml:space="preserve">MCS53</x:t>
        </x:is>
      </x:c>
      <x:c r="B54" s="6" t="inlineStr">
        <x:is>
          <x:t xml:space="preserve">Deferred and current income tax calculations</x:t>
        </x:is>
      </x:c>
      <x:c r="C54" s="6" t="inlineStr">
        <x:is>
          <x:t xml:space="preserve">Review by the local Tax responsible and approval by the RFC (or designee) of all income tax and deferred tax calculations and related documentation, at least quarterly.</x:t>
        </x:is>
      </x:c>
      <x:c r="D54" s="6" t="inlineStr">
        <x:is>
          <x:t xml:space="preserve">Inaccurate or fraudulent closing entries (incl. judgemental assumptions and estimates) </x:t>
        </x:is>
      </x:c>
      <x:c r="E54" s="7" t="n"/>
      <x:c r="F54" s="6" t="n"/>
      <x:c r="G54" s="7" t="inlineStr">
        <x:is>
          <x:t xml:space="preserve">A, UPR</x:t>
        </x:is>
      </x:c>
      <x:c r="H54" s="7" t="inlineStr">
        <x:is>
          <x:t xml:space="preserve">Annual</x:t>
        </x:is>
      </x:c>
      <x:c r="I54" s="6" t="inlineStr">
        <x:is>
          <x:t xml:space="preserve"/>
        </x:is>
      </x:c>
      <x:c r="J54" s="7" t="inlineStr">
        <x:is>
          <x:t xml:space="preserve"/>
        </x:is>
      </x:c>
      <x:c r="K54" s="7" t="inlineStr">
        <x:is>
          <x:t xml:space="preserve"/>
        </x:is>
      </x:c>
      <x:c r="L54" s="6" t="inlineStr">
        <x:is>
          <x:t xml:space="preserve"/>
        </x:is>
      </x:c>
      <x:c r="M54" s="6" t="inlineStr">
        <x:is>
          <x:t xml:space="preserve"/>
        </x:is>
      </x:c>
      <x:c r="N54" s="8" t="inlineStr">
        <x:is>
          <x:t xml:space="preserve"/>
        </x:is>
      </x:c>
      <x:c r="O54" s="7" t="inlineStr">
        <x:is>
          <x:t xml:space="preserve"/>
        </x:is>
      </x:c>
      <x:c r="P54" s="8">
        <x:f>IF($Q54="No","",IF(ISBLANK($N54),DATE(YEAR(TODAY()),MONTH(TODAY()),1),IF($H54="Monthly",EDATE($N54,1),IF($H54="Quarterly",EDATE($N54,3),IF($H54="Semi-Annual",EDATE($N54,6),IF($H54="Annual",EDATE($N54,12),EDATE($N54,1)))))))</x:f>
      </x:c>
      <x:c r="Q54" s="7" t="inlineStr">
        <x:is>
          <x:t xml:space="preserve">Yes</x:t>
        </x:is>
      </x:c>
    </x:row>
    <x:row r="55" ht="70" customHeight="1">
      <x:c r="A55" s="6" t="inlineStr">
        <x:is>
          <x:t xml:space="preserve">MCS54</x:t>
        </x:is>
      </x:c>
      <x:c r="B55" s="6" t="inlineStr">
        <x:is>
          <x:t xml:space="preserve">Transfer pricing</x:t>
        </x:is>
      </x:c>
      <x:c r="C55" s="6" t="inlineStr">
        <x:is>
          <x:t xml:space="preserve">Any and all intercompany transactions must comply with the arm’s-length principle as also required by local laws and regulation.</x:t>
        </x:is>
      </x:c>
      <x:c r="D55" s="6" t="inlineStr">
        <x:is>
          <x:t xml:space="preserve">Lack of proper tax risk monitoring and reporting</x:t>
        </x:is>
      </x:c>
      <x:c r="E55" s="7" t="n"/>
      <x:c r="F55" s="6" t="n"/>
      <x:c r="G55" s="7" t="inlineStr">
        <x:is>
          <x:t xml:space="preserve">A</x:t>
        </x:is>
      </x:c>
      <x:c r="H55" s="7" t="inlineStr">
        <x:is>
          <x:t xml:space="preserve">Annual</x:t>
        </x:is>
      </x:c>
      <x:c r="I55" s="6" t="inlineStr">
        <x:is>
          <x:t xml:space="preserve"/>
        </x:is>
      </x:c>
      <x:c r="J55" s="7" t="inlineStr">
        <x:is>
          <x:t xml:space="preserve"/>
        </x:is>
      </x:c>
      <x:c r="K55" s="7" t="inlineStr">
        <x:is>
          <x:t xml:space="preserve"/>
        </x:is>
      </x:c>
      <x:c r="L55" s="6" t="inlineStr">
        <x:is>
          <x:t xml:space="preserve"/>
        </x:is>
      </x:c>
      <x:c r="M55" s="6" t="inlineStr">
        <x:is>
          <x:t xml:space="preserve"/>
        </x:is>
      </x:c>
      <x:c r="N55" s="8" t="inlineStr">
        <x:is>
          <x:t xml:space="preserve"/>
        </x:is>
      </x:c>
      <x:c r="O55" s="7" t="inlineStr">
        <x:is>
          <x:t xml:space="preserve"/>
        </x:is>
      </x:c>
      <x:c r="P55" s="8">
        <x:f>IF($Q55="No","",IF(ISBLANK($N55),DATE(YEAR(TODAY()),MONTH(TODAY()),1),IF($H55="Monthly",EDATE($N55,1),IF($H55="Quarterly",EDATE($N55,3),IF($H55="Semi-Annual",EDATE($N55,6),IF($H55="Annual",EDATE($N55,12),EDATE($N55,1)))))))</x:f>
      </x:c>
      <x:c r="Q55" s="7" t="inlineStr">
        <x:is>
          <x:t xml:space="preserve">Yes</x:t>
        </x:is>
      </x:c>
    </x:row>
    <x:row r="56" ht="70" customHeight="1">
      <x:c r="A56" s="6" t="inlineStr">
        <x:is>
          <x:t xml:space="preserve">MCS55</x:t>
        </x:is>
      </x:c>
      <x:c r="B56" s="6" t="inlineStr">
        <x:is>
          <x:t xml:space="preserve">Non-income (indirect) taxes</x:t>
        </x:is>
      </x:c>
      <x:c r="C56" s="6" t="inlineStr">
        <x:is>
          <x:t xml:space="preserve">Value Added Tax (VAT) and indirect tax returns are prepared, reviewed and approved in line with the local required frequency and local tax requirements. </x:t>
        </x:is>
      </x:c>
      <x:c r="D56" s="6" t="inlineStr">
        <x:is>
          <x:t xml:space="preserve">Statutory filings and payments not performed timely</x:t>
        </x:is>
      </x:c>
      <x:c r="E56" s="7" t="n"/>
      <x:c r="F56" s="6" t="n"/>
      <x:c r="G56" s="7" t="inlineStr">
        <x:is>
          <x:t xml:space="preserve">M</x:t>
        </x:is>
      </x:c>
      <x:c r="H56" s="7" t="inlineStr">
        <x:is>
          <x:t xml:space="preserve">Monthly</x:t>
        </x:is>
      </x:c>
      <x:c r="I56" s="6" t="inlineStr">
        <x:is>
          <x:t xml:space="preserve"/>
        </x:is>
      </x:c>
      <x:c r="J56" s="7" t="inlineStr">
        <x:is>
          <x:t xml:space="preserve"/>
        </x:is>
      </x:c>
      <x:c r="K56" s="7" t="inlineStr">
        <x:is>
          <x:t xml:space="preserve"/>
        </x:is>
      </x:c>
      <x:c r="L56" s="6" t="inlineStr">
        <x:is>
          <x:t xml:space="preserve"/>
        </x:is>
      </x:c>
      <x:c r="M56" s="6" t="inlineStr">
        <x:is>
          <x:t xml:space="preserve"/>
        </x:is>
      </x:c>
      <x:c r="N56" s="8" t="inlineStr">
        <x:is>
          <x:t xml:space="preserve"/>
        </x:is>
      </x:c>
      <x:c r="O56" s="7" t="inlineStr">
        <x:is>
          <x:t xml:space="preserve"/>
        </x:is>
      </x:c>
      <x:c r="P56" s="8">
        <x:f>IF($Q56="No","",IF(ISBLANK($N56),DATE(YEAR(TODAY()),MONTH(TODAY()),1),IF($H56="Monthly",EDATE($N56,1),IF($H56="Quarterly",EDATE($N56,3),IF($H56="Semi-Annual",EDATE($N56,6),IF($H56="Annual",EDATE($N56,12),EDATE($N56,1)))))))</x:f>
      </x:c>
      <x:c r="Q56" s="7" t="inlineStr">
        <x:is>
          <x:t xml:space="preserve">Yes</x:t>
        </x:is>
      </x:c>
    </x:row>
    <x:row r="57" ht="70" customHeight="1">
      <x:c r="A57" s="6" t="inlineStr">
        <x:is>
          <x:t xml:space="preserve">MCS56</x:t>
        </x:is>
      </x:c>
      <x:c r="B57" s="6" t="inlineStr">
        <x:is>
          <x:t xml:space="preserve">Bank relations</x:t>
        </x:is>
      </x:c>
      <x:c r="C57" s="6" t="inlineStr">
        <x:is>
          <x:t xml:space="preserve">Bank relations, including fees, are approved as per the Group Delegated Authorities (GDA), when applicable, and Group Treasury Directive</x:t>
        </x:is>
      </x:c>
      <x:c r="D57" s="6" t="inlineStr">
        <x:is>
          <x:t xml:space="preserve">Unauthorized commitment or relationship with bank</x:t>
        </x:is>
      </x:c>
      <x:c r="E57" s="7" t="n"/>
      <x:c r="F57" s="6" t="n"/>
      <x:c r="G57" s="7" t="inlineStr">
        <x:is>
          <x:t xml:space="preserve">UPR, A</x:t>
        </x:is>
      </x:c>
      <x:c r="H57" s="7" t="inlineStr">
        <x:is>
          <x:t xml:space="preserve">Annual</x:t>
        </x:is>
      </x:c>
      <x:c r="I57" s="6" t="inlineStr">
        <x:is>
          <x:t xml:space="preserve"/>
        </x:is>
      </x:c>
      <x:c r="J57" s="7" t="inlineStr">
        <x:is>
          <x:t xml:space="preserve"/>
        </x:is>
      </x:c>
      <x:c r="K57" s="7" t="inlineStr">
        <x:is>
          <x:t xml:space="preserve"/>
        </x:is>
      </x:c>
      <x:c r="L57" s="6" t="inlineStr">
        <x:is>
          <x:t xml:space="preserve"/>
        </x:is>
      </x:c>
      <x:c r="M57" s="6" t="inlineStr">
        <x:is>
          <x:t xml:space="preserve"/>
        </x:is>
      </x:c>
      <x:c r="N57" s="8" t="inlineStr">
        <x:is>
          <x:t xml:space="preserve"/>
        </x:is>
      </x:c>
      <x:c r="O57" s="7" t="inlineStr">
        <x:is>
          <x:t xml:space="preserve"/>
        </x:is>
      </x:c>
      <x:c r="P57" s="8">
        <x:f>IF($Q57="No","",IF(ISBLANK($N57),DATE(YEAR(TODAY()),MONTH(TODAY()),1),IF($H57="Monthly",EDATE($N57,1),IF($H57="Quarterly",EDATE($N57,3),IF($H57="Semi-Annual",EDATE($N57,6),IF($H57="Annual",EDATE($N57,12),EDATE($N57,1)))))))</x:f>
      </x:c>
      <x:c r="Q57" s="7" t="inlineStr">
        <x:is>
          <x:t xml:space="preserve">Yes</x:t>
        </x:is>
      </x:c>
    </x:row>
    <x:row r="58" ht="70" customHeight="1">
      <x:c r="A58" s="6" t="inlineStr">
        <x:is>
          <x:t xml:space="preserve">MCS57</x:t>
        </x:is>
      </x:c>
      <x:c r="B58" s="6" t="inlineStr">
        <x:is>
          <x:t xml:space="preserve">Cash transactions are not permitted without Regional Controller approval</x:t>
        </x:is>
      </x:c>
      <x:c r="C58" s="6" t="inlineStr">
        <x:is>
          <x:t xml:space="preserve">No cash payment to suppliers</x:t>
        </x:is>
      </x:c>
      <x:c r="D58" s="6" t="inlineStr">
        <x:is>
          <x:t xml:space="preserve">Unsecured payment means and cash transactions</x:t>
        </x:is>
      </x:c>
      <x:c r="E58" s="7" t="n"/>
      <x:c r="F58" s="6" t="n"/>
      <x:c r="G58" s="7" t="inlineStr">
        <x:is>
          <x:t xml:space="preserve">M, UPR</x:t>
        </x:is>
      </x:c>
      <x:c r="H58" s="7" t="inlineStr">
        <x:is>
          <x:t xml:space="preserve">Monthly</x:t>
        </x:is>
      </x:c>
      <x:c r="I58" s="6" t="inlineStr">
        <x:is>
          <x:t xml:space="preserve"/>
        </x:is>
      </x:c>
      <x:c r="J58" s="7" t="inlineStr">
        <x:is>
          <x:t xml:space="preserve"/>
        </x:is>
      </x:c>
      <x:c r="K58" s="7" t="inlineStr">
        <x:is>
          <x:t xml:space="preserve"/>
        </x:is>
      </x:c>
      <x:c r="L58" s="6" t="inlineStr">
        <x:is>
          <x:t xml:space="preserve"/>
        </x:is>
      </x:c>
      <x:c r="M58" s="6" t="inlineStr">
        <x:is>
          <x:t xml:space="preserve"/>
        </x:is>
      </x:c>
      <x:c r="N58" s="8" t="inlineStr">
        <x:is>
          <x:t xml:space="preserve"/>
        </x:is>
      </x:c>
      <x:c r="O58" s="7" t="inlineStr">
        <x:is>
          <x:t xml:space="preserve"/>
        </x:is>
      </x:c>
      <x:c r="P58" s="8">
        <x:f>IF($Q58="No","",IF(ISBLANK($N58),DATE(YEAR(TODAY()),MONTH(TODAY()),1),IF($H58="Monthly",EDATE($N58,1),IF($H58="Quarterly",EDATE($N58,3),IF($H58="Semi-Annual",EDATE($N58,6),IF($H58="Annual",EDATE($N58,12),EDATE($N58,1)))))))</x:f>
      </x:c>
      <x:c r="Q58" s="7" t="inlineStr">
        <x:is>
          <x:t xml:space="preserve">Yes</x:t>
        </x:is>
      </x:c>
    </x:row>
    <x:row r="59" ht="70" customHeight="1">
      <x:c r="A59" s="6" t="inlineStr">
        <x:is>
          <x:t xml:space="preserve">MCS58</x:t>
        </x:is>
      </x:c>
      <x:c r="B59" s="6" t="inlineStr">
        <x:is>
          <x:t xml:space="preserve">Secure payment means</x:t>
        </x:is>
      </x:c>
      <x:c r="C59" s="6" t="inlineStr">
        <x:is>
          <x:t xml:space="preserve">All users with access to SAP-BCM and/ or bank portals are approved by the CFO (or designee) as per the local DoA requiring dual approval for payments. </x:t>
        </x:is>
      </x:c>
      <x:c r="D59" s="6" t="inlineStr">
        <x:is>
          <x:t xml:space="preserve">Unsecured payment means and cash transactions Unauthorized access, disclosure, modification, damage or loss of data </x:t>
        </x:is>
      </x:c>
      <x:c r="E59" s="7" t="n"/>
      <x:c r="F59" s="6" t="n"/>
      <x:c r="G59" s="7" t="inlineStr">
        <x:is>
          <x:t xml:space="preserve">A, Q, UPR</x:t>
        </x:is>
      </x:c>
      <x:c r="H59" s="7" t="inlineStr">
        <x:is>
          <x:t xml:space="preserve">Quarterly</x:t>
        </x:is>
      </x:c>
      <x:c r="I59" s="6" t="inlineStr">
        <x:is>
          <x:t xml:space="preserve"/>
        </x:is>
      </x:c>
      <x:c r="J59" s="7" t="inlineStr">
        <x:is>
          <x:t xml:space="preserve"/>
        </x:is>
      </x:c>
      <x:c r="K59" s="7" t="inlineStr">
        <x:is>
          <x:t xml:space="preserve"/>
        </x:is>
      </x:c>
      <x:c r="L59" s="6" t="inlineStr">
        <x:is>
          <x:t xml:space="preserve"/>
        </x:is>
      </x:c>
      <x:c r="M59" s="6" t="inlineStr">
        <x:is>
          <x:t xml:space="preserve"/>
        </x:is>
      </x:c>
      <x:c r="N59" s="8" t="inlineStr">
        <x:is>
          <x:t xml:space="preserve"/>
        </x:is>
      </x:c>
      <x:c r="O59" s="7" t="inlineStr">
        <x:is>
          <x:t xml:space="preserve"/>
        </x:is>
      </x:c>
      <x:c r="P59" s="8">
        <x:f>IF($Q59="No","",IF(ISBLANK($N59),DATE(YEAR(TODAY()),MONTH(TODAY()),1),IF($H59="Monthly",EDATE($N59,1),IF($H59="Quarterly",EDATE($N59,3),IF($H59="Semi-Annual",EDATE($N59,6),IF($H59="Annual",EDATE($N59,12),EDATE($N59,1)))))))</x:f>
      </x:c>
      <x:c r="Q59" s="7" t="inlineStr">
        <x:is>
          <x:t xml:space="preserve">Yes</x:t>
        </x:is>
      </x:c>
    </x:row>
    <x:row r="60" ht="70" customHeight="1">
      <x:c r="A60" s="6" t="inlineStr">
        <x:is>
          <x:t xml:space="preserve">MCS59</x:t>
        </x:is>
      </x:c>
      <x:c r="B60" s="6" t="inlineStr">
        <x:is>
          <x:t xml:space="preserve">Financial instruments, borrowings, commitments and working capital schemes</x:t>
        </x:is>
      </x:c>
      <x:c r="C60" s="6" t="inlineStr">
        <x:is>
          <x:t xml:space="preserve">Approval according to the local delegation of authority and the Group Treasury Directive of any new financial instruments, borrowings, commitments and working capital schemes.</x:t>
        </x:is>
      </x:c>
      <x:c r="D60" s="6" t="inlineStr">
        <x:is>
          <x:t xml:space="preserve">Inability to maintain an adequate cash flow and liquidity position to pay obligations</x:t>
        </x:is>
      </x:c>
      <x:c r="E60" s="7" t="n"/>
      <x:c r="F60" s="6" t="n"/>
      <x:c r="G60" s="7" t="inlineStr">
        <x:is>
          <x:t xml:space="preserve">Q, UPR</x:t>
        </x:is>
      </x:c>
      <x:c r="H60" s="7" t="inlineStr">
        <x:is>
          <x:t xml:space="preserve">Quarterly</x:t>
        </x:is>
      </x:c>
      <x:c r="I60" s="6" t="inlineStr">
        <x:is>
          <x:t xml:space="preserve"/>
        </x:is>
      </x:c>
      <x:c r="J60" s="7" t="inlineStr">
        <x:is>
          <x:t xml:space="preserve"/>
        </x:is>
      </x:c>
      <x:c r="K60" s="7" t="inlineStr">
        <x:is>
          <x:t xml:space="preserve"/>
        </x:is>
      </x:c>
      <x:c r="L60" s="6" t="inlineStr">
        <x:is>
          <x:t xml:space="preserve"/>
        </x:is>
      </x:c>
      <x:c r="M60" s="6" t="inlineStr">
        <x:is>
          <x:t xml:space="preserve"/>
        </x:is>
      </x:c>
      <x:c r="N60" s="8" t="inlineStr">
        <x:is>
          <x:t xml:space="preserve"/>
        </x:is>
      </x:c>
      <x:c r="O60" s="7" t="inlineStr">
        <x:is>
          <x:t xml:space="preserve"/>
        </x:is>
      </x:c>
      <x:c r="P60" s="8">
        <x:f>IF($Q60="No","",IF(ISBLANK($N60),DATE(YEAR(TODAY()),MONTH(TODAY()),1),IF($H60="Monthly",EDATE($N60,1),IF($H60="Quarterly",EDATE($N60,3),IF($H60="Semi-Annual",EDATE($N60,6),IF($H60="Annual",EDATE($N60,12),EDATE($N60,1)))))))</x:f>
      </x:c>
      <x:c r="Q60" s="7" t="inlineStr">
        <x:is>
          <x:t xml:space="preserve">Yes</x:t>
        </x:is>
      </x:c>
    </x:row>
    <x:row r="61" ht="70" customHeight="1">
      <x:c r="A61" s="6" t="inlineStr">
        <x:is>
          <x:t xml:space="preserve">MCS60</x:t>
        </x:is>
      </x:c>
      <x:c r="B61" s="6" t="inlineStr">
        <x:is>
          <x:t xml:space="preserve">Forex, interest rate, commodities risks monitoring and hedging</x:t>
        </x:is>
      </x:c>
      <x:c r="C61" s="6" t="inlineStr">
        <x:is>
          <x:t xml:space="preserve">Monthly sign off and notification to Group Treasury of the exposure in foreign currency and potential foreign exchange or interest rate exposure that may need to be hedged by Group Treasury. </x:t>
        </x:is>
      </x:c>
      <x:c r="D61" s="6" t="inlineStr">
        <x:is>
          <x:t xml:space="preserve">Improper management of foreign exchange</x:t>
        </x:is>
      </x:c>
      <x:c r="E61" s="7" t="n"/>
      <x:c r="F61" s="6" t="n"/>
      <x:c r="G61" s="7" t="inlineStr">
        <x:is>
          <x:t xml:space="preserve">M, Q</x:t>
        </x:is>
      </x:c>
      <x:c r="H61" s="7" t="inlineStr">
        <x:is>
          <x:t xml:space="preserve">Monthly</x:t>
        </x:is>
      </x:c>
      <x:c r="I61" s="6" t="inlineStr">
        <x:is>
          <x:t xml:space="preserve"/>
        </x:is>
      </x:c>
      <x:c r="J61" s="7" t="inlineStr">
        <x:is>
          <x:t xml:space="preserve"/>
        </x:is>
      </x:c>
      <x:c r="K61" s="7" t="inlineStr">
        <x:is>
          <x:t xml:space="preserve"/>
        </x:is>
      </x:c>
      <x:c r="L61" s="6" t="inlineStr">
        <x:is>
          <x:t xml:space="preserve"/>
        </x:is>
      </x:c>
      <x:c r="M61" s="6" t="inlineStr">
        <x:is>
          <x:t xml:space="preserve"/>
        </x:is>
      </x:c>
      <x:c r="N61" s="8" t="inlineStr">
        <x:is>
          <x:t xml:space="preserve"/>
        </x:is>
      </x:c>
      <x:c r="O61" s="7" t="inlineStr">
        <x:is>
          <x:t xml:space="preserve"/>
        </x:is>
      </x:c>
      <x:c r="P61" s="8">
        <x:f>IF($Q61="No","",IF(ISBLANK($N61),DATE(YEAR(TODAY()),MONTH(TODAY()),1),IF($H61="Monthly",EDATE($N61,1),IF($H61="Quarterly",EDATE($N61,3),IF($H61="Semi-Annual",EDATE($N61,6),IF($H61="Annual",EDATE($N61,12),EDATE($N61,1)))))))</x:f>
      </x:c>
      <x:c r="Q61" s="7" t="inlineStr">
        <x:is>
          <x:t xml:space="preserve">Yes</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customWidth="1"/>
    <x:col min="2" max="2" width="45" customWidth="1"/>
    <x:col min="3" max="3" width="18" customWidth="1"/>
    <x:col min="4" max="4" width="18" customWidth="1"/>
    <x:col min="5" max="5" width="22" customWidth="1"/>
    <x:col min="6" max="6" width="14" customWidth="1"/>
    <x:col min="7" max="7" width="26" customWidth="1"/>
    <x:col min="8" max="8" width="18" customWidth="1"/>
    <x:col min="9" max="9" width="22" customWidth="1"/>
    <x:col min="10" max="10" width="14" customWidth="1"/>
    <x:col min="11" max="11" width="18" customWidth="1"/>
    <x:col min="12" max="12" width="30" customWidth="1"/>
  </x:cols>
  <x:sheetData>
    <x:row r="1" ht="28" customHeight="1">
      <x:c r="A1" s="5" t="inlineStr">
        <x:is>
          <x:t xml:space="preserve">Risk ID</x:t>
        </x:is>
      </x:c>
      <x:c r="B1" s="5" t="inlineStr">
        <x:is>
          <x:t xml:space="preserve">Risk Statement</x:t>
        </x:is>
      </x:c>
      <x:c r="C1" s="5" t="inlineStr">
        <x:is>
          <x:t xml:space="preserve">Category</x:t>
        </x:is>
      </x:c>
      <x:c r="D1" s="5" t="inlineStr">
        <x:is>
          <x:t xml:space="preserve">Inherent Impact (1-5)</x:t>
        </x:is>
      </x:c>
      <x:c r="E1" s="5" t="inlineStr">
        <x:is>
          <x:t xml:space="preserve">Inherent Likelihood (1-5)</x:t>
        </x:is>
      </x:c>
      <x:c r="F1" s="5" t="inlineStr">
        <x:is>
          <x:t xml:space="preserve">Inherent Score</x:t>
        </x:is>
      </x:c>
      <x:c r="G1" s="5" t="inlineStr">
        <x:is>
          <x:t xml:space="preserve">Key Controls (Control IDs)</x:t>
        </x:is>
      </x:c>
      <x:c r="H1" s="5" t="inlineStr">
        <x:is>
          <x:t xml:space="preserve">Residual Impact (1-5)</x:t>
        </x:is>
      </x:c>
      <x:c r="I1" s="5" t="inlineStr">
        <x:is>
          <x:t xml:space="preserve">Residual Likelihood (1-5)</x:t>
        </x:is>
      </x:c>
      <x:c r="J1" s="5" t="inlineStr">
        <x:is>
          <x:t xml:space="preserve">Residual Score</x:t>
        </x:is>
      </x:c>
      <x:c r="K1" s="5" t="inlineStr">
        <x:is>
          <x:t xml:space="preserve">Risk Owner</x:t>
        </x:is>
      </x:c>
      <x:c r="L1" s="5" t="inlineStr">
        <x:is>
          <x:t xml:space="preserve">Notes</x:t>
        </x:is>
      </x:c>
    </x:row>
    <x:row r="2" ht="30" customHeight="1">
      <x:c r="A2" s="7" t="inlineStr">
        <x:is>
          <x:t xml:space="preserve">R001</x:t>
        </x:is>
      </x:c>
      <x:c r="B2" s="6" t="inlineStr">
        <x:is>
          <x:t xml:space="preserve">Assault on person.</x:t>
        </x:is>
      </x:c>
      <x:c r="C2" s="7" t="inlineStr">
        <x:is>
          <x:t xml:space="preserve"/>
        </x:is>
      </x:c>
      <x:c r="D2" s="9" t="inlineStr">
        <x:is>
          <x:t xml:space="preserve"/>
        </x:is>
      </x:c>
      <x:c r="E2" s="9" t="inlineStr">
        <x:is>
          <x:t xml:space="preserve"/>
        </x:is>
      </x:c>
      <x:c r="F2" s="7">
        <x:f>IF(OR(D2="",E2=""),"",D2*E2)</x:f>
      </x:c>
      <x:c r="G2" s="6" t="inlineStr">
        <x:is>
          <x:t xml:space="preserve"/>
        </x:is>
      </x:c>
      <x:c r="H2" s="9" t="inlineStr">
        <x:is>
          <x:t xml:space="preserve"/>
        </x:is>
      </x:c>
      <x:c r="I2" s="9" t="inlineStr">
        <x:is>
          <x:t xml:space="preserve"/>
        </x:is>
      </x:c>
      <x:c r="J2" s="7">
        <x:f>IF(OR(H2="",I2=""),"",H2*I2)</x:f>
      </x:c>
      <x:c r="K2" s="6" t="inlineStr">
        <x:is>
          <x:t xml:space="preserve"/>
        </x:is>
      </x:c>
      <x:c r="L2" s="6" t="inlineStr">
        <x:is>
          <x:t xml:space="preserve"/>
        </x:is>
      </x:c>
    </x:row>
    <x:row r="3" ht="30" customHeight="1">
      <x:c r="A3" s="7" t="inlineStr">
        <x:is>
          <x:t xml:space="preserve">R002</x:t>
        </x:is>
      </x:c>
      <x:c r="B3" s="6" t="inlineStr">
        <x:is>
          <x:t xml:space="preserve">Authority and responsibility not clearly and formally assigned</x:t>
        </x:is>
      </x:c>
      <x:c r="C3" s="7" t="inlineStr">
        <x:is>
          <x:t xml:space="preserve"/>
        </x:is>
      </x:c>
      <x:c r="D3" s="9" t="inlineStr">
        <x:is>
          <x:t xml:space="preserve"/>
        </x:is>
      </x:c>
      <x:c r="E3" s="9" t="inlineStr">
        <x:is>
          <x:t xml:space="preserve"/>
        </x:is>
      </x:c>
      <x:c r="F3" s="7">
        <x:f>IF(OR(D3="",E3=""),"",D3*E3)</x:f>
      </x:c>
      <x:c r="G3" s="6" t="inlineStr">
        <x:is>
          <x:t xml:space="preserve"/>
        </x:is>
      </x:c>
      <x:c r="H3" s="9" t="inlineStr">
        <x:is>
          <x:t xml:space="preserve"/>
        </x:is>
      </x:c>
      <x:c r="I3" s="9" t="inlineStr">
        <x:is>
          <x:t xml:space="preserve"/>
        </x:is>
      </x:c>
      <x:c r="J3" s="7">
        <x:f>IF(OR(H3="",I3=""),"",H3*I3)</x:f>
      </x:c>
      <x:c r="K3" s="6" t="inlineStr">
        <x:is>
          <x:t xml:space="preserve"/>
        </x:is>
      </x:c>
      <x:c r="L3" s="6" t="inlineStr">
        <x:is>
          <x:t xml:space="preserve"/>
        </x:is>
      </x:c>
    </x:row>
    <x:row r="4" ht="30" customHeight="1">
      <x:c r="A4" s="7" t="inlineStr">
        <x:is>
          <x:t xml:space="preserve">R003</x:t>
        </x:is>
      </x:c>
      <x:c r="B4" s="6" t="inlineStr">
        <x:is>
          <x:t xml:space="preserve">Business disruption due to IT/OT unavailability</x:t>
        </x:is>
      </x:c>
      <x:c r="C4" s="7" t="inlineStr">
        <x:is>
          <x:t xml:space="preserve"/>
        </x:is>
      </x:c>
      <x:c r="D4" s="9" t="inlineStr">
        <x:is>
          <x:t xml:space="preserve"/>
        </x:is>
      </x:c>
      <x:c r="E4" s="9" t="inlineStr">
        <x:is>
          <x:t xml:space="preserve"/>
        </x:is>
      </x:c>
      <x:c r="F4" s="7">
        <x:f>IF(OR(D4="",E4=""),"",D4*E4)</x:f>
      </x:c>
      <x:c r="G4" s="6" t="inlineStr">
        <x:is>
          <x:t xml:space="preserve"/>
        </x:is>
      </x:c>
      <x:c r="H4" s="9" t="inlineStr">
        <x:is>
          <x:t xml:space="preserve"/>
        </x:is>
      </x:c>
      <x:c r="I4" s="9" t="inlineStr">
        <x:is>
          <x:t xml:space="preserve"/>
        </x:is>
      </x:c>
      <x:c r="J4" s="7">
        <x:f>IF(OR(H4="",I4=""),"",H4*I4)</x:f>
      </x:c>
      <x:c r="K4" s="6" t="inlineStr">
        <x:is>
          <x:t xml:space="preserve"/>
        </x:is>
      </x:c>
      <x:c r="L4" s="6" t="inlineStr">
        <x:is>
          <x:t xml:space="preserve"/>
        </x:is>
      </x:c>
    </x:row>
    <x:row r="5" ht="30" customHeight="1">
      <x:c r="A5" s="7" t="inlineStr">
        <x:is>
          <x:t xml:space="preserve">R004</x:t>
        </x:is>
      </x:c>
      <x:c r="B5" s="6" t="inlineStr">
        <x:is>
          <x:t xml:space="preserve">Corruption and Bribery</x:t>
        </x:is>
      </x:c>
      <x:c r="C5" s="7" t="inlineStr">
        <x:is>
          <x:t xml:space="preserve"/>
        </x:is>
      </x:c>
      <x:c r="D5" s="9" t="inlineStr">
        <x:is>
          <x:t xml:space="preserve"/>
        </x:is>
      </x:c>
      <x:c r="E5" s="9" t="inlineStr">
        <x:is>
          <x:t xml:space="preserve"/>
        </x:is>
      </x:c>
      <x:c r="F5" s="7">
        <x:f>IF(OR(D5="",E5=""),"",D5*E5)</x:f>
      </x:c>
      <x:c r="G5" s="6" t="inlineStr">
        <x:is>
          <x:t xml:space="preserve"/>
        </x:is>
      </x:c>
      <x:c r="H5" s="9" t="inlineStr">
        <x:is>
          <x:t xml:space="preserve"/>
        </x:is>
      </x:c>
      <x:c r="I5" s="9" t="inlineStr">
        <x:is>
          <x:t xml:space="preserve"/>
        </x:is>
      </x:c>
      <x:c r="J5" s="7">
        <x:f>IF(OR(H5="",I5=""),"",H5*I5)</x:f>
      </x:c>
      <x:c r="K5" s="6" t="inlineStr">
        <x:is>
          <x:t xml:space="preserve"/>
        </x:is>
      </x:c>
      <x:c r="L5" s="6" t="inlineStr">
        <x:is>
          <x:t xml:space="preserve"/>
        </x:is>
      </x:c>
    </x:row>
    <x:row r="6" ht="30" customHeight="1">
      <x:c r="A6" s="7" t="inlineStr">
        <x:is>
          <x:t xml:space="preserve">R005</x:t>
        </x:is>
      </x:c>
      <x:c r="B6" s="6" t="inlineStr">
        <x:is>
          <x:t xml:space="preserve">Error in payroll process or unauthorized employee benefit</x:t>
        </x:is>
      </x:c>
      <x:c r="C6" s="7" t="inlineStr">
        <x:is>
          <x:t xml:space="preserve"/>
        </x:is>
      </x:c>
      <x:c r="D6" s="9" t="inlineStr">
        <x:is>
          <x:t xml:space="preserve"/>
        </x:is>
      </x:c>
      <x:c r="E6" s="9" t="inlineStr">
        <x:is>
          <x:t xml:space="preserve"/>
        </x:is>
      </x:c>
      <x:c r="F6" s="7">
        <x:f>IF(OR(D6="",E6=""),"",D6*E6)</x:f>
      </x:c>
      <x:c r="G6" s="6" t="inlineStr">
        <x:is>
          <x:t xml:space="preserve"/>
        </x:is>
      </x:c>
      <x:c r="H6" s="9" t="inlineStr">
        <x:is>
          <x:t xml:space="preserve"/>
        </x:is>
      </x:c>
      <x:c r="I6" s="9" t="inlineStr">
        <x:is>
          <x:t xml:space="preserve"/>
        </x:is>
      </x:c>
      <x:c r="J6" s="7">
        <x:f>IF(OR(H6="",I6=""),"",H6*I6)</x:f>
      </x:c>
      <x:c r="K6" s="6" t="inlineStr">
        <x:is>
          <x:t xml:space="preserve"/>
        </x:is>
      </x:c>
      <x:c r="L6" s="6" t="inlineStr">
        <x:is>
          <x:t xml:space="preserve"/>
        </x:is>
      </x:c>
    </x:row>
    <x:row r="7" ht="30" customHeight="1">
      <x:c r="A7" s="7" t="inlineStr">
        <x:is>
          <x:t xml:space="preserve">R006</x:t>
        </x:is>
      </x:c>
      <x:c r="B7" s="6" t="inlineStr">
        <x:is>
          <x:t xml:space="preserve">Errors in financials</x:t>
        </x:is>
      </x:c>
      <x:c r="C7" s="7" t="inlineStr">
        <x:is>
          <x:t xml:space="preserve"/>
        </x:is>
      </x:c>
      <x:c r="D7" s="9" t="inlineStr">
        <x:is>
          <x:t xml:space="preserve"/>
        </x:is>
      </x:c>
      <x:c r="E7" s="9" t="inlineStr">
        <x:is>
          <x:t xml:space="preserve"/>
        </x:is>
      </x:c>
      <x:c r="F7" s="7">
        <x:f>IF(OR(D7="",E7=""),"",D7*E7)</x:f>
      </x:c>
      <x:c r="G7" s="6" t="inlineStr">
        <x:is>
          <x:t xml:space="preserve"/>
        </x:is>
      </x:c>
      <x:c r="H7" s="9" t="inlineStr">
        <x:is>
          <x:t xml:space="preserve"/>
        </x:is>
      </x:c>
      <x:c r="I7" s="9" t="inlineStr">
        <x:is>
          <x:t xml:space="preserve"/>
        </x:is>
      </x:c>
      <x:c r="J7" s="7">
        <x:f>IF(OR(H7="",I7=""),"",H7*I7)</x:f>
      </x:c>
      <x:c r="K7" s="6" t="inlineStr">
        <x:is>
          <x:t xml:space="preserve"/>
        </x:is>
      </x:c>
      <x:c r="L7" s="6" t="inlineStr">
        <x:is>
          <x:t xml:space="preserve"/>
        </x:is>
      </x:c>
    </x:row>
    <x:row r="8" ht="30" customHeight="1">
      <x:c r="A8" s="7" t="inlineStr">
        <x:is>
          <x:t xml:space="preserve">R007</x:t>
        </x:is>
      </x:c>
      <x:c r="B8" s="6" t="inlineStr">
        <x:is>
          <x:t xml:space="preserve">Failure in customer master data creation or maintenance</x:t>
        </x:is>
      </x:c>
      <x:c r="C8" s="7" t="inlineStr">
        <x:is>
          <x:t xml:space="preserve"/>
        </x:is>
      </x:c>
      <x:c r="D8" s="9" t="inlineStr">
        <x:is>
          <x:t xml:space="preserve"/>
        </x:is>
      </x:c>
      <x:c r="E8" s="9" t="inlineStr">
        <x:is>
          <x:t xml:space="preserve"/>
        </x:is>
      </x:c>
      <x:c r="F8" s="7">
        <x:f>IF(OR(D8="",E8=""),"",D8*E8)</x:f>
      </x:c>
      <x:c r="G8" s="6" t="inlineStr">
        <x:is>
          <x:t xml:space="preserve"/>
        </x:is>
      </x:c>
      <x:c r="H8" s="9" t="inlineStr">
        <x:is>
          <x:t xml:space="preserve"/>
        </x:is>
      </x:c>
      <x:c r="I8" s="9" t="inlineStr">
        <x:is>
          <x:t xml:space="preserve"/>
        </x:is>
      </x:c>
      <x:c r="J8" s="7">
        <x:f>IF(OR(H8="",I8=""),"",H8*I8)</x:f>
      </x:c>
      <x:c r="K8" s="6" t="inlineStr">
        <x:is>
          <x:t xml:space="preserve"/>
        </x:is>
      </x:c>
      <x:c r="L8" s="6" t="inlineStr">
        <x:is>
          <x:t xml:space="preserve"/>
        </x:is>
      </x:c>
    </x:row>
    <x:row r="9" ht="30" customHeight="1">
      <x:c r="A9" s="7" t="inlineStr">
        <x:is>
          <x:t xml:space="preserve">R008</x:t>
        </x:is>
      </x:c>
      <x:c r="B9" s="6" t="inlineStr">
        <x:is>
          <x:t xml:space="preserve">Failure in litigation management</x:t>
        </x:is>
      </x:c>
      <x:c r="C9" s="7" t="inlineStr">
        <x:is>
          <x:t xml:space="preserve"/>
        </x:is>
      </x:c>
      <x:c r="D9" s="9" t="inlineStr">
        <x:is>
          <x:t xml:space="preserve"/>
        </x:is>
      </x:c>
      <x:c r="E9" s="9" t="inlineStr">
        <x:is>
          <x:t xml:space="preserve"/>
        </x:is>
      </x:c>
      <x:c r="F9" s="7">
        <x:f>IF(OR(D9="",E9=""),"",D9*E9)</x:f>
      </x:c>
      <x:c r="G9" s="6" t="inlineStr">
        <x:is>
          <x:t xml:space="preserve"/>
        </x:is>
      </x:c>
      <x:c r="H9" s="9" t="inlineStr">
        <x:is>
          <x:t xml:space="preserve"/>
        </x:is>
      </x:c>
      <x:c r="I9" s="9" t="inlineStr">
        <x:is>
          <x:t xml:space="preserve"/>
        </x:is>
      </x:c>
      <x:c r="J9" s="7">
        <x:f>IF(OR(H9="",I9=""),"",H9*I9)</x:f>
      </x:c>
      <x:c r="K9" s="6" t="inlineStr">
        <x:is>
          <x:t xml:space="preserve"/>
        </x:is>
      </x:c>
      <x:c r="L9" s="6" t="inlineStr">
        <x:is>
          <x:t xml:space="preserve"/>
        </x:is>
      </x:c>
    </x:row>
    <x:row r="10" ht="30" customHeight="1">
      <x:c r="A10" s="7" t="inlineStr">
        <x:is>
          <x:t xml:space="preserve">R009</x:t>
        </x:is>
      </x:c>
      <x:c r="B10" s="6" t="inlineStr">
        <x:is>
          <x:t xml:space="preserve">Fraudulent or incorrect purchase order</x:t>
        </x:is>
      </x:c>
      <x:c r="C10" s="7" t="inlineStr">
        <x:is>
          <x:t xml:space="preserve"/>
        </x:is>
      </x:c>
      <x:c r="D10" s="9" t="inlineStr">
        <x:is>
          <x:t xml:space="preserve"/>
        </x:is>
      </x:c>
      <x:c r="E10" s="9" t="inlineStr">
        <x:is>
          <x:t xml:space="preserve"/>
        </x:is>
      </x:c>
      <x:c r="F10" s="7">
        <x:f>IF(OR(D10="",E10=""),"",D10*E10)</x:f>
      </x:c>
      <x:c r="G10" s="6" t="inlineStr">
        <x:is>
          <x:t xml:space="preserve"/>
        </x:is>
      </x:c>
      <x:c r="H10" s="9" t="inlineStr">
        <x:is>
          <x:t xml:space="preserve"/>
        </x:is>
      </x:c>
      <x:c r="I10" s="9" t="inlineStr">
        <x:is>
          <x:t xml:space="preserve"/>
        </x:is>
      </x:c>
      <x:c r="J10" s="7">
        <x:f>IF(OR(H10="",I10=""),"",H10*I10)</x:f>
      </x:c>
      <x:c r="K10" s="6" t="inlineStr">
        <x:is>
          <x:t xml:space="preserve"/>
        </x:is>
      </x:c>
      <x:c r="L10" s="6" t="inlineStr">
        <x:is>
          <x:t xml:space="preserve"/>
        </x:is>
      </x:c>
    </x:row>
    <x:row r="11" ht="30" customHeight="1">
      <x:c r="A11" s="7" t="inlineStr">
        <x:is>
          <x:t xml:space="preserve">R010</x:t>
        </x:is>
      </x:c>
      <x:c r="B11" s="6" t="inlineStr">
        <x:is>
          <x:t xml:space="preserve">Health &amp; Safety issue (injuries</x:t>
        </x:is>
      </x:c>
      <x:c r="C11" s="7" t="inlineStr">
        <x:is>
          <x:t xml:space="preserve"/>
        </x:is>
      </x:c>
      <x:c r="D11" s="9" t="inlineStr">
        <x:is>
          <x:t xml:space="preserve"/>
        </x:is>
      </x:c>
      <x:c r="E11" s="9" t="inlineStr">
        <x:is>
          <x:t xml:space="preserve"/>
        </x:is>
      </x:c>
      <x:c r="F11" s="7">
        <x:f>IF(OR(D11="",E11=""),"",D11*E11)</x:f>
      </x:c>
      <x:c r="G11" s="6" t="inlineStr">
        <x:is>
          <x:t xml:space="preserve"/>
        </x:is>
      </x:c>
      <x:c r="H11" s="9" t="inlineStr">
        <x:is>
          <x:t xml:space="preserve"/>
        </x:is>
      </x:c>
      <x:c r="I11" s="9" t="inlineStr">
        <x:is>
          <x:t xml:space="preserve"/>
        </x:is>
      </x:c>
      <x:c r="J11" s="7">
        <x:f>IF(OR(H11="",I11=""),"",H11*I11)</x:f>
      </x:c>
      <x:c r="K11" s="6" t="inlineStr">
        <x:is>
          <x:t xml:space="preserve"/>
        </x:is>
      </x:c>
      <x:c r="L11" s="6" t="inlineStr">
        <x:is>
          <x:t xml:space="preserve"/>
        </x:is>
      </x:c>
    </x:row>
    <x:row r="12" ht="30" customHeight="1">
      <x:c r="A12" s="7" t="inlineStr">
        <x:is>
          <x:t xml:space="preserve">R011</x:t>
        </x:is>
      </x:c>
      <x:c r="B12" s="6" t="inlineStr">
        <x:is>
          <x:t xml:space="preserve">Improper management of foreign exchange</x:t>
        </x:is>
      </x:c>
      <x:c r="C12" s="7" t="inlineStr">
        <x:is>
          <x:t xml:space="preserve"/>
        </x:is>
      </x:c>
      <x:c r="D12" s="9" t="inlineStr">
        <x:is>
          <x:t xml:space="preserve"/>
        </x:is>
      </x:c>
      <x:c r="E12" s="9" t="inlineStr">
        <x:is>
          <x:t xml:space="preserve"/>
        </x:is>
      </x:c>
      <x:c r="F12" s="7">
        <x:f>IF(OR(D12="",E12=""),"",D12*E12)</x:f>
      </x:c>
      <x:c r="G12" s="6" t="inlineStr">
        <x:is>
          <x:t xml:space="preserve"/>
        </x:is>
      </x:c>
      <x:c r="H12" s="9" t="inlineStr">
        <x:is>
          <x:t xml:space="preserve"/>
        </x:is>
      </x:c>
      <x:c r="I12" s="9" t="inlineStr">
        <x:is>
          <x:t xml:space="preserve"/>
        </x:is>
      </x:c>
      <x:c r="J12" s="7">
        <x:f>IF(OR(H12="",I12=""),"",H12*I12)</x:f>
      </x:c>
      <x:c r="K12" s="6" t="inlineStr">
        <x:is>
          <x:t xml:space="preserve"/>
        </x:is>
      </x:c>
      <x:c r="L12" s="6" t="inlineStr">
        <x:is>
          <x:t xml:space="preserve"/>
        </x:is>
      </x:c>
    </x:row>
    <x:row r="13" ht="30" customHeight="1">
      <x:c r="A13" s="7" t="inlineStr">
        <x:is>
          <x:t xml:space="preserve">R012</x:t>
        </x:is>
      </x:c>
      <x:c r="B13" s="6" t="inlineStr">
        <x:is>
          <x:t xml:space="preserve">Inability to maintain an adequate cash flow and liquidity position to pay obligations</x:t>
        </x:is>
      </x:c>
      <x:c r="C13" s="7" t="inlineStr">
        <x:is>
          <x:t xml:space="preserve"/>
        </x:is>
      </x:c>
      <x:c r="D13" s="9" t="inlineStr">
        <x:is>
          <x:t xml:space="preserve"/>
        </x:is>
      </x:c>
      <x:c r="E13" s="9" t="inlineStr">
        <x:is>
          <x:t xml:space="preserve"/>
        </x:is>
      </x:c>
      <x:c r="F13" s="7">
        <x:f>IF(OR(D13="",E13=""),"",D13*E13)</x:f>
      </x:c>
      <x:c r="G13" s="6" t="inlineStr">
        <x:is>
          <x:t xml:space="preserve"/>
        </x:is>
      </x:c>
      <x:c r="H13" s="9" t="inlineStr">
        <x:is>
          <x:t xml:space="preserve"/>
        </x:is>
      </x:c>
      <x:c r="I13" s="9" t="inlineStr">
        <x:is>
          <x:t xml:space="preserve"/>
        </x:is>
      </x:c>
      <x:c r="J13" s="7">
        <x:f>IF(OR(H13="",I13=""),"",H13*I13)</x:f>
      </x:c>
      <x:c r="K13" s="6" t="inlineStr">
        <x:is>
          <x:t xml:space="preserve"/>
        </x:is>
      </x:c>
      <x:c r="L13" s="6" t="inlineStr">
        <x:is>
          <x:t xml:space="preserve"/>
        </x:is>
      </x:c>
    </x:row>
    <x:row r="14" ht="30" customHeight="1">
      <x:c r="A14" s="7" t="inlineStr">
        <x:is>
          <x:t xml:space="preserve">R013</x:t>
        </x:is>
      </x:c>
      <x:c r="B14" s="6" t="inlineStr">
        <x:is>
          <x:t xml:space="preserve">Inaccurate or fraudulent closing entries (incl. judgemental assumptions and estimates)</x:t>
        </x:is>
      </x:c>
      <x:c r="C14" s="7" t="inlineStr">
        <x:is>
          <x:t xml:space="preserve"/>
        </x:is>
      </x:c>
      <x:c r="D14" s="9" t="inlineStr">
        <x:is>
          <x:t xml:space="preserve"/>
        </x:is>
      </x:c>
      <x:c r="E14" s="9" t="inlineStr">
        <x:is>
          <x:t xml:space="preserve"/>
        </x:is>
      </x:c>
      <x:c r="F14" s="7">
        <x:f>IF(OR(D14="",E14=""),"",D14*E14)</x:f>
      </x:c>
      <x:c r="G14" s="6" t="inlineStr">
        <x:is>
          <x:t xml:space="preserve"/>
        </x:is>
      </x:c>
      <x:c r="H14" s="9" t="inlineStr">
        <x:is>
          <x:t xml:space="preserve"/>
        </x:is>
      </x:c>
      <x:c r="I14" s="9" t="inlineStr">
        <x:is>
          <x:t xml:space="preserve"/>
        </x:is>
      </x:c>
      <x:c r="J14" s="7">
        <x:f>IF(OR(H14="",I14=""),"",H14*I14)</x:f>
      </x:c>
      <x:c r="K14" s="6" t="inlineStr">
        <x:is>
          <x:t xml:space="preserve"/>
        </x:is>
      </x:c>
      <x:c r="L14" s="6" t="inlineStr">
        <x:is>
          <x:t xml:space="preserve"/>
        </x:is>
      </x:c>
    </x:row>
    <x:row r="15" ht="30" customHeight="1">
      <x:c r="A15" s="7" t="inlineStr">
        <x:is>
          <x:t xml:space="preserve">R014</x:t>
        </x:is>
      </x:c>
      <x:c r="B15" s="6" t="inlineStr">
        <x:is>
          <x:t xml:space="preserve">Inaccurate or fraudulent recording and tracking of inventory</x:t>
        </x:is>
      </x:c>
      <x:c r="C15" s="7" t="inlineStr">
        <x:is>
          <x:t xml:space="preserve"/>
        </x:is>
      </x:c>
      <x:c r="D15" s="9" t="inlineStr">
        <x:is>
          <x:t xml:space="preserve"/>
        </x:is>
      </x:c>
      <x:c r="E15" s="9" t="inlineStr">
        <x:is>
          <x:t xml:space="preserve"/>
        </x:is>
      </x:c>
      <x:c r="F15" s="7">
        <x:f>IF(OR(D15="",E15=""),"",D15*E15)</x:f>
      </x:c>
      <x:c r="G15" s="6" t="inlineStr">
        <x:is>
          <x:t xml:space="preserve"/>
        </x:is>
      </x:c>
      <x:c r="H15" s="9" t="inlineStr">
        <x:is>
          <x:t xml:space="preserve"/>
        </x:is>
      </x:c>
      <x:c r="I15" s="9" t="inlineStr">
        <x:is>
          <x:t xml:space="preserve"/>
        </x:is>
      </x:c>
      <x:c r="J15" s="7">
        <x:f>IF(OR(H15="",I15=""),"",H15*I15)</x:f>
      </x:c>
      <x:c r="K15" s="6" t="inlineStr">
        <x:is>
          <x:t xml:space="preserve"/>
        </x:is>
      </x:c>
      <x:c r="L15" s="6" t="inlineStr">
        <x:is>
          <x:t xml:space="preserve"/>
        </x:is>
      </x:c>
    </x:row>
    <x:row r="16" ht="30" customHeight="1">
      <x:c r="A16" s="7" t="inlineStr">
        <x:is>
          <x:t xml:space="preserve">R015</x:t>
        </x:is>
      </x:c>
      <x:c r="B16" s="6" t="inlineStr">
        <x:is>
          <x:t xml:space="preserve">Inaccurate or fraudulent recording of expenditure and accruals</x:t>
        </x:is>
      </x:c>
      <x:c r="C16" s="7" t="inlineStr">
        <x:is>
          <x:t xml:space="preserve"/>
        </x:is>
      </x:c>
      <x:c r="D16" s="9" t="inlineStr">
        <x:is>
          <x:t xml:space="preserve"/>
        </x:is>
      </x:c>
      <x:c r="E16" s="9" t="inlineStr">
        <x:is>
          <x:t xml:space="preserve"/>
        </x:is>
      </x:c>
      <x:c r="F16" s="7">
        <x:f>IF(OR(D16="",E16=""),"",D16*E16)</x:f>
      </x:c>
      <x:c r="G16" s="6" t="inlineStr">
        <x:is>
          <x:t xml:space="preserve"/>
        </x:is>
      </x:c>
      <x:c r="H16" s="9" t="inlineStr">
        <x:is>
          <x:t xml:space="preserve"/>
        </x:is>
      </x:c>
      <x:c r="I16" s="9" t="inlineStr">
        <x:is>
          <x:t xml:space="preserve"/>
        </x:is>
      </x:c>
      <x:c r="J16" s="7">
        <x:f>IF(OR(H16="",I16=""),"",H16*I16)</x:f>
      </x:c>
      <x:c r="K16" s="6" t="inlineStr">
        <x:is>
          <x:t xml:space="preserve"/>
        </x:is>
      </x:c>
      <x:c r="L16" s="6" t="inlineStr">
        <x:is>
          <x:t xml:space="preserve"/>
        </x:is>
      </x:c>
    </x:row>
    <x:row r="17" ht="30" customHeight="1">
      <x:c r="A17" s="7" t="inlineStr">
        <x:is>
          <x:t xml:space="preserve">R016</x:t>
        </x:is>
      </x:c>
      <x:c r="B17" s="6" t="inlineStr">
        <x:is>
          <x:t xml:space="preserve">Inaccurate or fraudulent recording of fixed assets</x:t>
        </x:is>
      </x:c>
      <x:c r="C17" s="7" t="inlineStr">
        <x:is>
          <x:t xml:space="preserve"/>
        </x:is>
      </x:c>
      <x:c r="D17" s="9" t="inlineStr">
        <x:is>
          <x:t xml:space="preserve"/>
        </x:is>
      </x:c>
      <x:c r="E17" s="9" t="inlineStr">
        <x:is>
          <x:t xml:space="preserve"/>
        </x:is>
      </x:c>
      <x:c r="F17" s="7">
        <x:f>IF(OR(D17="",E17=""),"",D17*E17)</x:f>
      </x:c>
      <x:c r="G17" s="6" t="inlineStr">
        <x:is>
          <x:t xml:space="preserve"/>
        </x:is>
      </x:c>
      <x:c r="H17" s="9" t="inlineStr">
        <x:is>
          <x:t xml:space="preserve"/>
        </x:is>
      </x:c>
      <x:c r="I17" s="9" t="inlineStr">
        <x:is>
          <x:t xml:space="preserve"/>
        </x:is>
      </x:c>
      <x:c r="J17" s="7">
        <x:f>IF(OR(H17="",I17=""),"",H17*I17)</x:f>
      </x:c>
      <x:c r="K17" s="6" t="inlineStr">
        <x:is>
          <x:t xml:space="preserve"/>
        </x:is>
      </x:c>
      <x:c r="L17" s="6" t="inlineStr">
        <x:is>
          <x:t xml:space="preserve"/>
        </x:is>
      </x:c>
    </x:row>
    <x:row r="18" ht="30" customHeight="1">
      <x:c r="A18" s="7" t="inlineStr">
        <x:is>
          <x:t xml:space="preserve">R017</x:t>
        </x:is>
      </x:c>
      <x:c r="B18" s="6" t="inlineStr">
        <x:is>
          <x:t xml:space="preserve">Inaccurate or fraudulent recording of fixed assets  Non-adherence to accounting and reporting requirements and standards</x:t>
        </x:is>
      </x:c>
      <x:c r="C18" s="7" t="inlineStr">
        <x:is>
          <x:t xml:space="preserve"/>
        </x:is>
      </x:c>
      <x:c r="D18" s="9" t="inlineStr">
        <x:is>
          <x:t xml:space="preserve"/>
        </x:is>
      </x:c>
      <x:c r="E18" s="9" t="inlineStr">
        <x:is>
          <x:t xml:space="preserve"/>
        </x:is>
      </x:c>
      <x:c r="F18" s="7">
        <x:f>IF(OR(D18="",E18=""),"",D18*E18)</x:f>
      </x:c>
      <x:c r="G18" s="6" t="inlineStr">
        <x:is>
          <x:t xml:space="preserve"/>
        </x:is>
      </x:c>
      <x:c r="H18" s="9" t="inlineStr">
        <x:is>
          <x:t xml:space="preserve"/>
        </x:is>
      </x:c>
      <x:c r="I18" s="9" t="inlineStr">
        <x:is>
          <x:t xml:space="preserve"/>
        </x:is>
      </x:c>
      <x:c r="J18" s="7">
        <x:f>IF(OR(H18="",I18=""),"",H18*I18)</x:f>
      </x:c>
      <x:c r="K18" s="6" t="inlineStr">
        <x:is>
          <x:t xml:space="preserve"/>
        </x:is>
      </x:c>
      <x:c r="L18" s="6" t="inlineStr">
        <x:is>
          <x:t xml:space="preserve"/>
        </x:is>
      </x:c>
    </x:row>
    <x:row r="19" ht="30" customHeight="1">
      <x:c r="A19" s="7" t="inlineStr">
        <x:is>
          <x:t xml:space="preserve">R018</x:t>
        </x:is>
      </x:c>
      <x:c r="B19" s="6" t="inlineStr">
        <x:is>
          <x:t xml:space="preserve">Inaccurate or fraudulent revenue recognition</x:t>
        </x:is>
      </x:c>
      <x:c r="C19" s="7" t="inlineStr">
        <x:is>
          <x:t xml:space="preserve"/>
        </x:is>
      </x:c>
      <x:c r="D19" s="9" t="inlineStr">
        <x:is>
          <x:t xml:space="preserve"/>
        </x:is>
      </x:c>
      <x:c r="E19" s="9" t="inlineStr">
        <x:is>
          <x:t xml:space="preserve"/>
        </x:is>
      </x:c>
      <x:c r="F19" s="7">
        <x:f>IF(OR(D19="",E19=""),"",D19*E19)</x:f>
      </x:c>
      <x:c r="G19" s="6" t="inlineStr">
        <x:is>
          <x:t xml:space="preserve"/>
        </x:is>
      </x:c>
      <x:c r="H19" s="9" t="inlineStr">
        <x:is>
          <x:t xml:space="preserve"/>
        </x:is>
      </x:c>
      <x:c r="I19" s="9" t="inlineStr">
        <x:is>
          <x:t xml:space="preserve"/>
        </x:is>
      </x:c>
      <x:c r="J19" s="7">
        <x:f>IF(OR(H19="",I19=""),"",H19*I19)</x:f>
      </x:c>
      <x:c r="K19" s="6" t="inlineStr">
        <x:is>
          <x:t xml:space="preserve"/>
        </x:is>
      </x:c>
      <x:c r="L19" s="6" t="inlineStr">
        <x:is>
          <x:t xml:space="preserve"/>
        </x:is>
      </x:c>
    </x:row>
    <x:row r="20" ht="30" customHeight="1">
      <x:c r="A20" s="7" t="inlineStr">
        <x:is>
          <x:t xml:space="preserve">R019</x:t>
        </x:is>
      </x:c>
      <x:c r="B20" s="6" t="inlineStr">
        <x:is>
          <x:t xml:space="preserve">Ineffective or unethical vendor selection process.</x:t>
        </x:is>
      </x:c>
      <x:c r="C20" s="7" t="inlineStr">
        <x:is>
          <x:t xml:space="preserve"/>
        </x:is>
      </x:c>
      <x:c r="D20" s="9" t="inlineStr">
        <x:is>
          <x:t xml:space="preserve"/>
        </x:is>
      </x:c>
      <x:c r="E20" s="9" t="inlineStr">
        <x:is>
          <x:t xml:space="preserve"/>
        </x:is>
      </x:c>
      <x:c r="F20" s="7">
        <x:f>IF(OR(D20="",E20=""),"",D20*E20)</x:f>
      </x:c>
      <x:c r="G20" s="6" t="inlineStr">
        <x:is>
          <x:t xml:space="preserve"/>
        </x:is>
      </x:c>
      <x:c r="H20" s="9" t="inlineStr">
        <x:is>
          <x:t xml:space="preserve"/>
        </x:is>
      </x:c>
      <x:c r="I20" s="9" t="inlineStr">
        <x:is>
          <x:t xml:space="preserve"/>
        </x:is>
      </x:c>
      <x:c r="J20" s="7">
        <x:f>IF(OR(H20="",I20=""),"",H20*I20)</x:f>
      </x:c>
      <x:c r="K20" s="6" t="inlineStr">
        <x:is>
          <x:t xml:space="preserve"/>
        </x:is>
      </x:c>
      <x:c r="L20" s="6" t="inlineStr">
        <x:is>
          <x:t xml:space="preserve"/>
        </x:is>
      </x:c>
    </x:row>
    <x:row r="21" ht="30" customHeight="1">
      <x:c r="A21" s="7" t="inlineStr">
        <x:is>
          <x:t xml:space="preserve">R020</x:t>
        </x:is>
      </x:c>
      <x:c r="B21" s="6" t="inlineStr">
        <x:is>
          <x:t xml:space="preserve">Ineffective or unethical vendor selection.</x:t>
        </x:is>
      </x:c>
      <x:c r="C21" s="7" t="inlineStr">
        <x:is>
          <x:t xml:space="preserve"/>
        </x:is>
      </x:c>
      <x:c r="D21" s="9" t="inlineStr">
        <x:is>
          <x:t xml:space="preserve"/>
        </x:is>
      </x:c>
      <x:c r="E21" s="9" t="inlineStr">
        <x:is>
          <x:t xml:space="preserve"/>
        </x:is>
      </x:c>
      <x:c r="F21" s="7">
        <x:f>IF(OR(D21="",E21=""),"",D21*E21)</x:f>
      </x:c>
      <x:c r="G21" s="6" t="inlineStr">
        <x:is>
          <x:t xml:space="preserve"/>
        </x:is>
      </x:c>
      <x:c r="H21" s="9" t="inlineStr">
        <x:is>
          <x:t xml:space="preserve"/>
        </x:is>
      </x:c>
      <x:c r="I21" s="9" t="inlineStr">
        <x:is>
          <x:t xml:space="preserve"/>
        </x:is>
      </x:c>
      <x:c r="J21" s="7">
        <x:f>IF(OR(H21="",I21=""),"",H21*I21)</x:f>
      </x:c>
      <x:c r="K21" s="6" t="inlineStr">
        <x:is>
          <x:t xml:space="preserve"/>
        </x:is>
      </x:c>
      <x:c r="L21" s="6" t="inlineStr">
        <x:is>
          <x:t xml:space="preserve"/>
        </x:is>
      </x:c>
    </x:row>
    <x:row r="22" ht="30" customHeight="1">
      <x:c r="A22" s="7" t="inlineStr">
        <x:is>
          <x:t xml:space="preserve">R021</x:t>
        </x:is>
      </x:c>
      <x:c r="B22" s="6" t="inlineStr">
        <x:is>
          <x:t xml:space="preserve">Infringement of Fair Competition regulations</x:t>
        </x:is>
      </x:c>
      <x:c r="C22" s="7" t="inlineStr">
        <x:is>
          <x:t xml:space="preserve"/>
        </x:is>
      </x:c>
      <x:c r="D22" s="9" t="inlineStr">
        <x:is>
          <x:t xml:space="preserve"/>
        </x:is>
      </x:c>
      <x:c r="E22" s="9" t="inlineStr">
        <x:is>
          <x:t xml:space="preserve"/>
        </x:is>
      </x:c>
      <x:c r="F22" s="7">
        <x:f>IF(OR(D22="",E22=""),"",D22*E22)</x:f>
      </x:c>
      <x:c r="G22" s="6" t="inlineStr">
        <x:is>
          <x:t xml:space="preserve"/>
        </x:is>
      </x:c>
      <x:c r="H22" s="9" t="inlineStr">
        <x:is>
          <x:t xml:space="preserve"/>
        </x:is>
      </x:c>
      <x:c r="I22" s="9" t="inlineStr">
        <x:is>
          <x:t xml:space="preserve"/>
        </x:is>
      </x:c>
      <x:c r="J22" s="7">
        <x:f>IF(OR(H22="",I22=""),"",H22*I22)</x:f>
      </x:c>
      <x:c r="K22" s="6" t="inlineStr">
        <x:is>
          <x:t xml:space="preserve"/>
        </x:is>
      </x:c>
      <x:c r="L22" s="6" t="inlineStr">
        <x:is>
          <x:t xml:space="preserve"/>
        </x:is>
      </x:c>
    </x:row>
    <x:row r="23" ht="30" customHeight="1">
      <x:c r="A23" s="7" t="inlineStr">
        <x:is>
          <x:t xml:space="preserve">R022</x:t>
        </x:is>
      </x:c>
      <x:c r="B23" s="6" t="inlineStr">
        <x:is>
          <x:t xml:space="preserve">Lack of Board’s oversight responsibilities over risk and internal control</x:t>
        </x:is>
      </x:c>
      <x:c r="C23" s="7" t="inlineStr">
        <x:is>
          <x:t xml:space="preserve"/>
        </x:is>
      </x:c>
      <x:c r="D23" s="9" t="inlineStr">
        <x:is>
          <x:t xml:space="preserve"/>
        </x:is>
      </x:c>
      <x:c r="E23" s="9" t="inlineStr">
        <x:is>
          <x:t xml:space="preserve"/>
        </x:is>
      </x:c>
      <x:c r="F23" s="7">
        <x:f>IF(OR(D23="",E23=""),"",D23*E23)</x:f>
      </x:c>
      <x:c r="G23" s="6" t="inlineStr">
        <x:is>
          <x:t xml:space="preserve"/>
        </x:is>
      </x:c>
      <x:c r="H23" s="9" t="inlineStr">
        <x:is>
          <x:t xml:space="preserve"/>
        </x:is>
      </x:c>
      <x:c r="I23" s="9" t="inlineStr">
        <x:is>
          <x:t xml:space="preserve"/>
        </x:is>
      </x:c>
      <x:c r="J23" s="7">
        <x:f>IF(OR(H23="",I23=""),"",H23*I23)</x:f>
      </x:c>
      <x:c r="K23" s="6" t="inlineStr">
        <x:is>
          <x:t xml:space="preserve"/>
        </x:is>
      </x:c>
      <x:c r="L23" s="6" t="inlineStr">
        <x:is>
          <x:t xml:space="preserve"/>
        </x:is>
      </x:c>
    </x:row>
    <x:row r="24" ht="30" customHeight="1">
      <x:c r="A24" s="7" t="inlineStr">
        <x:is>
          <x:t xml:space="preserve">R023</x:t>
        </x:is>
      </x:c>
      <x:c r="B24" s="6" t="inlineStr">
        <x:is>
          <x:t xml:space="preserve">Lack of commercial strategy and pricing policy</x:t>
        </x:is>
      </x:c>
      <x:c r="C24" s="7" t="inlineStr">
        <x:is>
          <x:t xml:space="preserve"/>
        </x:is>
      </x:c>
      <x:c r="D24" s="9" t="inlineStr">
        <x:is>
          <x:t xml:space="preserve"/>
        </x:is>
      </x:c>
      <x:c r="E24" s="9" t="inlineStr">
        <x:is>
          <x:t xml:space="preserve"/>
        </x:is>
      </x:c>
      <x:c r="F24" s="7">
        <x:f>IF(OR(D24="",E24=""),"",D24*E24)</x:f>
      </x:c>
      <x:c r="G24" s="6" t="inlineStr">
        <x:is>
          <x:t xml:space="preserve"/>
        </x:is>
      </x:c>
      <x:c r="H24" s="9" t="inlineStr">
        <x:is>
          <x:t xml:space="preserve"/>
        </x:is>
      </x:c>
      <x:c r="I24" s="9" t="inlineStr">
        <x:is>
          <x:t xml:space="preserve"/>
        </x:is>
      </x:c>
      <x:c r="J24" s="7">
        <x:f>IF(OR(H24="",I24=""),"",H24*I24)</x:f>
      </x:c>
      <x:c r="K24" s="6" t="inlineStr">
        <x:is>
          <x:t xml:space="preserve"/>
        </x:is>
      </x:c>
      <x:c r="L24" s="6" t="inlineStr">
        <x:is>
          <x:t xml:space="preserve"/>
        </x:is>
      </x:c>
    </x:row>
    <x:row r="25" ht="30" customHeight="1">
      <x:c r="A25" s="7" t="inlineStr">
        <x:is>
          <x:t xml:space="preserve">R024</x:t>
        </x:is>
      </x:c>
      <x:c r="B25" s="6" t="inlineStr">
        <x:is>
          <x:t xml:space="preserve">Lack of insurance coverage</x:t>
        </x:is>
      </x:c>
      <x:c r="C25" s="7" t="inlineStr">
        <x:is>
          <x:t xml:space="preserve"/>
        </x:is>
      </x:c>
      <x:c r="D25" s="9" t="inlineStr">
        <x:is>
          <x:t xml:space="preserve"/>
        </x:is>
      </x:c>
      <x:c r="E25" s="9" t="inlineStr">
        <x:is>
          <x:t xml:space="preserve"/>
        </x:is>
      </x:c>
      <x:c r="F25" s="7">
        <x:f>IF(OR(D25="",E25=""),"",D25*E25)</x:f>
      </x:c>
      <x:c r="G25" s="6" t="inlineStr">
        <x:is>
          <x:t xml:space="preserve"/>
        </x:is>
      </x:c>
      <x:c r="H25" s="9" t="inlineStr">
        <x:is>
          <x:t xml:space="preserve"/>
        </x:is>
      </x:c>
      <x:c r="I25" s="9" t="inlineStr">
        <x:is>
          <x:t xml:space="preserve"/>
        </x:is>
      </x:c>
      <x:c r="J25" s="7">
        <x:f>IF(OR(H25="",I25=""),"",H25*I25)</x:f>
      </x:c>
      <x:c r="K25" s="6" t="inlineStr">
        <x:is>
          <x:t xml:space="preserve"/>
        </x:is>
      </x:c>
      <x:c r="L25" s="6" t="inlineStr">
        <x:is>
          <x:t xml:space="preserve"/>
        </x:is>
      </x:c>
    </x:row>
    <x:row r="26" ht="30" customHeight="1">
      <x:c r="A26" s="7" t="inlineStr">
        <x:is>
          <x:t xml:space="preserve">R025</x:t>
        </x:is>
      </x:c>
      <x:c r="B26" s="6" t="inlineStr">
        <x:is>
          <x:t xml:space="preserve">Lack of proper tax risk monitoring and reporting</x:t>
        </x:is>
      </x:c>
      <x:c r="C26" s="7" t="inlineStr">
        <x:is>
          <x:t xml:space="preserve"/>
        </x:is>
      </x:c>
      <x:c r="D26" s="9" t="inlineStr">
        <x:is>
          <x:t xml:space="preserve"/>
        </x:is>
      </x:c>
      <x:c r="E26" s="9" t="inlineStr">
        <x:is>
          <x:t xml:space="preserve"/>
        </x:is>
      </x:c>
      <x:c r="F26" s="7">
        <x:f>IF(OR(D26="",E26=""),"",D26*E26)</x:f>
      </x:c>
      <x:c r="G26" s="6" t="inlineStr">
        <x:is>
          <x:t xml:space="preserve"/>
        </x:is>
      </x:c>
      <x:c r="H26" s="9" t="inlineStr">
        <x:is>
          <x:t xml:space="preserve"/>
        </x:is>
      </x:c>
      <x:c r="I26" s="9" t="inlineStr">
        <x:is>
          <x:t xml:space="preserve"/>
        </x:is>
      </x:c>
      <x:c r="J26" s="7">
        <x:f>IF(OR(H26="",I26=""),"",H26*I26)</x:f>
      </x:c>
      <x:c r="K26" s="6" t="inlineStr">
        <x:is>
          <x:t xml:space="preserve"/>
        </x:is>
      </x:c>
      <x:c r="L26" s="6" t="inlineStr">
        <x:is>
          <x:t xml:space="preserve"/>
        </x:is>
      </x:c>
    </x:row>
    <x:row r="27" ht="30" customHeight="1">
      <x:c r="A27" s="7" t="inlineStr">
        <x:is>
          <x:t xml:space="preserve">R026</x:t>
        </x:is>
      </x:c>
      <x:c r="B27" s="6" t="inlineStr">
        <x:is>
          <x:t xml:space="preserve">Lack of valid titles</x:t>
        </x:is>
      </x:c>
      <x:c r="C27" s="7" t="inlineStr">
        <x:is>
          <x:t xml:space="preserve"/>
        </x:is>
      </x:c>
      <x:c r="D27" s="9" t="inlineStr">
        <x:is>
          <x:t xml:space="preserve"/>
        </x:is>
      </x:c>
      <x:c r="E27" s="9" t="inlineStr">
        <x:is>
          <x:t xml:space="preserve"/>
        </x:is>
      </x:c>
      <x:c r="F27" s="7">
        <x:f>IF(OR(D27="",E27=""),"",D27*E27)</x:f>
      </x:c>
      <x:c r="G27" s="6" t="inlineStr">
        <x:is>
          <x:t xml:space="preserve"/>
        </x:is>
      </x:c>
      <x:c r="H27" s="9" t="inlineStr">
        <x:is>
          <x:t xml:space="preserve"/>
        </x:is>
      </x:c>
      <x:c r="I27" s="9" t="inlineStr">
        <x:is>
          <x:t xml:space="preserve"/>
        </x:is>
      </x:c>
      <x:c r="J27" s="7">
        <x:f>IF(OR(H27="",I27=""),"",H27*I27)</x:f>
      </x:c>
      <x:c r="K27" s="6" t="inlineStr">
        <x:is>
          <x:t xml:space="preserve"/>
        </x:is>
      </x:c>
      <x:c r="L27" s="6" t="inlineStr">
        <x:is>
          <x:t xml:space="preserve"/>
        </x:is>
      </x:c>
    </x:row>
    <x:row r="28" ht="30" customHeight="1">
      <x:c r="A28" s="7" t="inlineStr">
        <x:is>
          <x:t xml:space="preserve">R027</x:t>
        </x:is>
      </x:c>
      <x:c r="B28" s="6" t="inlineStr">
        <x:is>
          <x:t xml:space="preserve">Lack or ineffective HR management process (for example onboard</x:t>
        </x:is>
      </x:c>
      <x:c r="C28" s="7" t="inlineStr">
        <x:is>
          <x:t xml:space="preserve"/>
        </x:is>
      </x:c>
      <x:c r="D28" s="9" t="inlineStr">
        <x:is>
          <x:t xml:space="preserve"/>
        </x:is>
      </x:c>
      <x:c r="E28" s="9" t="inlineStr">
        <x:is>
          <x:t xml:space="preserve"/>
        </x:is>
      </x:c>
      <x:c r="F28" s="7">
        <x:f>IF(OR(D28="",E28=""),"",D28*E28)</x:f>
      </x:c>
      <x:c r="G28" s="6" t="inlineStr">
        <x:is>
          <x:t xml:space="preserve"/>
        </x:is>
      </x:c>
      <x:c r="H28" s="9" t="inlineStr">
        <x:is>
          <x:t xml:space="preserve"/>
        </x:is>
      </x:c>
      <x:c r="I28" s="9" t="inlineStr">
        <x:is>
          <x:t xml:space="preserve"/>
        </x:is>
      </x:c>
      <x:c r="J28" s="7">
        <x:f>IF(OR(H28="",I28=""),"",H28*I28)</x:f>
      </x:c>
      <x:c r="K28" s="6" t="inlineStr">
        <x:is>
          <x:t xml:space="preserve"/>
        </x:is>
      </x:c>
      <x:c r="L28" s="6" t="inlineStr">
        <x:is>
          <x:t xml:space="preserve"/>
        </x:is>
      </x:c>
    </x:row>
    <x:row r="29" ht="30" customHeight="1">
      <x:c r="A29" s="7" t="inlineStr">
        <x:is>
          <x:t xml:space="preserve">R028</x:t>
        </x:is>
      </x:c>
      <x:c r="B29" s="6" t="inlineStr">
        <x:is>
          <x:t xml:space="preserve">Money Laundering</x:t>
        </x:is>
      </x:c>
      <x:c r="C29" s="7" t="inlineStr">
        <x:is>
          <x:t xml:space="preserve"/>
        </x:is>
      </x:c>
      <x:c r="D29" s="9" t="inlineStr">
        <x:is>
          <x:t xml:space="preserve"/>
        </x:is>
      </x:c>
      <x:c r="E29" s="9" t="inlineStr">
        <x:is>
          <x:t xml:space="preserve"/>
        </x:is>
      </x:c>
      <x:c r="F29" s="7">
        <x:f>IF(OR(D29="",E29=""),"",D29*E29)</x:f>
      </x:c>
      <x:c r="G29" s="6" t="inlineStr">
        <x:is>
          <x:t xml:space="preserve"/>
        </x:is>
      </x:c>
      <x:c r="H29" s="9" t="inlineStr">
        <x:is>
          <x:t xml:space="preserve"/>
        </x:is>
      </x:c>
      <x:c r="I29" s="9" t="inlineStr">
        <x:is>
          <x:t xml:space="preserve"/>
        </x:is>
      </x:c>
      <x:c r="J29" s="7">
        <x:f>IF(OR(H29="",I29=""),"",H29*I29)</x:f>
      </x:c>
      <x:c r="K29" s="6" t="inlineStr">
        <x:is>
          <x:t xml:space="preserve"/>
        </x:is>
      </x:c>
      <x:c r="L29" s="6" t="inlineStr">
        <x:is>
          <x:t xml:space="preserve"/>
        </x:is>
      </x:c>
    </x:row>
    <x:row r="30" ht="30" customHeight="1">
      <x:c r="A30" s="7" t="inlineStr">
        <x:is>
          <x:t xml:space="preserve">R029</x:t>
        </x:is>
      </x:c>
      <x:c r="B30" s="6" t="inlineStr">
        <x:is>
          <x:t xml:space="preserve">Non-adherence to accounting and reporting requirements and standards</x:t>
        </x:is>
      </x:c>
      <x:c r="C30" s="7" t="inlineStr">
        <x:is>
          <x:t xml:space="preserve"/>
        </x:is>
      </x:c>
      <x:c r="D30" s="9" t="inlineStr">
        <x:is>
          <x:t xml:space="preserve"/>
        </x:is>
      </x:c>
      <x:c r="E30" s="9" t="inlineStr">
        <x:is>
          <x:t xml:space="preserve"/>
        </x:is>
      </x:c>
      <x:c r="F30" s="7">
        <x:f>IF(OR(D30="",E30=""),"",D30*E30)</x:f>
      </x:c>
      <x:c r="G30" s="6" t="inlineStr">
        <x:is>
          <x:t xml:space="preserve"/>
        </x:is>
      </x:c>
      <x:c r="H30" s="9" t="inlineStr">
        <x:is>
          <x:t xml:space="preserve"/>
        </x:is>
      </x:c>
      <x:c r="I30" s="9" t="inlineStr">
        <x:is>
          <x:t xml:space="preserve"/>
        </x:is>
      </x:c>
      <x:c r="J30" s="7">
        <x:f>IF(OR(H30="",I30=""),"",H30*I30)</x:f>
      </x:c>
      <x:c r="K30" s="6" t="inlineStr">
        <x:is>
          <x:t xml:space="preserve"/>
        </x:is>
      </x:c>
      <x:c r="L30" s="6" t="inlineStr">
        <x:is>
          <x:t xml:space="preserve"/>
        </x:is>
      </x:c>
    </x:row>
    <x:row r="31" ht="30" customHeight="1">
      <x:c r="A31" s="7" t="inlineStr">
        <x:is>
          <x:t xml:space="preserve">R030</x:t>
        </x:is>
      </x:c>
      <x:c r="B31" s="6" t="inlineStr">
        <x:is>
          <x:t xml:space="preserve">Poor tone at the top</x:t>
        </x:is>
      </x:c>
      <x:c r="C31" s="7" t="inlineStr">
        <x:is>
          <x:t xml:space="preserve"/>
        </x:is>
      </x:c>
      <x:c r="D31" s="9" t="inlineStr">
        <x:is>
          <x:t xml:space="preserve"/>
        </x:is>
      </x:c>
      <x:c r="E31" s="9" t="inlineStr">
        <x:is>
          <x:t xml:space="preserve"/>
        </x:is>
      </x:c>
      <x:c r="F31" s="7">
        <x:f>IF(OR(D31="",E31=""),"",D31*E31)</x:f>
      </x:c>
      <x:c r="G31" s="6" t="inlineStr">
        <x:is>
          <x:t xml:space="preserve"/>
        </x:is>
      </x:c>
      <x:c r="H31" s="9" t="inlineStr">
        <x:is>
          <x:t xml:space="preserve"/>
        </x:is>
      </x:c>
      <x:c r="I31" s="9" t="inlineStr">
        <x:is>
          <x:t xml:space="preserve"/>
        </x:is>
      </x:c>
      <x:c r="J31" s="7">
        <x:f>IF(OR(H31="",I31=""),"",H31*I31)</x:f>
      </x:c>
      <x:c r="K31" s="6" t="inlineStr">
        <x:is>
          <x:t xml:space="preserve"/>
        </x:is>
      </x:c>
      <x:c r="L31" s="6" t="inlineStr">
        <x:is>
          <x:t xml:space="preserve"/>
        </x:is>
      </x:c>
    </x:row>
    <x:row r="32" ht="30" customHeight="1">
      <x:c r="A32" s="7" t="inlineStr">
        <x:is>
          <x:t xml:space="preserve">R031</x:t>
        </x:is>
      </x:c>
      <x:c r="B32" s="6" t="inlineStr">
        <x:is>
          <x:t xml:space="preserve">Poor tone at the top.</x:t>
        </x:is>
      </x:c>
      <x:c r="C32" s="7" t="inlineStr">
        <x:is>
          <x:t xml:space="preserve"/>
        </x:is>
      </x:c>
      <x:c r="D32" s="9" t="inlineStr">
        <x:is>
          <x:t xml:space="preserve"/>
        </x:is>
      </x:c>
      <x:c r="E32" s="9" t="inlineStr">
        <x:is>
          <x:t xml:space="preserve"/>
        </x:is>
      </x:c>
      <x:c r="F32" s="7">
        <x:f>IF(OR(D32="",E32=""),"",D32*E32)</x:f>
      </x:c>
      <x:c r="G32" s="6" t="inlineStr">
        <x:is>
          <x:t xml:space="preserve"/>
        </x:is>
      </x:c>
      <x:c r="H32" s="9" t="inlineStr">
        <x:is>
          <x:t xml:space="preserve"/>
        </x:is>
      </x:c>
      <x:c r="I32" s="9" t="inlineStr">
        <x:is>
          <x:t xml:space="preserve"/>
        </x:is>
      </x:c>
      <x:c r="J32" s="7">
        <x:f>IF(OR(H32="",I32=""),"",H32*I32)</x:f>
      </x:c>
      <x:c r="K32" s="6" t="inlineStr">
        <x:is>
          <x:t xml:space="preserve"/>
        </x:is>
      </x:c>
      <x:c r="L32" s="6" t="inlineStr">
        <x:is>
          <x:t xml:space="preserve"/>
        </x:is>
      </x:c>
    </x:row>
    <x:row r="33" ht="30" customHeight="1">
      <x:c r="A33" s="7" t="inlineStr">
        <x:is>
          <x:t xml:space="preserve">R032</x:t>
        </x:is>
      </x:c>
      <x:c r="B33" s="6" t="inlineStr">
        <x:is>
          <x:t xml:space="preserve">Statutory filings and payments not performed timely</x:t>
        </x:is>
      </x:c>
      <x:c r="C33" s="7" t="inlineStr">
        <x:is>
          <x:t xml:space="preserve"/>
        </x:is>
      </x:c>
      <x:c r="D33" s="9" t="inlineStr">
        <x:is>
          <x:t xml:space="preserve"/>
        </x:is>
      </x:c>
      <x:c r="E33" s="9" t="inlineStr">
        <x:is>
          <x:t xml:space="preserve"/>
        </x:is>
      </x:c>
      <x:c r="F33" s="7">
        <x:f>IF(OR(D33="",E33=""),"",D33*E33)</x:f>
      </x:c>
      <x:c r="G33" s="6" t="inlineStr">
        <x:is>
          <x:t xml:space="preserve"/>
        </x:is>
      </x:c>
      <x:c r="H33" s="9" t="inlineStr">
        <x:is>
          <x:t xml:space="preserve"/>
        </x:is>
      </x:c>
      <x:c r="I33" s="9" t="inlineStr">
        <x:is>
          <x:t xml:space="preserve"/>
        </x:is>
      </x:c>
      <x:c r="J33" s="7">
        <x:f>IF(OR(H33="",I33=""),"",H33*I33)</x:f>
      </x:c>
      <x:c r="K33" s="6" t="inlineStr">
        <x:is>
          <x:t xml:space="preserve"/>
        </x:is>
      </x:c>
      <x:c r="L33" s="6" t="inlineStr">
        <x:is>
          <x:t xml:space="preserve"/>
        </x:is>
      </x:c>
    </x:row>
    <x:row r="34" ht="30" customHeight="1">
      <x:c r="A34" s="7" t="inlineStr">
        <x:is>
          <x:t xml:space="preserve">R033</x:t>
        </x:is>
      </x:c>
      <x:c r="B34" s="6" t="inlineStr">
        <x:is>
          <x:t xml:space="preserve">Supply chain disruption</x:t>
        </x:is>
      </x:c>
      <x:c r="C34" s="7" t="inlineStr">
        <x:is>
          <x:t xml:space="preserve"/>
        </x:is>
      </x:c>
      <x:c r="D34" s="9" t="inlineStr">
        <x:is>
          <x:t xml:space="preserve"/>
        </x:is>
      </x:c>
      <x:c r="E34" s="9" t="inlineStr">
        <x:is>
          <x:t xml:space="preserve"/>
        </x:is>
      </x:c>
      <x:c r="F34" s="7">
        <x:f>IF(OR(D34="",E34=""),"",D34*E34)</x:f>
      </x:c>
      <x:c r="G34" s="6" t="inlineStr">
        <x:is>
          <x:t xml:space="preserve"/>
        </x:is>
      </x:c>
      <x:c r="H34" s="9" t="inlineStr">
        <x:is>
          <x:t xml:space="preserve"/>
        </x:is>
      </x:c>
      <x:c r="I34" s="9" t="inlineStr">
        <x:is>
          <x:t xml:space="preserve"/>
        </x:is>
      </x:c>
      <x:c r="J34" s="7">
        <x:f>IF(OR(H34="",I34=""),"",H34*I34)</x:f>
      </x:c>
      <x:c r="K34" s="6" t="inlineStr">
        <x:is>
          <x:t xml:space="preserve"/>
        </x:is>
      </x:c>
      <x:c r="L34" s="6" t="inlineStr">
        <x:is>
          <x:t xml:space="preserve"/>
        </x:is>
      </x:c>
    </x:row>
    <x:row r="35" ht="30" customHeight="1">
      <x:c r="A35" s="7" t="inlineStr">
        <x:is>
          <x:t xml:space="preserve">R034</x:t>
        </x:is>
      </x:c>
      <x:c r="B35" s="6" t="inlineStr">
        <x:is>
          <x:t xml:space="preserve">Unauthorized access</x:t>
        </x:is>
      </x:c>
      <x:c r="C35" s="7" t="inlineStr">
        <x:is>
          <x:t xml:space="preserve"/>
        </x:is>
      </x:c>
      <x:c r="D35" s="9" t="inlineStr">
        <x:is>
          <x:t xml:space="preserve"/>
        </x:is>
      </x:c>
      <x:c r="E35" s="9" t="inlineStr">
        <x:is>
          <x:t xml:space="preserve"/>
        </x:is>
      </x:c>
      <x:c r="F35" s="7">
        <x:f>IF(OR(D35="",E35=""),"",D35*E35)</x:f>
      </x:c>
      <x:c r="G35" s="6" t="inlineStr">
        <x:is>
          <x:t xml:space="preserve"/>
        </x:is>
      </x:c>
      <x:c r="H35" s="9" t="inlineStr">
        <x:is>
          <x:t xml:space="preserve"/>
        </x:is>
      </x:c>
      <x:c r="I35" s="9" t="inlineStr">
        <x:is>
          <x:t xml:space="preserve"/>
        </x:is>
      </x:c>
      <x:c r="J35" s="7">
        <x:f>IF(OR(H35="",I35=""),"",H35*I35)</x:f>
      </x:c>
      <x:c r="K35" s="6" t="inlineStr">
        <x:is>
          <x:t xml:space="preserve"/>
        </x:is>
      </x:c>
      <x:c r="L35" s="6" t="inlineStr">
        <x:is>
          <x:t xml:space="preserve"/>
        </x:is>
      </x:c>
    </x:row>
    <x:row r="36" ht="30" customHeight="1">
      <x:c r="A36" s="7" t="inlineStr">
        <x:is>
          <x:t xml:space="preserve">R035</x:t>
        </x:is>
      </x:c>
      <x:c r="B36" s="6" t="inlineStr">
        <x:is>
          <x:t xml:space="preserve">Unauthorized changes to the IT systems</x:t>
        </x:is>
      </x:c>
      <x:c r="C36" s="7" t="inlineStr">
        <x:is>
          <x:t xml:space="preserve"/>
        </x:is>
      </x:c>
      <x:c r="D36" s="9" t="inlineStr">
        <x:is>
          <x:t xml:space="preserve"/>
        </x:is>
      </x:c>
      <x:c r="E36" s="9" t="inlineStr">
        <x:is>
          <x:t xml:space="preserve"/>
        </x:is>
      </x:c>
      <x:c r="F36" s="7">
        <x:f>IF(OR(D36="",E36=""),"",D36*E36)</x:f>
      </x:c>
      <x:c r="G36" s="6" t="inlineStr">
        <x:is>
          <x:t xml:space="preserve"/>
        </x:is>
      </x:c>
      <x:c r="H36" s="9" t="inlineStr">
        <x:is>
          <x:t xml:space="preserve"/>
        </x:is>
      </x:c>
      <x:c r="I36" s="9" t="inlineStr">
        <x:is>
          <x:t xml:space="preserve"/>
        </x:is>
      </x:c>
      <x:c r="J36" s="7">
        <x:f>IF(OR(H36="",I36=""),"",H36*I36)</x:f>
      </x:c>
      <x:c r="K36" s="6" t="inlineStr">
        <x:is>
          <x:t xml:space="preserve"/>
        </x:is>
      </x:c>
      <x:c r="L36" s="6" t="inlineStr">
        <x:is>
          <x:t xml:space="preserve"/>
        </x:is>
      </x:c>
    </x:row>
    <x:row r="37" ht="30" customHeight="1">
      <x:c r="A37" s="7" t="inlineStr">
        <x:is>
          <x:t xml:space="preserve">R036</x:t>
        </x:is>
      </x:c>
      <x:c r="B37" s="6" t="inlineStr">
        <x:is>
          <x:t xml:space="preserve">Unauthorized commitment or relationship with bank</x:t>
        </x:is>
      </x:c>
      <x:c r="C37" s="7" t="inlineStr">
        <x:is>
          <x:t xml:space="preserve"/>
        </x:is>
      </x:c>
      <x:c r="D37" s="9" t="inlineStr">
        <x:is>
          <x:t xml:space="preserve"/>
        </x:is>
      </x:c>
      <x:c r="E37" s="9" t="inlineStr">
        <x:is>
          <x:t xml:space="preserve"/>
        </x:is>
      </x:c>
      <x:c r="F37" s="7">
        <x:f>IF(OR(D37="",E37=""),"",D37*E37)</x:f>
      </x:c>
      <x:c r="G37" s="6" t="inlineStr">
        <x:is>
          <x:t xml:space="preserve"/>
        </x:is>
      </x:c>
      <x:c r="H37" s="9" t="inlineStr">
        <x:is>
          <x:t xml:space="preserve"/>
        </x:is>
      </x:c>
      <x:c r="I37" s="9" t="inlineStr">
        <x:is>
          <x:t xml:space="preserve"/>
        </x:is>
      </x:c>
      <x:c r="J37" s="7">
        <x:f>IF(OR(H37="",I37=""),"",H37*I37)</x:f>
      </x:c>
      <x:c r="K37" s="6" t="inlineStr">
        <x:is>
          <x:t xml:space="preserve"/>
        </x:is>
      </x:c>
      <x:c r="L37" s="6" t="inlineStr">
        <x:is>
          <x:t xml:space="preserve"/>
        </x:is>
      </x:c>
    </x:row>
    <x:row r="38" ht="30" customHeight="1">
      <x:c r="A38" s="7" t="inlineStr">
        <x:is>
          <x:t xml:space="preserve">R037</x:t>
        </x:is>
      </x:c>
      <x:c r="B38" s="6" t="inlineStr">
        <x:is>
          <x:t xml:space="preserve">Unauthorized or erroneous processing of supplier payments</x:t>
        </x:is>
      </x:c>
      <x:c r="C38" s="7" t="inlineStr">
        <x:is>
          <x:t xml:space="preserve"/>
        </x:is>
      </x:c>
      <x:c r="D38" s="9" t="inlineStr">
        <x:is>
          <x:t xml:space="preserve"/>
        </x:is>
      </x:c>
      <x:c r="E38" s="9" t="inlineStr">
        <x:is>
          <x:t xml:space="preserve"/>
        </x:is>
      </x:c>
      <x:c r="F38" s="7">
        <x:f>IF(OR(D38="",E38=""),"",D38*E38)</x:f>
      </x:c>
      <x:c r="G38" s="6" t="inlineStr">
        <x:is>
          <x:t xml:space="preserve"/>
        </x:is>
      </x:c>
      <x:c r="H38" s="9" t="inlineStr">
        <x:is>
          <x:t xml:space="preserve"/>
        </x:is>
      </x:c>
      <x:c r="I38" s="9" t="inlineStr">
        <x:is>
          <x:t xml:space="preserve"/>
        </x:is>
      </x:c>
      <x:c r="J38" s="7">
        <x:f>IF(OR(H38="",I38=""),"",H38*I38)</x:f>
      </x:c>
      <x:c r="K38" s="6" t="inlineStr">
        <x:is>
          <x:t xml:space="preserve"/>
        </x:is>
      </x:c>
      <x:c r="L38" s="6" t="inlineStr">
        <x:is>
          <x:t xml:space="preserve"/>
        </x:is>
      </x:c>
    </x:row>
    <x:row r="39" ht="30" customHeight="1">
      <x:c r="A39" s="7" t="inlineStr">
        <x:is>
          <x:t xml:space="preserve">R038</x:t>
        </x:is>
      </x:c>
      <x:c r="B39" s="6" t="inlineStr">
        <x:is>
          <x:t xml:space="preserve">Unauthorized or erroneous sales orders and/or shipments.</x:t>
        </x:is>
      </x:c>
      <x:c r="C39" s="7" t="inlineStr">
        <x:is>
          <x:t xml:space="preserve"/>
        </x:is>
      </x:c>
      <x:c r="D39" s="9" t="inlineStr">
        <x:is>
          <x:t xml:space="preserve"/>
        </x:is>
      </x:c>
      <x:c r="E39" s="9" t="inlineStr">
        <x:is>
          <x:t xml:space="preserve"/>
        </x:is>
      </x:c>
      <x:c r="F39" s="7">
        <x:f>IF(OR(D39="",E39=""),"",D39*E39)</x:f>
      </x:c>
      <x:c r="G39" s="6" t="inlineStr">
        <x:is>
          <x:t xml:space="preserve"/>
        </x:is>
      </x:c>
      <x:c r="H39" s="9" t="inlineStr">
        <x:is>
          <x:t xml:space="preserve"/>
        </x:is>
      </x:c>
      <x:c r="I39" s="9" t="inlineStr">
        <x:is>
          <x:t xml:space="preserve"/>
        </x:is>
      </x:c>
      <x:c r="J39" s="7">
        <x:f>IF(OR(H39="",I39=""),"",H39*I39)</x:f>
      </x:c>
      <x:c r="K39" s="6" t="inlineStr">
        <x:is>
          <x:t xml:space="preserve"/>
        </x:is>
      </x:c>
      <x:c r="L39" s="6" t="inlineStr">
        <x:is>
          <x:t xml:space="preserve"/>
        </x:is>
      </x:c>
    </x:row>
    <x:row r="40" ht="30" customHeight="1">
      <x:c r="A40" s="7" t="inlineStr">
        <x:is>
          <x:t xml:space="preserve">R039</x:t>
        </x:is>
      </x:c>
      <x:c r="B40" s="6" t="inlineStr">
        <x:is>
          <x:t xml:space="preserve">Unauthorized transactions/ contracts made on behalf of SunKing.</x:t>
        </x:is>
      </x:c>
      <x:c r="C40" s="7" t="inlineStr">
        <x:is>
          <x:t xml:space="preserve"/>
        </x:is>
      </x:c>
      <x:c r="D40" s="9" t="inlineStr">
        <x:is>
          <x:t xml:space="preserve"/>
        </x:is>
      </x:c>
      <x:c r="E40" s="9" t="inlineStr">
        <x:is>
          <x:t xml:space="preserve"/>
        </x:is>
      </x:c>
      <x:c r="F40" s="7">
        <x:f>IF(OR(D40="",E40=""),"",D40*E40)</x:f>
      </x:c>
      <x:c r="G40" s="6" t="inlineStr">
        <x:is>
          <x:t xml:space="preserve"/>
        </x:is>
      </x:c>
      <x:c r="H40" s="9" t="inlineStr">
        <x:is>
          <x:t xml:space="preserve"/>
        </x:is>
      </x:c>
      <x:c r="I40" s="9" t="inlineStr">
        <x:is>
          <x:t xml:space="preserve"/>
        </x:is>
      </x:c>
      <x:c r="J40" s="7">
        <x:f>IF(OR(H40="",I40=""),"",H40*I40)</x:f>
      </x:c>
      <x:c r="K40" s="6" t="inlineStr">
        <x:is>
          <x:t xml:space="preserve"/>
        </x:is>
      </x:c>
      <x:c r="L40" s="6" t="inlineStr">
        <x:is>
          <x:t xml:space="preserve"/>
        </x:is>
      </x:c>
    </x:row>
    <x:row r="41" ht="30" customHeight="1">
      <x:c r="A41" s="7" t="inlineStr">
        <x:is>
          <x:t xml:space="preserve">R040</x:t>
        </x:is>
      </x:c>
      <x:c r="B41" s="6" t="inlineStr">
        <x:is>
          <x:t xml:space="preserve">Unauthorized use of company &amp; personal information (incl. non compliance with GDPR)</x:t>
        </x:is>
      </x:c>
      <x:c r="C41" s="7" t="inlineStr">
        <x:is>
          <x:t xml:space="preserve"/>
        </x:is>
      </x:c>
      <x:c r="D41" s="9" t="inlineStr">
        <x:is>
          <x:t xml:space="preserve"/>
        </x:is>
      </x:c>
      <x:c r="E41" s="9" t="inlineStr">
        <x:is>
          <x:t xml:space="preserve"/>
        </x:is>
      </x:c>
      <x:c r="F41" s="7">
        <x:f>IF(OR(D41="",E41=""),"",D41*E41)</x:f>
      </x:c>
      <x:c r="G41" s="6" t="inlineStr">
        <x:is>
          <x:t xml:space="preserve"/>
        </x:is>
      </x:c>
      <x:c r="H41" s="9" t="inlineStr">
        <x:is>
          <x:t xml:space="preserve"/>
        </x:is>
      </x:c>
      <x:c r="I41" s="9" t="inlineStr">
        <x:is>
          <x:t xml:space="preserve"/>
        </x:is>
      </x:c>
      <x:c r="J41" s="7">
        <x:f>IF(OR(H41="",I41=""),"",H41*I41)</x:f>
      </x:c>
      <x:c r="K41" s="6" t="inlineStr">
        <x:is>
          <x:t xml:space="preserve"/>
        </x:is>
      </x:c>
      <x:c r="L41" s="6" t="inlineStr">
        <x:is>
          <x:t xml:space="preserve"/>
        </x:is>
      </x:c>
    </x:row>
    <x:row r="42" ht="30" customHeight="1">
      <x:c r="A42" s="7" t="inlineStr">
        <x:is>
          <x:t xml:space="preserve">R041</x:t>
        </x:is>
      </x:c>
      <x:c r="B42" s="6" t="inlineStr">
        <x:is>
          <x:t xml:space="preserve">Unsecured payment means and cash transactions</x:t>
        </x:is>
      </x:c>
      <x:c r="C42" s="7" t="inlineStr">
        <x:is>
          <x:t xml:space="preserve"/>
        </x:is>
      </x:c>
      <x:c r="D42" s="9" t="inlineStr">
        <x:is>
          <x:t xml:space="preserve"/>
        </x:is>
      </x:c>
      <x:c r="E42" s="9" t="inlineStr">
        <x:is>
          <x:t xml:space="preserve"/>
        </x:is>
      </x:c>
      <x:c r="F42" s="7">
        <x:f>IF(OR(D42="",E42=""),"",D42*E42)</x:f>
      </x:c>
      <x:c r="G42" s="6" t="inlineStr">
        <x:is>
          <x:t xml:space="preserve"/>
        </x:is>
      </x:c>
      <x:c r="H42" s="9" t="inlineStr">
        <x:is>
          <x:t xml:space="preserve"/>
        </x:is>
      </x:c>
      <x:c r="I42" s="9" t="inlineStr">
        <x:is>
          <x:t xml:space="preserve"/>
        </x:is>
      </x:c>
      <x:c r="J42" s="7">
        <x:f>IF(OR(H42="",I42=""),"",H42*I42)</x:f>
      </x:c>
      <x:c r="K42" s="6" t="inlineStr">
        <x:is>
          <x:t xml:space="preserve"/>
        </x:is>
      </x:c>
      <x:c r="L42" s="6" t="inlineStr">
        <x:is>
          <x:t xml:space="preserve"/>
        </x:is>
      </x:c>
    </x:row>
    <x:row r="43" ht="30" customHeight="1">
      <x:c r="A43" s="7" t="inlineStr">
        <x:is>
          <x:t xml:space="preserve">R042</x:t>
        </x:is>
      </x:c>
      <x:c r="B43" s="6" t="inlineStr">
        <x:is>
          <x:t xml:space="preserve">Unsecured payment means and cash transactions Unauthorized access</x:t>
        </x:is>
      </x:c>
      <x:c r="C43" s="7" t="inlineStr">
        <x:is>
          <x:t xml:space="preserve"/>
        </x:is>
      </x:c>
      <x:c r="D43" s="9" t="inlineStr">
        <x:is>
          <x:t xml:space="preserve"/>
        </x:is>
      </x:c>
      <x:c r="E43" s="9" t="inlineStr">
        <x:is>
          <x:t xml:space="preserve"/>
        </x:is>
      </x:c>
      <x:c r="F43" s="7">
        <x:f>IF(OR(D43="",E43=""),"",D43*E43)</x:f>
      </x:c>
      <x:c r="G43" s="6" t="inlineStr">
        <x:is>
          <x:t xml:space="preserve"/>
        </x:is>
      </x:c>
      <x:c r="H43" s="9" t="inlineStr">
        <x:is>
          <x:t xml:space="preserve"/>
        </x:is>
      </x:c>
      <x:c r="I43" s="9" t="inlineStr">
        <x:is>
          <x:t xml:space="preserve"/>
        </x:is>
      </x:c>
      <x:c r="J43" s="7">
        <x:f>IF(OR(H43="",I43=""),"",H43*I43)</x:f>
      </x:c>
      <x:c r="K43" s="6" t="inlineStr">
        <x:is>
          <x:t xml:space="preserve"/>
        </x:is>
      </x:c>
      <x:c r="L43" s="6" t="inlineStr">
        <x:is>
          <x:t xml:space="preserve"/>
        </x:is>
      </x:c>
    </x:row>
    <x:row r="44" ht="30" customHeight="1">
      <x:c r="A44" s="7" t="inlineStr">
        <x:is>
          <x:t xml:space="preserve">R043</x:t>
        </x:is>
      </x:c>
      <x:c r="B44" s="6" t="inlineStr">
        <x:is>
          <x:t xml:space="preserve">damage or loss of data</x:t>
        </x:is>
      </x:c>
      <x:c r="C44" s="7" t="inlineStr">
        <x:is>
          <x:t xml:space="preserve"/>
        </x:is>
      </x:c>
      <x:c r="D44" s="9" t="inlineStr">
        <x:is>
          <x:t xml:space="preserve"/>
        </x:is>
      </x:c>
      <x:c r="E44" s="9" t="inlineStr">
        <x:is>
          <x:t xml:space="preserve"/>
        </x:is>
      </x:c>
      <x:c r="F44" s="7">
        <x:f>IF(OR(D44="",E44=""),"",D44*E44)</x:f>
      </x:c>
      <x:c r="G44" s="6" t="inlineStr">
        <x:is>
          <x:t xml:space="preserve"/>
        </x:is>
      </x:c>
      <x:c r="H44" s="9" t="inlineStr">
        <x:is>
          <x:t xml:space="preserve"/>
        </x:is>
      </x:c>
      <x:c r="I44" s="9" t="inlineStr">
        <x:is>
          <x:t xml:space="preserve"/>
        </x:is>
      </x:c>
      <x:c r="J44" s="7">
        <x:f>IF(OR(H44="",I44=""),"",H44*I44)</x:f>
      </x:c>
      <x:c r="K44" s="6" t="inlineStr">
        <x:is>
          <x:t xml:space="preserve"/>
        </x:is>
      </x:c>
      <x:c r="L44" s="6" t="inlineStr">
        <x:is>
          <x:t xml:space="preserve"/>
        </x:is>
      </x:c>
    </x:row>
    <x:row r="45" ht="30" customHeight="1">
      <x:c r="A45" s="7" t="inlineStr">
        <x:is>
          <x:t xml:space="preserve">R044</x:t>
        </x:is>
      </x:c>
      <x:c r="B45" s="6" t="inlineStr">
        <x:is>
          <x:t xml:space="preserve">disclosure</x:t>
        </x:is>
      </x:c>
      <x:c r="C45" s="7" t="inlineStr">
        <x:is>
          <x:t xml:space="preserve"/>
        </x:is>
      </x:c>
      <x:c r="D45" s="9" t="inlineStr">
        <x:is>
          <x:t xml:space="preserve"/>
        </x:is>
      </x:c>
      <x:c r="E45" s="9" t="inlineStr">
        <x:is>
          <x:t xml:space="preserve"/>
        </x:is>
      </x:c>
      <x:c r="F45" s="7">
        <x:f>IF(OR(D45="",E45=""),"",D45*E45)</x:f>
      </x:c>
      <x:c r="G45" s="6" t="inlineStr">
        <x:is>
          <x:t xml:space="preserve"/>
        </x:is>
      </x:c>
      <x:c r="H45" s="9" t="inlineStr">
        <x:is>
          <x:t xml:space="preserve"/>
        </x:is>
      </x:c>
      <x:c r="I45" s="9" t="inlineStr">
        <x:is>
          <x:t xml:space="preserve"/>
        </x:is>
      </x:c>
      <x:c r="J45" s="7">
        <x:f>IF(OR(H45="",I45=""),"",H45*I45)</x:f>
      </x:c>
      <x:c r="K45" s="6" t="inlineStr">
        <x:is>
          <x:t xml:space="preserve"/>
        </x:is>
      </x:c>
      <x:c r="L45" s="6" t="inlineStr">
        <x:is>
          <x:t xml:space="preserve"/>
        </x:is>
      </x:c>
    </x:row>
    <x:row r="46" ht="30" customHeight="1">
      <x:c r="A46" s="7" t="inlineStr">
        <x:is>
          <x:t xml:space="preserve">R045</x:t>
        </x:is>
      </x:c>
      <x:c r="B46" s="6" t="inlineStr">
        <x:is>
          <x:t xml:space="preserve">fatalities</x:t>
        </x:is>
      </x:c>
      <x:c r="C46" s="7" t="inlineStr">
        <x:is>
          <x:t xml:space="preserve"/>
        </x:is>
      </x:c>
      <x:c r="D46" s="9" t="inlineStr">
        <x:is>
          <x:t xml:space="preserve"/>
        </x:is>
      </x:c>
      <x:c r="E46" s="9" t="inlineStr">
        <x:is>
          <x:t xml:space="preserve"/>
        </x:is>
      </x:c>
      <x:c r="F46" s="7">
        <x:f>IF(OR(D46="",E46=""),"",D46*E46)</x:f>
      </x:c>
      <x:c r="G46" s="6" t="inlineStr">
        <x:is>
          <x:t xml:space="preserve"/>
        </x:is>
      </x:c>
      <x:c r="H46" s="9" t="inlineStr">
        <x:is>
          <x:t xml:space="preserve"/>
        </x:is>
      </x:c>
      <x:c r="I46" s="9" t="inlineStr">
        <x:is>
          <x:t xml:space="preserve"/>
        </x:is>
      </x:c>
      <x:c r="J46" s="7">
        <x:f>IF(OR(H46="",I46=""),"",H46*I46)</x:f>
      </x:c>
      <x:c r="K46" s="6" t="inlineStr">
        <x:is>
          <x:t xml:space="preserve"/>
        </x:is>
      </x:c>
      <x:c r="L46" s="6" t="inlineStr">
        <x:is>
          <x:t xml:space="preserve"/>
        </x:is>
      </x:c>
    </x:row>
    <x:row r="47" ht="30" customHeight="1">
      <x:c r="A47" s="7" t="inlineStr">
        <x:is>
          <x:t xml:space="preserve">R046</x:t>
        </x:is>
      </x:c>
      <x:c r="B47" s="6" t="inlineStr">
        <x:is>
          <x:t xml:space="preserve">illness) or incident</x:t>
        </x:is>
      </x:c>
      <x:c r="C47" s="7" t="inlineStr">
        <x:is>
          <x:t xml:space="preserve"/>
        </x:is>
      </x:c>
      <x:c r="D47" s="9" t="inlineStr">
        <x:is>
          <x:t xml:space="preserve"/>
        </x:is>
      </x:c>
      <x:c r="E47" s="9" t="inlineStr">
        <x:is>
          <x:t xml:space="preserve"/>
        </x:is>
      </x:c>
      <x:c r="F47" s="7">
        <x:f>IF(OR(D47="",E47=""),"",D47*E47)</x:f>
      </x:c>
      <x:c r="G47" s="6" t="inlineStr">
        <x:is>
          <x:t xml:space="preserve"/>
        </x:is>
      </x:c>
      <x:c r="H47" s="9" t="inlineStr">
        <x:is>
          <x:t xml:space="preserve"/>
        </x:is>
      </x:c>
      <x:c r="I47" s="9" t="inlineStr">
        <x:is>
          <x:t xml:space="preserve"/>
        </x:is>
      </x:c>
      <x:c r="J47" s="7">
        <x:f>IF(OR(H47="",I47=""),"",H47*I47)</x:f>
      </x:c>
      <x:c r="K47" s="6" t="inlineStr">
        <x:is>
          <x:t xml:space="preserve"/>
        </x:is>
      </x:c>
      <x:c r="L47" s="6" t="inlineStr">
        <x:is>
          <x:t xml:space="preserve"/>
        </x:is>
      </x:c>
    </x:row>
    <x:row r="48" ht="30" customHeight="1">
      <x:c r="A48" s="7" t="inlineStr">
        <x:is>
          <x:t xml:space="preserve">R047</x:t>
        </x:is>
      </x:c>
      <x:c r="B48" s="6" t="inlineStr">
        <x:is>
          <x:t xml:space="preserve">licenses and permits   Corruption and bribery</x:t>
        </x:is>
      </x:c>
      <x:c r="C48" s="7" t="inlineStr">
        <x:is>
          <x:t xml:space="preserve"/>
        </x:is>
      </x:c>
      <x:c r="D48" s="9" t="inlineStr">
        <x:is>
          <x:t xml:space="preserve"/>
        </x:is>
      </x:c>
      <x:c r="E48" s="9" t="inlineStr">
        <x:is>
          <x:t xml:space="preserve"/>
        </x:is>
      </x:c>
      <x:c r="F48" s="7">
        <x:f>IF(OR(D48="",E48=""),"",D48*E48)</x:f>
      </x:c>
      <x:c r="G48" s="6" t="inlineStr">
        <x:is>
          <x:t xml:space="preserve"/>
        </x:is>
      </x:c>
      <x:c r="H48" s="9" t="inlineStr">
        <x:is>
          <x:t xml:space="preserve"/>
        </x:is>
      </x:c>
      <x:c r="I48" s="9" t="inlineStr">
        <x:is>
          <x:t xml:space="preserve"/>
        </x:is>
      </x:c>
      <x:c r="J48" s="7">
        <x:f>IF(OR(H48="",I48=""),"",H48*I48)</x:f>
      </x:c>
      <x:c r="K48" s="6" t="inlineStr">
        <x:is>
          <x:t xml:space="preserve"/>
        </x:is>
      </x:c>
      <x:c r="L48" s="6" t="inlineStr">
        <x:is>
          <x:t xml:space="preserve"/>
        </x:is>
      </x:c>
    </x:row>
    <x:row r="49" ht="30" customHeight="1">
      <x:c r="A49" s="7" t="inlineStr">
        <x:is>
          <x:t xml:space="preserve">R048</x:t>
        </x:is>
      </x:c>
      <x:c r="B49" s="6" t="inlineStr">
        <x:is>
          <x:t xml:space="preserve">modification</x:t>
        </x:is>
      </x:c>
      <x:c r="C49" s="7" t="inlineStr">
        <x:is>
          <x:t xml:space="preserve"/>
        </x:is>
      </x:c>
      <x:c r="D49" s="9" t="inlineStr">
        <x:is>
          <x:t xml:space="preserve"/>
        </x:is>
      </x:c>
      <x:c r="E49" s="9" t="inlineStr">
        <x:is>
          <x:t xml:space="preserve"/>
        </x:is>
      </x:c>
      <x:c r="F49" s="7">
        <x:f>IF(OR(D49="",E49=""),"",D49*E49)</x:f>
      </x:c>
      <x:c r="G49" s="6" t="inlineStr">
        <x:is>
          <x:t xml:space="preserve"/>
        </x:is>
      </x:c>
      <x:c r="H49" s="9" t="inlineStr">
        <x:is>
          <x:t xml:space="preserve"/>
        </x:is>
      </x:c>
      <x:c r="I49" s="9" t="inlineStr">
        <x:is>
          <x:t xml:space="preserve"/>
        </x:is>
      </x:c>
      <x:c r="J49" s="7">
        <x:f>IF(OR(H49="",I49=""),"",H49*I49)</x:f>
      </x:c>
      <x:c r="K49" s="6" t="inlineStr">
        <x:is>
          <x:t xml:space="preserve"/>
        </x:is>
      </x:c>
      <x:c r="L49" s="6" t="inlineStr">
        <x:is>
          <x:t xml:space="preserve"/>
        </x:is>
      </x:c>
    </x:row>
    <x:row r="50" ht="30" customHeight="1">
      <x:c r="A50" s="7" t="inlineStr">
        <x:is>
          <x:t xml:space="preserve">R049</x:t>
        </x:is>
      </x:c>
      <x:c r="B50" s="6" t="inlineStr">
        <x:is>
          <x:t xml:space="preserve">offboarding</x:t>
        </x:is>
      </x:c>
      <x:c r="C50" s="7" t="inlineStr">
        <x:is>
          <x:t xml:space="preserve"/>
        </x:is>
      </x:c>
      <x:c r="D50" s="9" t="inlineStr">
        <x:is>
          <x:t xml:space="preserve"/>
        </x:is>
      </x:c>
      <x:c r="E50" s="9" t="inlineStr">
        <x:is>
          <x:t xml:space="preserve"/>
        </x:is>
      </x:c>
      <x:c r="F50" s="7">
        <x:f>IF(OR(D50="",E50=""),"",D50*E50)</x:f>
      </x:c>
      <x:c r="G50" s="6" t="inlineStr">
        <x:is>
          <x:t xml:space="preserve"/>
        </x:is>
      </x:c>
      <x:c r="H50" s="9" t="inlineStr">
        <x:is>
          <x:t xml:space="preserve"/>
        </x:is>
      </x:c>
      <x:c r="I50" s="9" t="inlineStr">
        <x:is>
          <x:t xml:space="preserve"/>
        </x:is>
      </x:c>
      <x:c r="J50" s="7">
        <x:f>IF(OR(H50="",I50=""),"",H50*I50)</x:f>
      </x:c>
      <x:c r="K50" s="6" t="inlineStr">
        <x:is>
          <x:t xml:space="preserve"/>
        </x:is>
      </x:c>
      <x:c r="L50" s="6" t="inlineStr">
        <x:is>
          <x:t xml:space="preserve"/>
        </x:is>
      </x:c>
    </x:row>
    <x:row r="51" ht="30" customHeight="1">
      <x:c r="A51" s="7" t="inlineStr">
        <x:is>
          <x:t xml:space="preserve">R050</x:t>
        </x:is>
      </x:c>
      <x:c r="B51" s="6" t="inlineStr">
        <x:is>
          <x:t xml:space="preserve">worker transfer process)</x:t>
        </x:is>
      </x:c>
      <x:c r="C51" s="7" t="inlineStr">
        <x:is>
          <x:t xml:space="preserve"/>
        </x:is>
      </x:c>
      <x:c r="D51" s="9" t="inlineStr">
        <x:is>
          <x:t xml:space="preserve"/>
        </x:is>
      </x:c>
      <x:c r="E51" s="9" t="inlineStr">
        <x:is>
          <x:t xml:space="preserve"/>
        </x:is>
      </x:c>
      <x:c r="F51" s="7">
        <x:f>IF(OR(D51="",E51=""),"",D51*E51)</x:f>
      </x:c>
      <x:c r="G51" s="6" t="inlineStr">
        <x:is>
          <x:t xml:space="preserve"/>
        </x:is>
      </x:c>
      <x:c r="H51" s="9" t="inlineStr">
        <x:is>
          <x:t xml:space="preserve"/>
        </x:is>
      </x:c>
      <x:c r="I51" s="9" t="inlineStr">
        <x:is>
          <x:t xml:space="preserve"/>
        </x:is>
      </x:c>
      <x:c r="J51" s="7">
        <x:f>IF(OR(H51="",I51=""),"",H51*I51)</x:f>
      </x:c>
      <x:c r="K51" s="6" t="inlineStr">
        <x:is>
          <x:t xml:space="preserve"/>
        </x:is>
      </x:c>
      <x:c r="L51" s="6" t="inlineStr">
        <x:is>
          <x:t xml:space="preserve"/>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customWidth="1"/>
    <x:col min="2" max="2" width="8" customWidth="1"/>
    <x:col min="3" max="3" width="8" customWidth="1"/>
    <x:col min="4" max="4" width="10" customWidth="1"/>
    <x:col min="5" max="5" width="40" customWidth="1"/>
    <x:col min="6" max="6" width="24" customWidth="1"/>
    <x:col min="7" max="7" width="20" customWidth="1"/>
    <x:col min="8" max="8" width="20" customWidth="1"/>
    <x:col min="9" max="9" width="12" customWidth="1"/>
    <x:col min="10" max="10" width="16" customWidth="1"/>
    <x:col min="11" max="11" width="12" customWidth="1"/>
    <x:col min="12" max="12" width="14" customWidth="1"/>
    <x:col min="13" max="13" width="30" customWidth="1"/>
  </x:cols>
  <x:sheetData>
    <x:row r="1" ht="28" customHeight="1">
      <x:c r="A1" s="5" t="inlineStr">
        <x:is>
          <x:t xml:space="preserve">Plan ID</x:t>
        </x:is>
      </x:c>
      <x:c r="B1" s="5" t="inlineStr">
        <x:is>
          <x:t xml:space="preserve">Year</x:t>
        </x:is>
      </x:c>
      <x:c r="C1" s="5" t="inlineStr">
        <x:is>
          <x:t xml:space="preserve">Month</x:t>
        </x:is>
      </x:c>
      <x:c r="D1" s="5" t="inlineStr">
        <x:is>
          <x:t xml:space="preserve">Control ID</x:t>
        </x:is>
      </x:c>
      <x:c r="E1" s="5" t="inlineStr">
        <x:is>
          <x:t xml:space="preserve">Control Name</x:t>
        </x:is>
      </x:c>
      <x:c r="F1" s="5" t="inlineStr">
        <x:is>
          <x:t xml:space="preserve">Control Owner</x:t>
        </x:is>
      </x:c>
      <x:c r="G1" s="5" t="inlineStr">
        <x:is>
          <x:t xml:space="preserve">Testing Owner</x:t>
        </x:is>
      </x:c>
      <x:c r="H1" s="5" t="inlineStr">
        <x:is>
          <x:t xml:space="preserve">Test Type</x:t>
        </x:is>
      </x:c>
      <x:c r="I1" s="5" t="inlineStr">
        <x:is>
          <x:t xml:space="preserve">Sample Size</x:t>
        </x:is>
      </x:c>
      <x:c r="J1" s="5" t="inlineStr">
        <x:is>
          <x:t xml:space="preserve">Planned Test Date</x:t>
        </x:is>
      </x:c>
      <x:c r="K1" s="5" t="inlineStr">
        <x:is>
          <x:t xml:space="preserve">Status</x:t>
        </x:is>
      </x:c>
      <x:c r="L1" s="5" t="inlineStr">
        <x:is>
          <x:t xml:space="preserve">Test ID (link)</x:t>
        </x:is>
      </x:c>
      <x:c r="M1" s="5" t="inlineStr">
        <x:is>
          <x:t xml:space="preserve">Notes</x:t>
        </x:is>
      </x:c>
    </x:row>
    <x:row r="2" ht="35" customHeight="1">
      <x:c r="A2" s="7" t="inlineStr">
        <x:is>
          <x:t xml:space="preserve">P202601-0001</x:t>
        </x:is>
      </x:c>
      <x:c r="B2" s="7" t="n">
        <x:v>2026</x:v>
      </x:c>
      <x:c r="C2" s="7" t="inlineStr">
        <x:is>
          <x:t xml:space="preserve">Jan</x:t>
        </x:is>
      </x:c>
      <x:c r="D2" s="7" t="inlineStr">
        <x:is>
          <x:t xml:space="preserve">MCS01</x:t>
        </x:is>
      </x:c>
      <x:c r="E2" s="6" t="inlineStr">
        <x:is>
          <x:t xml:space="preserve">Communication and promotion of the Code of Business Conduct and speak-up culture</x:t>
        </x:is>
      </x:c>
      <x:c r="F2" s="6" t="inlineStr">
        <x:is>
          <x:t xml:space="preserve">Omoyemi Tuga Olamide Ayo-Ogunlade </x:t>
        </x:is>
      </x:c>
      <x:c r="G2" s="6" t="inlineStr">
        <x:is>
          <x:t xml:space="preserve"/>
        </x:is>
      </x:c>
      <x:c r="H2" s="7" t="inlineStr">
        <x:is>
          <x:t xml:space="preserve">Operating Effectiveness</x:t>
        </x:is>
      </x:c>
      <x:c r="I2" s="7" t="inlineStr">
        <x:is>
          <x:t xml:space="preserve"/>
        </x:is>
      </x:c>
      <x:c r="J2" s="8" t="n">
        <x:v>46037</x:v>
      </x:c>
      <x:c r="K2" s="7" t="inlineStr">
        <x:is>
          <x:t xml:space="preserve">Not Started</x:t>
        </x:is>
      </x:c>
      <x:c r="L2" s="7" t="inlineStr">
        <x:is>
          <x:t xml:space="preserve"/>
        </x:is>
      </x:c>
      <x:c r="M2" s="6" t="inlineStr">
        <x:is>
          <x:t xml:space="preserve"/>
        </x:is>
      </x:c>
    </x:row>
    <x:row r="3" ht="35" customHeight="1">
      <x:c r="A3" s="7" t="inlineStr">
        <x:is>
          <x:t xml:space="preserve">P202601-0002</x:t>
        </x:is>
      </x:c>
      <x:c r="B3" s="7" t="n">
        <x:v>2026</x:v>
      </x:c>
      <x:c r="C3" s="7" t="inlineStr">
        <x:is>
          <x:t xml:space="preserve">Jan</x:t>
        </x:is>
      </x:c>
      <x:c r="D3" s="7" t="inlineStr">
        <x:is>
          <x:t xml:space="preserve">MCS02</x:t>
        </x:is>
      </x:c>
      <x:c r="E3" s="6" t="inlineStr">
        <x:is>
          <x:t xml:space="preserve">Compliance with Fair Competition laws and requirements</x:t>
        </x:is>
      </x:c>
      <x:c r="F3" s="6" t="inlineStr">
        <x:is>
          <x:t xml:space="preserve">Mary Waititu</x:t>
        </x:is>
      </x:c>
      <x:c r="G3" s="6" t="inlineStr">
        <x:is>
          <x:t xml:space="preserve"/>
        </x:is>
      </x:c>
      <x:c r="H3" s="7" t="inlineStr">
        <x:is>
          <x:t xml:space="preserve">Operating Effectiveness</x:t>
        </x:is>
      </x:c>
      <x:c r="I3" s="7" t="inlineStr">
        <x:is>
          <x:t xml:space="preserve"/>
        </x:is>
      </x:c>
      <x:c r="J3" s="8" t="n">
        <x:v>46037</x:v>
      </x:c>
      <x:c r="K3" s="7" t="inlineStr">
        <x:is>
          <x:t xml:space="preserve">Not Started</x:t>
        </x:is>
      </x:c>
      <x:c r="L3" s="7" t="inlineStr">
        <x:is>
          <x:t xml:space="preserve"/>
        </x:is>
      </x:c>
      <x:c r="M3" s="6" t="inlineStr">
        <x:is>
          <x:t xml:space="preserve"/>
        </x:is>
      </x:c>
    </x:row>
    <x:row r="4" ht="35" customHeight="1">
      <x:c r="A4" s="7" t="inlineStr">
        <x:is>
          <x:t xml:space="preserve">P202601-0003</x:t>
        </x:is>
      </x:c>
      <x:c r="B4" s="7" t="n">
        <x:v>2026</x:v>
      </x:c>
      <x:c r="C4" s="7" t="inlineStr">
        <x:is>
          <x:t xml:space="preserve">Jan</x:t>
        </x:is>
      </x:c>
      <x:c r="D4" s="7" t="inlineStr">
        <x:is>
          <x:t xml:space="preserve">MCS03</x:t>
        </x:is>
      </x:c>
      <x:c r="E4" s="6" t="inlineStr">
        <x:is>
          <x:t xml:space="preserve">Related party transactions and conflict of interests</x:t>
        </x:is>
      </x:c>
      <x:c r="F4" s="6" t="inlineStr">
        <x:is>
          <x:t xml:space="preserve">Mary Waititu Godson Iwuozo</x:t>
        </x:is>
      </x:c>
      <x:c r="G4" s="6" t="inlineStr">
        <x:is>
          <x:t xml:space="preserve"/>
        </x:is>
      </x:c>
      <x:c r="H4" s="7" t="inlineStr">
        <x:is>
          <x:t xml:space="preserve">Operating Effectiveness</x:t>
        </x:is>
      </x:c>
      <x:c r="I4" s="7" t="inlineStr">
        <x:is>
          <x:t xml:space="preserve"/>
        </x:is>
      </x:c>
      <x:c r="J4" s="8" t="n">
        <x:v>46037</x:v>
      </x:c>
      <x:c r="K4" s="7" t="inlineStr">
        <x:is>
          <x:t xml:space="preserve">Not Started</x:t>
        </x:is>
      </x:c>
      <x:c r="L4" s="7" t="inlineStr">
        <x:is>
          <x:t xml:space="preserve"/>
        </x:is>
      </x:c>
      <x:c r="M4" s="6" t="inlineStr">
        <x:is>
          <x:t xml:space="preserve"/>
        </x:is>
      </x:c>
    </x:row>
    <x:row r="5" ht="35" customHeight="1">
      <x:c r="A5" s="7" t="inlineStr">
        <x:is>
          <x:t xml:space="preserve">P202601-0004</x:t>
        </x:is>
      </x:c>
      <x:c r="B5" s="7" t="n">
        <x:v>2026</x:v>
      </x:c>
      <x:c r="C5" s="7" t="inlineStr">
        <x:is>
          <x:t xml:space="preserve">Jan</x:t>
        </x:is>
      </x:c>
      <x:c r="D5" s="7" t="inlineStr">
        <x:is>
          <x:t xml:space="preserve">MCS04</x:t>
        </x:is>
      </x:c>
      <x:c r="E5" s="6" t="inlineStr">
        <x:is>
          <x:t xml:space="preserve">Board of Directors secretarial requirements</x:t>
        </x:is>
      </x:c>
      <x:c r="F5" s="6" t="inlineStr">
        <x:is>
          <x:t xml:space="preserve">Mary Waititu Godson Iwuozo</x:t>
        </x:is>
      </x:c>
      <x:c r="G5" s="6" t="inlineStr">
        <x:is>
          <x:t xml:space="preserve"/>
        </x:is>
      </x:c>
      <x:c r="H5" s="7" t="inlineStr">
        <x:is>
          <x:t xml:space="preserve">Operating Effectiveness</x:t>
        </x:is>
      </x:c>
      <x:c r="I5" s="7" t="inlineStr">
        <x:is>
          <x:t xml:space="preserve"/>
        </x:is>
      </x:c>
      <x:c r="J5" s="8" t="n">
        <x:v>46037</x:v>
      </x:c>
      <x:c r="K5" s="7" t="inlineStr">
        <x:is>
          <x:t xml:space="preserve">Not Started</x:t>
        </x:is>
      </x:c>
      <x:c r="L5" s="7" t="inlineStr">
        <x:is>
          <x:t xml:space="preserve"/>
        </x:is>
      </x:c>
      <x:c r="M5" s="6" t="inlineStr">
        <x:is>
          <x:t xml:space="preserve"/>
        </x:is>
      </x:c>
    </x:row>
    <x:row r="6" ht="35" customHeight="1">
      <x:c r="A6" s="7" t="inlineStr">
        <x:is>
          <x:t xml:space="preserve">P202601-0005</x:t>
        </x:is>
      </x:c>
      <x:c r="B6" s="7" t="n">
        <x:v>2026</x:v>
      </x:c>
      <x:c r="C6" s="7" t="inlineStr">
        <x:is>
          <x:t xml:space="preserve">Jan</x:t>
        </x:is>
      </x:c>
      <x:c r="D6" s="7" t="inlineStr">
        <x:is>
          <x:t xml:space="preserve">MCS05</x:t>
        </x:is>
      </x:c>
      <x:c r="E6" s="6" t="inlineStr">
        <x:is>
          <x:t xml:space="preserve">Health, Safety &amp; Environment</x:t>
        </x:is>
      </x:c>
      <x:c r="F6" s="6" t="inlineStr">
        <x:is>
          <x:t xml:space="preserve">Omoyemi Tuga Yomi Jegede</x:t>
        </x:is>
      </x:c>
      <x:c r="G6" s="6" t="inlineStr">
        <x:is>
          <x:t xml:space="preserve"/>
        </x:is>
      </x:c>
      <x:c r="H6" s="7" t="inlineStr">
        <x:is>
          <x:t xml:space="preserve">Operating Effectiveness</x:t>
        </x:is>
      </x:c>
      <x:c r="I6" s="7" t="inlineStr">
        <x:is>
          <x:t xml:space="preserve"/>
        </x:is>
      </x:c>
      <x:c r="J6" s="8" t="n">
        <x:v>46037</x:v>
      </x:c>
      <x:c r="K6" s="7" t="inlineStr">
        <x:is>
          <x:t xml:space="preserve">Not Started</x:t>
        </x:is>
      </x:c>
      <x:c r="L6" s="7" t="inlineStr">
        <x:is>
          <x:t xml:space="preserve"/>
        </x:is>
      </x:c>
      <x:c r="M6" s="6" t="inlineStr">
        <x:is>
          <x:t xml:space="preserve"/>
        </x:is>
      </x:c>
    </x:row>
    <x:row r="7" ht="35" customHeight="1">
      <x:c r="A7" s="7" t="inlineStr">
        <x:is>
          <x:t xml:space="preserve">P202601-0006</x:t>
        </x:is>
      </x:c>
      <x:c r="B7" s="7" t="n">
        <x:v>2026</x:v>
      </x:c>
      <x:c r="C7" s="7" t="inlineStr">
        <x:is>
          <x:t xml:space="preserve">Jan</x:t>
        </x:is>
      </x:c>
      <x:c r="D7" s="7" t="inlineStr">
        <x:is>
          <x:t xml:space="preserve">MCS06</x:t>
        </x:is>
      </x:c>
      <x:c r="E7" s="6" t="inlineStr">
        <x:is>
          <x:t xml:space="preserve">Risk assessment</x:t>
        </x:is>
      </x:c>
      <x:c r="F7" s="6" t="inlineStr">
        <x:is>
          <x:t xml:space="preserve">Oluwaseun Oyedepo</x:t>
        </x:is>
      </x:c>
      <x:c r="G7" s="6" t="inlineStr">
        <x:is>
          <x:t xml:space="preserve"/>
        </x:is>
      </x:c>
      <x:c r="H7" s="7" t="inlineStr">
        <x:is>
          <x:t xml:space="preserve">Operating Effectiveness</x:t>
        </x:is>
      </x:c>
      <x:c r="I7" s="7" t="inlineStr">
        <x:is>
          <x:t xml:space="preserve"/>
        </x:is>
      </x:c>
      <x:c r="J7" s="8" t="n">
        <x:v>46037</x:v>
      </x:c>
      <x:c r="K7" s="7" t="inlineStr">
        <x:is>
          <x:t xml:space="preserve">Not Started</x:t>
        </x:is>
      </x:c>
      <x:c r="L7" s="7" t="inlineStr">
        <x:is>
          <x:t xml:space="preserve"/>
        </x:is>
      </x:c>
      <x:c r="M7" s="6" t="inlineStr">
        <x:is>
          <x:t xml:space="preserve"/>
        </x:is>
      </x:c>
    </x:row>
    <x:row r="8" ht="35" customHeight="1">
      <x:c r="A8" s="7" t="inlineStr">
        <x:is>
          <x:t xml:space="preserve">P202601-0007</x:t>
        </x:is>
      </x:c>
      <x:c r="B8" s="7" t="n">
        <x:v>2026</x:v>
      </x:c>
      <x:c r="C8" s="7" t="inlineStr">
        <x:is>
          <x:t xml:space="preserve">Jan</x:t>
        </x:is>
      </x:c>
      <x:c r="D8" s="7" t="inlineStr">
        <x:is>
          <x:t xml:space="preserve">MCS07</x:t>
        </x:is>
      </x:c>
      <x:c r="E8" s="6" t="inlineStr">
        <x:is>
          <x:t xml:space="preserve">Mitigation of business risks - Security</x:t>
        </x:is>
      </x:c>
      <x:c r="F8" s="6" t="inlineStr">
        <x:is>
          <x:t xml:space="preserve">Olamide Ayo-Ogunlade Obinna Ojimba</x:t>
        </x:is>
      </x:c>
      <x:c r="G8" s="6" t="inlineStr">
        <x:is>
          <x:t xml:space="preserve"/>
        </x:is>
      </x:c>
      <x:c r="H8" s="7" t="inlineStr">
        <x:is>
          <x:t xml:space="preserve">Operating Effectiveness</x:t>
        </x:is>
      </x:c>
      <x:c r="I8" s="7" t="inlineStr">
        <x:is>
          <x:t xml:space="preserve"/>
        </x:is>
      </x:c>
      <x:c r="J8" s="8" t="n">
        <x:v>46037</x:v>
      </x:c>
      <x:c r="K8" s="7" t="inlineStr">
        <x:is>
          <x:t xml:space="preserve">Not Started</x:t>
        </x:is>
      </x:c>
      <x:c r="L8" s="7" t="inlineStr">
        <x:is>
          <x:t xml:space="preserve"/>
        </x:is>
      </x:c>
      <x:c r="M8" s="6" t="inlineStr">
        <x:is>
          <x:t xml:space="preserve"/>
        </x:is>
      </x:c>
    </x:row>
    <x:row r="9" ht="35" customHeight="1">
      <x:c r="A9" s="7" t="inlineStr">
        <x:is>
          <x:t xml:space="preserve">P202601-0008</x:t>
        </x:is>
      </x:c>
      <x:c r="B9" s="7" t="n">
        <x:v>2026</x:v>
      </x:c>
      <x:c r="C9" s="7" t="inlineStr">
        <x:is>
          <x:t xml:space="preserve">Jan</x:t>
        </x:is>
      </x:c>
      <x:c r="D9" s="7" t="inlineStr">
        <x:is>
          <x:t xml:space="preserve">MCS08</x:t>
        </x:is>
      </x:c>
      <x:c r="E9" s="6" t="inlineStr">
        <x:is>
          <x:t xml:space="preserve">Mitigation of business risks - Group insurance</x:t>
        </x:is>
      </x:c>
      <x:c r="F9" s="6" t="inlineStr">
        <x:is>
          <x:t xml:space="preserve">Victory Olumuyiwa</x:t>
        </x:is>
      </x:c>
      <x:c r="G9" s="6" t="inlineStr">
        <x:is>
          <x:t xml:space="preserve"/>
        </x:is>
      </x:c>
      <x:c r="H9" s="7" t="inlineStr">
        <x:is>
          <x:t xml:space="preserve">Operating Effectiveness</x:t>
        </x:is>
      </x:c>
      <x:c r="I9" s="7" t="inlineStr">
        <x:is>
          <x:t xml:space="preserve"/>
        </x:is>
      </x:c>
      <x:c r="J9" s="8" t="n">
        <x:v>46037</x:v>
      </x:c>
      <x:c r="K9" s="7" t="inlineStr">
        <x:is>
          <x:t xml:space="preserve">Not Started</x:t>
        </x:is>
      </x:c>
      <x:c r="L9" s="7" t="inlineStr">
        <x:is>
          <x:t xml:space="preserve"/>
        </x:is>
      </x:c>
      <x:c r="M9" s="6" t="inlineStr">
        <x:is>
          <x:t xml:space="preserve"/>
        </x:is>
      </x:c>
    </x:row>
    <x:row r="10" ht="35" customHeight="1">
      <x:c r="A10" s="7" t="inlineStr">
        <x:is>
          <x:t xml:space="preserve">P202601-0009</x:t>
        </x:is>
      </x:c>
      <x:c r="B10" s="7" t="n">
        <x:v>2026</x:v>
      </x:c>
      <x:c r="C10" s="7" t="inlineStr">
        <x:is>
          <x:t xml:space="preserve">Jan</x:t>
        </x:is>
      </x:c>
      <x:c r="D10" s="7" t="inlineStr">
        <x:is>
          <x:t xml:space="preserve">MCS09</x:t>
        </x:is>
      </x:c>
      <x:c r="E10" s="6" t="inlineStr">
        <x:is>
          <x:t xml:space="preserve">Mitigation of business risks - Business Resilience System</x:t>
        </x:is>
      </x:c>
      <x:c r="F10" s="6" t="inlineStr">
        <x:is>
          <x:t xml:space="preserve">Oluwaseun Oyedepo</x:t>
        </x:is>
      </x:c>
      <x:c r="G10" s="6" t="inlineStr">
        <x:is>
          <x:t xml:space="preserve"/>
        </x:is>
      </x:c>
      <x:c r="H10" s="7" t="inlineStr">
        <x:is>
          <x:t xml:space="preserve">Operating Effectiveness</x:t>
        </x:is>
      </x:c>
      <x:c r="I10" s="7" t="inlineStr">
        <x:is>
          <x:t xml:space="preserve"/>
        </x:is>
      </x:c>
      <x:c r="J10" s="8" t="n">
        <x:v>46037</x:v>
      </x:c>
      <x:c r="K10" s="7" t="inlineStr">
        <x:is>
          <x:t xml:space="preserve">Not Started</x:t>
        </x:is>
      </x:c>
      <x:c r="L10" s="7" t="inlineStr">
        <x:is>
          <x:t xml:space="preserve"/>
        </x:is>
      </x:c>
      <x:c r="M10" s="6" t="inlineStr">
        <x:is>
          <x:t xml:space="preserve"/>
        </x:is>
      </x:c>
    </x:row>
    <x:row r="11" ht="35" customHeight="1">
      <x:c r="A11" s="7" t="inlineStr">
        <x:is>
          <x:t xml:space="preserve">P202601-0010</x:t>
        </x:is>
      </x:c>
      <x:c r="B11" s="7" t="n">
        <x:v>2026</x:v>
      </x:c>
      <x:c r="C11" s="7" t="inlineStr">
        <x:is>
          <x:t xml:space="preserve">Jan</x:t>
        </x:is>
      </x:c>
      <x:c r="D11" s="7" t="inlineStr">
        <x:is>
          <x:t xml:space="preserve">MCS10</x:t>
        </x:is>
      </x:c>
      <x:c r="E11" s="6" t="inlineStr">
        <x:is>
          <x:t xml:space="preserve">Mitigation of business risks - Remediation of deficiencies and non-compliance with MCS</x:t>
        </x:is>
      </x:c>
      <x:c r="F11" s="6" t="inlineStr">
        <x:is>
          <x:t xml:space="preserve">Oluwaseun Oyedepo</x:t>
        </x:is>
      </x:c>
      <x:c r="G11" s="6" t="inlineStr">
        <x:is>
          <x:t xml:space="preserve"/>
        </x:is>
      </x:c>
      <x:c r="H11" s="7" t="inlineStr">
        <x:is>
          <x:t xml:space="preserve">Operating Effectiveness</x:t>
        </x:is>
      </x:c>
      <x:c r="I11" s="7" t="inlineStr">
        <x:is>
          <x:t xml:space="preserve"/>
        </x:is>
      </x:c>
      <x:c r="J11" s="8" t="n">
        <x:v>46037</x:v>
      </x:c>
      <x:c r="K11" s="7" t="inlineStr">
        <x:is>
          <x:t xml:space="preserve">Not Started</x:t>
        </x:is>
      </x:c>
      <x:c r="L11" s="7" t="inlineStr">
        <x:is>
          <x:t xml:space="preserve"/>
        </x:is>
      </x:c>
      <x:c r="M11" s="6" t="inlineStr">
        <x:is>
          <x:t xml:space="preserve"/>
        </x:is>
      </x:c>
    </x:row>
    <x:row r="12" ht="35" customHeight="1">
      <x:c r="A12" s="7" t="inlineStr">
        <x:is>
          <x:t xml:space="preserve">P202601-0011</x:t>
        </x:is>
      </x:c>
      <x:c r="B12" s="7" t="n">
        <x:v>2026</x:v>
      </x:c>
      <x:c r="C12" s="7" t="inlineStr">
        <x:is>
          <x:t xml:space="preserve">Jan</x:t>
        </x:is>
      </x:c>
      <x:c r="D12" s="7" t="inlineStr">
        <x:is>
          <x:t xml:space="preserve">MCS11</x:t>
        </x:is>
      </x:c>
      <x:c r="E12" s="6" t="inlineStr">
        <x:is>
          <x:t xml:space="preserve">Personal data protection</x:t>
        </x:is>
      </x:c>
      <x:c r="F12" s="6" t="inlineStr">
        <x:is>
          <x:t xml:space="preserve">Olamide Ayo-Ogunlade @</x:t>
        </x:is>
      </x:c>
      <x:c r="G12" s="6" t="inlineStr">
        <x:is>
          <x:t xml:space="preserve"/>
        </x:is>
      </x:c>
      <x:c r="H12" s="7" t="inlineStr">
        <x:is>
          <x:t xml:space="preserve">Operating Effectiveness</x:t>
        </x:is>
      </x:c>
      <x:c r="I12" s="7" t="inlineStr">
        <x:is>
          <x:t xml:space="preserve"/>
        </x:is>
      </x:c>
      <x:c r="J12" s="8" t="n">
        <x:v>46037</x:v>
      </x:c>
      <x:c r="K12" s="7" t="inlineStr">
        <x:is>
          <x:t xml:space="preserve">Not Started</x:t>
        </x:is>
      </x:c>
      <x:c r="L12" s="7" t="inlineStr">
        <x:is>
          <x:t xml:space="preserve"/>
        </x:is>
      </x:c>
      <x:c r="M12" s="6" t="inlineStr">
        <x:is>
          <x:t xml:space="preserve"/>
        </x:is>
      </x:c>
    </x:row>
    <x:row r="13" ht="35" customHeight="1">
      <x:c r="A13" s="7" t="inlineStr">
        <x:is>
          <x:t xml:space="preserve">P202601-0012</x:t>
        </x:is>
      </x:c>
      <x:c r="B13" s="7" t="n">
        <x:v>2026</x:v>
      </x:c>
      <x:c r="C13" s="7" t="inlineStr">
        <x:is>
          <x:t xml:space="preserve">Jan</x:t>
        </x:is>
      </x:c>
      <x:c r="D13" s="7" t="inlineStr">
        <x:is>
          <x:t xml:space="preserve">MCS12</x:t>
        </x:is>
      </x:c>
      <x:c r="E13" s="6" t="inlineStr">
        <x:is>
          <x:t xml:space="preserve">Segregation of duties and user access review</x:t>
        </x:is>
      </x:c>
      <x:c r="F13" s="6" t="inlineStr">
        <x:is>
          <x:t xml:space="preserve">Theophilus Okolie</x:t>
        </x:is>
      </x:c>
      <x:c r="G13" s="6" t="inlineStr">
        <x:is>
          <x:t xml:space="preserve"/>
        </x:is>
      </x:c>
      <x:c r="H13" s="7" t="inlineStr">
        <x:is>
          <x:t xml:space="preserve">Operating Effectiveness</x:t>
        </x:is>
      </x:c>
      <x:c r="I13" s="7" t="inlineStr">
        <x:is>
          <x:t xml:space="preserve"/>
        </x:is>
      </x:c>
      <x:c r="J13" s="8" t="n">
        <x:v>46037</x:v>
      </x:c>
      <x:c r="K13" s="7" t="inlineStr">
        <x:is>
          <x:t xml:space="preserve">Not Started</x:t>
        </x:is>
      </x:c>
      <x:c r="L13" s="7" t="inlineStr">
        <x:is>
          <x:t xml:space="preserve"/>
        </x:is>
      </x:c>
      <x:c r="M13" s="6" t="inlineStr">
        <x:is>
          <x:t xml:space="preserve"/>
        </x:is>
      </x:c>
    </x:row>
    <x:row r="14" ht="35" customHeight="1">
      <x:c r="A14" s="7" t="inlineStr">
        <x:is>
          <x:t xml:space="preserve">P202601-0013</x:t>
        </x:is>
      </x:c>
      <x:c r="B14" s="7" t="n">
        <x:v>2026</x:v>
      </x:c>
      <x:c r="C14" s="7" t="inlineStr">
        <x:is>
          <x:t xml:space="preserve">Jan</x:t>
        </x:is>
      </x:c>
      <x:c r="D14" s="7" t="inlineStr">
        <x:is>
          <x:t xml:space="preserve">MCS13</x:t>
        </x:is>
      </x:c>
      <x:c r="E14" s="6" t="inlineStr">
        <x:is>
          <x:t xml:space="preserve">Delegation of authorities and approval workflows</x:t>
        </x:is>
      </x:c>
      <x:c r="F14" s="6" t="inlineStr">
        <x:is>
          <x:t xml:space="preserve">Ramakant Patil</x:t>
        </x:is>
      </x:c>
      <x:c r="G14" s="6" t="inlineStr">
        <x:is>
          <x:t xml:space="preserve"/>
        </x:is>
      </x:c>
      <x:c r="H14" s="7" t="inlineStr">
        <x:is>
          <x:t xml:space="preserve">Operating Effectiveness</x:t>
        </x:is>
      </x:c>
      <x:c r="I14" s="7" t="inlineStr">
        <x:is>
          <x:t xml:space="preserve"/>
        </x:is>
      </x:c>
      <x:c r="J14" s="8" t="n">
        <x:v>46037</x:v>
      </x:c>
      <x:c r="K14" s="7" t="inlineStr">
        <x:is>
          <x:t xml:space="preserve">Not Started</x:t>
        </x:is>
      </x:c>
      <x:c r="L14" s="7" t="inlineStr">
        <x:is>
          <x:t xml:space="preserve"/>
        </x:is>
      </x:c>
      <x:c r="M14" s="6" t="inlineStr">
        <x:is>
          <x:t xml:space="preserve"/>
        </x:is>
      </x:c>
    </x:row>
    <x:row r="15" ht="35" customHeight="1">
      <x:c r="A15" s="7" t="inlineStr">
        <x:is>
          <x:t xml:space="preserve">P202601-0014</x:t>
        </x:is>
      </x:c>
      <x:c r="B15" s="7" t="n">
        <x:v>2026</x:v>
      </x:c>
      <x:c r="C15" s="7" t="inlineStr">
        <x:is>
          <x:t xml:space="preserve">Jan</x:t>
        </x:is>
      </x:c>
      <x:c r="D15" s="7" t="inlineStr">
        <x:is>
          <x:t xml:space="preserve">MCS14</x:t>
        </x:is>
      </x:c>
      <x:c r="E15" s="6" t="inlineStr">
        <x:is>
          <x:t xml:space="preserve">Litigation disputes</x:t>
        </x:is>
      </x:c>
      <x:c r="F15" s="6" t="inlineStr">
        <x:is>
          <x:t xml:space="preserve">Mary Waititu</x:t>
        </x:is>
      </x:c>
      <x:c r="G15" s="6" t="inlineStr">
        <x:is>
          <x:t xml:space="preserve"/>
        </x:is>
      </x:c>
      <x:c r="H15" s="7" t="inlineStr">
        <x:is>
          <x:t xml:space="preserve">Operating Effectiveness</x:t>
        </x:is>
      </x:c>
      <x:c r="I15" s="7" t="inlineStr">
        <x:is>
          <x:t xml:space="preserve"/>
        </x:is>
      </x:c>
      <x:c r="J15" s="8" t="n">
        <x:v>46037</x:v>
      </x:c>
      <x:c r="K15" s="7" t="inlineStr">
        <x:is>
          <x:t xml:space="preserve">Not Started</x:t>
        </x:is>
      </x:c>
      <x:c r="L15" s="7" t="inlineStr">
        <x:is>
          <x:t xml:space="preserve"/>
        </x:is>
      </x:c>
      <x:c r="M15" s="6" t="inlineStr">
        <x:is>
          <x:t xml:space="preserve"/>
        </x:is>
      </x:c>
    </x:row>
    <x:row r="16" ht="35" customHeight="1">
      <x:c r="A16" s="7" t="inlineStr">
        <x:is>
          <x:t xml:space="preserve">P202601-0015</x:t>
        </x:is>
      </x:c>
      <x:c r="B16" s="7" t="n">
        <x:v>2026</x:v>
      </x:c>
      <x:c r="C16" s="7" t="inlineStr">
        <x:is>
          <x:t xml:space="preserve">Jan</x:t>
        </x:is>
      </x:c>
      <x:c r="D16" s="7" t="inlineStr">
        <x:is>
          <x:t xml:space="preserve">MCS15</x:t>
        </x:is>
      </x:c>
      <x:c r="E16" s="6" t="inlineStr">
        <x:is>
          <x:t xml:space="preserve">Review of contracts by finance</x:t>
        </x:is>
      </x:c>
      <x:c r="F16" s="6" t="inlineStr">
        <x:is>
          <x:t xml:space="preserve">Ovie Itie</x:t>
        </x:is>
      </x:c>
      <x:c r="G16" s="6" t="inlineStr">
        <x:is>
          <x:t xml:space="preserve"/>
        </x:is>
      </x:c>
      <x:c r="H16" s="7" t="inlineStr">
        <x:is>
          <x:t xml:space="preserve">Operating Effectiveness</x:t>
        </x:is>
      </x:c>
      <x:c r="I16" s="7" t="inlineStr">
        <x:is>
          <x:t xml:space="preserve"/>
        </x:is>
      </x:c>
      <x:c r="J16" s="8" t="n">
        <x:v>46037</x:v>
      </x:c>
      <x:c r="K16" s="7" t="inlineStr">
        <x:is>
          <x:t xml:space="preserve">Not Started</x:t>
        </x:is>
      </x:c>
      <x:c r="L16" s="7" t="inlineStr">
        <x:is>
          <x:t xml:space="preserve"/>
        </x:is>
      </x:c>
      <x:c r="M16" s="6" t="inlineStr">
        <x:is>
          <x:t xml:space="preserve"/>
        </x:is>
      </x:c>
    </x:row>
    <x:row r="17" ht="35" customHeight="1">
      <x:c r="A17" s="7" t="inlineStr">
        <x:is>
          <x:t xml:space="preserve">P202601-0016</x:t>
        </x:is>
      </x:c>
      <x:c r="B17" s="7" t="n">
        <x:v>2026</x:v>
      </x:c>
      <x:c r="C17" s="7" t="inlineStr">
        <x:is>
          <x:t xml:space="preserve">Jan</x:t>
        </x:is>
      </x:c>
      <x:c r="D17" s="7" t="inlineStr">
        <x:is>
          <x:t xml:space="preserve">MCS16</x:t>
        </x:is>
      </x:c>
      <x:c r="E17" s="6" t="inlineStr">
        <x:is>
          <x:t xml:space="preserve">Management of titles and permits</x:t>
        </x:is>
      </x:c>
      <x:c r="F17" s="6" t="n"/>
      <x:c r="G17" s="6" t="inlineStr">
        <x:is>
          <x:t xml:space="preserve"/>
        </x:is>
      </x:c>
      <x:c r="H17" s="7" t="inlineStr">
        <x:is>
          <x:t xml:space="preserve">Operating Effectiveness</x:t>
        </x:is>
      </x:c>
      <x:c r="I17" s="7" t="inlineStr">
        <x:is>
          <x:t xml:space="preserve"/>
        </x:is>
      </x:c>
      <x:c r="J17" s="8" t="n">
        <x:v>46037</x:v>
      </x:c>
      <x:c r="K17" s="7" t="inlineStr">
        <x:is>
          <x:t xml:space="preserve">Not Started</x:t>
        </x:is>
      </x:c>
      <x:c r="L17" s="7" t="inlineStr">
        <x:is>
          <x:t xml:space="preserve"/>
        </x:is>
      </x:c>
      <x:c r="M17" s="6" t="inlineStr">
        <x:is>
          <x:t xml:space="preserve"/>
        </x:is>
      </x:c>
    </x:row>
    <x:row r="18" ht="35" customHeight="1">
      <x:c r="A18" s="7" t="inlineStr">
        <x:is>
          <x:t xml:space="preserve">P202601-0017</x:t>
        </x:is>
      </x:c>
      <x:c r="B18" s="7" t="n">
        <x:v>2026</x:v>
      </x:c>
      <x:c r="C18" s="7" t="inlineStr">
        <x:is>
          <x:t xml:space="preserve">Jan</x:t>
        </x:is>
      </x:c>
      <x:c r="D18" s="7" t="inlineStr">
        <x:is>
          <x:t xml:space="preserve">MCS18</x:t>
        </x:is>
      </x:c>
      <x:c r="E18" s="6" t="inlineStr">
        <x:is>
          <x:t xml:space="preserve">Classification and depreciation of property, plant &amp; equipment</x:t>
        </x:is>
      </x:c>
      <x:c r="F18" s="6" t="n"/>
      <x:c r="G18" s="6" t="inlineStr">
        <x:is>
          <x:t xml:space="preserve"/>
        </x:is>
      </x:c>
      <x:c r="H18" s="7" t="inlineStr">
        <x:is>
          <x:t xml:space="preserve">Operating Effectiveness</x:t>
        </x:is>
      </x:c>
      <x:c r="I18" s="7" t="inlineStr">
        <x:is>
          <x:t xml:space="preserve"/>
        </x:is>
      </x:c>
      <x:c r="J18" s="8" t="n">
        <x:v>46037</x:v>
      </x:c>
      <x:c r="K18" s="7" t="inlineStr">
        <x:is>
          <x:t xml:space="preserve">Not Started</x:t>
        </x:is>
      </x:c>
      <x:c r="L18" s="7" t="inlineStr">
        <x:is>
          <x:t xml:space="preserve"/>
        </x:is>
      </x:c>
      <x:c r="M18" s="6" t="inlineStr">
        <x:is>
          <x:t xml:space="preserve"/>
        </x:is>
      </x:c>
    </x:row>
    <x:row r="19" ht="35" customHeight="1">
      <x:c r="A19" s="7" t="inlineStr">
        <x:is>
          <x:t xml:space="preserve">P202601-0018</x:t>
        </x:is>
      </x:c>
      <x:c r="B19" s="7" t="n">
        <x:v>2026</x:v>
      </x:c>
      <x:c r="C19" s="7" t="inlineStr">
        <x:is>
          <x:t xml:space="preserve">Jan</x:t>
        </x:is>
      </x:c>
      <x:c r="D19" s="7" t="inlineStr">
        <x:is>
          <x:t xml:space="preserve">MCS19</x:t>
        </x:is>
      </x:c>
      <x:c r="E19" s="6" t="inlineStr">
        <x:is>
          <x:t xml:space="preserve">Physical verification of Fixed Asset</x:t>
        </x:is>
      </x:c>
      <x:c r="F19" s="6" t="n"/>
      <x:c r="G19" s="6" t="inlineStr">
        <x:is>
          <x:t xml:space="preserve"/>
        </x:is>
      </x:c>
      <x:c r="H19" s="7" t="inlineStr">
        <x:is>
          <x:t xml:space="preserve">Operating Effectiveness</x:t>
        </x:is>
      </x:c>
      <x:c r="I19" s="7" t="inlineStr">
        <x:is>
          <x:t xml:space="preserve"/>
        </x:is>
      </x:c>
      <x:c r="J19" s="8" t="n">
        <x:v>46037</x:v>
      </x:c>
      <x:c r="K19" s="7" t="inlineStr">
        <x:is>
          <x:t xml:space="preserve">Not Started</x:t>
        </x:is>
      </x:c>
      <x:c r="L19" s="7" t="inlineStr">
        <x:is>
          <x:t xml:space="preserve"/>
        </x:is>
      </x:c>
      <x:c r="M19" s="6" t="inlineStr">
        <x:is>
          <x:t xml:space="preserve"/>
        </x:is>
      </x:c>
    </x:row>
    <x:row r="20" ht="35" customHeight="1">
      <x:c r="A20" s="7" t="inlineStr">
        <x:is>
          <x:t xml:space="preserve">P202601-0019</x:t>
        </x:is>
      </x:c>
      <x:c r="B20" s="7" t="n">
        <x:v>2026</x:v>
      </x:c>
      <x:c r="C20" s="7" t="inlineStr">
        <x:is>
          <x:t xml:space="preserve">Jan</x:t>
        </x:is>
      </x:c>
      <x:c r="D20" s="7" t="inlineStr">
        <x:is>
          <x:t xml:space="preserve">MCS20</x:t>
        </x:is>
      </x:c>
      <x:c r="E20" s="6" t="inlineStr">
        <x:is>
          <x:t xml:space="preserve">Management of customer and inventory master data</x:t>
        </x:is>
      </x:c>
      <x:c r="F20" s="6" t="inlineStr">
        <x:is>
          <x:t xml:space="preserve">Yomi Jegede</x:t>
        </x:is>
      </x:c>
      <x:c r="G20" s="6" t="inlineStr">
        <x:is>
          <x:t xml:space="preserve"/>
        </x:is>
      </x:c>
      <x:c r="H20" s="7" t="inlineStr">
        <x:is>
          <x:t xml:space="preserve">Operating Effectiveness</x:t>
        </x:is>
      </x:c>
      <x:c r="I20" s="7" t="inlineStr">
        <x:is>
          <x:t xml:space="preserve"/>
        </x:is>
      </x:c>
      <x:c r="J20" s="8" t="n">
        <x:v>46037</x:v>
      </x:c>
      <x:c r="K20" s="7" t="inlineStr">
        <x:is>
          <x:t xml:space="preserve">Not Started</x:t>
        </x:is>
      </x:c>
      <x:c r="L20" s="7" t="inlineStr">
        <x:is>
          <x:t xml:space="preserve"/>
        </x:is>
      </x:c>
      <x:c r="M20" s="6" t="inlineStr">
        <x:is>
          <x:t xml:space="preserve"/>
        </x:is>
      </x:c>
    </x:row>
    <x:row r="21" ht="35" customHeight="1">
      <x:c r="A21" s="7" t="inlineStr">
        <x:is>
          <x:t xml:space="preserve">P202601-0020</x:t>
        </x:is>
      </x:c>
      <x:c r="B21" s="7" t="n">
        <x:v>2026</x:v>
      </x:c>
      <x:c r="C21" s="7" t="inlineStr">
        <x:is>
          <x:t xml:space="preserve">Jan</x:t>
        </x:is>
      </x:c>
      <x:c r="D21" s="7" t="inlineStr">
        <x:is>
          <x:t xml:space="preserve">MCS21</x:t>
        </x:is>
      </x:c>
      <x:c r="E21" s="6" t="inlineStr">
        <x:is>
          <x:t xml:space="preserve">Price management</x:t>
        </x:is>
      </x:c>
      <x:c r="F21" s="6" t="n"/>
      <x:c r="G21" s="6" t="inlineStr">
        <x:is>
          <x:t xml:space="preserve"/>
        </x:is>
      </x:c>
      <x:c r="H21" s="7" t="inlineStr">
        <x:is>
          <x:t xml:space="preserve">Operating Effectiveness</x:t>
        </x:is>
      </x:c>
      <x:c r="I21" s="7" t="inlineStr">
        <x:is>
          <x:t xml:space="preserve"/>
        </x:is>
      </x:c>
      <x:c r="J21" s="8" t="n">
        <x:v>46037</x:v>
      </x:c>
      <x:c r="K21" s="7" t="inlineStr">
        <x:is>
          <x:t xml:space="preserve">Not Started</x:t>
        </x:is>
      </x:c>
      <x:c r="L21" s="7" t="inlineStr">
        <x:is>
          <x:t xml:space="preserve"/>
        </x:is>
      </x:c>
      <x:c r="M21" s="6" t="inlineStr">
        <x:is>
          <x:t xml:space="preserve"/>
        </x:is>
      </x:c>
    </x:row>
    <x:row r="22" ht="35" customHeight="1">
      <x:c r="A22" s="7" t="inlineStr">
        <x:is>
          <x:t xml:space="preserve">P202601-0021</x:t>
        </x:is>
      </x:c>
      <x:c r="B22" s="7" t="n">
        <x:v>2026</x:v>
      </x:c>
      <x:c r="C22" s="7" t="inlineStr">
        <x:is>
          <x:t xml:space="preserve">Jan</x:t>
        </x:is>
      </x:c>
      <x:c r="D22" s="7" t="inlineStr">
        <x:is>
          <x:t xml:space="preserve">MCS22.1</x:t>
        </x:is>
      </x:c>
      <x:c r="E22" s="6" t="inlineStr">
        <x:is>
          <x:t xml:space="preserve">Control of customer credit limits - Easybuy</x:t>
        </x:is>
      </x:c>
      <x:c r="F22" s="6" t="inlineStr">
        <x:is>
          <x:t xml:space="preserve">Omoyemi Tuga Ogunsanmi Opeyemi Listbon</x:t>
        </x:is>
      </x:c>
      <x:c r="G22" s="6" t="inlineStr">
        <x:is>
          <x:t xml:space="preserve"/>
        </x:is>
      </x:c>
      <x:c r="H22" s="7" t="inlineStr">
        <x:is>
          <x:t xml:space="preserve">Operating Effectiveness</x:t>
        </x:is>
      </x:c>
      <x:c r="I22" s="7" t="inlineStr">
        <x:is>
          <x:t xml:space="preserve"/>
        </x:is>
      </x:c>
      <x:c r="J22" s="8" t="n">
        <x:v>46037</x:v>
      </x:c>
      <x:c r="K22" s="7" t="inlineStr">
        <x:is>
          <x:t xml:space="preserve">Not Started</x:t>
        </x:is>
      </x:c>
      <x:c r="L22" s="7" t="inlineStr">
        <x:is>
          <x:t xml:space="preserve"/>
        </x:is>
      </x:c>
      <x:c r="M22" s="6" t="inlineStr">
        <x:is>
          <x:t xml:space="preserve"/>
        </x:is>
      </x:c>
    </x:row>
    <x:row r="23" ht="35" customHeight="1">
      <x:c r="A23" s="7" t="inlineStr">
        <x:is>
          <x:t xml:space="preserve">P202601-0022</x:t>
        </x:is>
      </x:c>
      <x:c r="B23" s="7" t="n">
        <x:v>2026</x:v>
      </x:c>
      <x:c r="C23" s="7" t="inlineStr">
        <x:is>
          <x:t xml:space="preserve">Jan</x:t>
        </x:is>
      </x:c>
      <x:c r="D23" s="7" t="inlineStr">
        <x:is>
          <x:t xml:space="preserve">MCS22.2</x:t>
        </x:is>
      </x:c>
      <x:c r="E23" s="6" t="inlineStr">
        <x:is>
          <x:t xml:space="preserve">Control of customer credit limits - Partnership</x:t>
        </x:is>
      </x:c>
      <x:c r="F23" s="6" t="inlineStr">
        <x:is>
          <x:t xml:space="preserve">Eno Umoh Ameh Bright Agbo</x:t>
        </x:is>
      </x:c>
      <x:c r="G23" s="6" t="inlineStr">
        <x:is>
          <x:t xml:space="preserve"/>
        </x:is>
      </x:c>
      <x:c r="H23" s="7" t="inlineStr">
        <x:is>
          <x:t xml:space="preserve">Operating Effectiveness</x:t>
        </x:is>
      </x:c>
      <x:c r="I23" s="7" t="inlineStr">
        <x:is>
          <x:t xml:space="preserve"/>
        </x:is>
      </x:c>
      <x:c r="J23" s="8" t="n">
        <x:v>46037</x:v>
      </x:c>
      <x:c r="K23" s="7" t="inlineStr">
        <x:is>
          <x:t xml:space="preserve">Not Started</x:t>
        </x:is>
      </x:c>
      <x:c r="L23" s="7" t="inlineStr">
        <x:is>
          <x:t xml:space="preserve"/>
        </x:is>
      </x:c>
      <x:c r="M23" s="6" t="inlineStr">
        <x:is>
          <x:t xml:space="preserve"/>
        </x:is>
      </x:c>
    </x:row>
    <x:row r="24" ht="35" customHeight="1">
      <x:c r="A24" s="7" t="inlineStr">
        <x:is>
          <x:t xml:space="preserve">P202601-0023</x:t>
        </x:is>
      </x:c>
      <x:c r="B24" s="7" t="n">
        <x:v>2026</x:v>
      </x:c>
      <x:c r="C24" s="7" t="inlineStr">
        <x:is>
          <x:t xml:space="preserve">Jan</x:t>
        </x:is>
      </x:c>
      <x:c r="D24" s="7" t="inlineStr">
        <x:is>
          <x:t xml:space="preserve">MCS23</x:t>
        </x:is>
      </x:c>
      <x:c r="E24" s="6" t="inlineStr">
        <x:is>
          <x:t xml:space="preserve">Invoicing </x:t>
        </x:is>
      </x:c>
      <x:c r="F24" s="6" t="inlineStr">
        <x:is>
          <x:t xml:space="preserve">Ramakant Patil</x:t>
        </x:is>
      </x:c>
      <x:c r="G24" s="6" t="inlineStr">
        <x:is>
          <x:t xml:space="preserve"/>
        </x:is>
      </x:c>
      <x:c r="H24" s="7" t="inlineStr">
        <x:is>
          <x:t xml:space="preserve">Operating Effectiveness</x:t>
        </x:is>
      </x:c>
      <x:c r="I24" s="7" t="inlineStr">
        <x:is>
          <x:t xml:space="preserve"/>
        </x:is>
      </x:c>
      <x:c r="J24" s="8" t="n">
        <x:v>46037</x:v>
      </x:c>
      <x:c r="K24" s="7" t="inlineStr">
        <x:is>
          <x:t xml:space="preserve">Not Started</x:t>
        </x:is>
      </x:c>
      <x:c r="L24" s="7" t="inlineStr">
        <x:is>
          <x:t xml:space="preserve"/>
        </x:is>
      </x:c>
      <x:c r="M24" s="6" t="inlineStr">
        <x:is>
          <x:t xml:space="preserve"/>
        </x:is>
      </x:c>
    </x:row>
    <x:row r="25" ht="35" customHeight="1">
      <x:c r="A25" s="7" t="inlineStr">
        <x:is>
          <x:t xml:space="preserve">P202601-0024</x:t>
        </x:is>
      </x:c>
      <x:c r="B25" s="7" t="n">
        <x:v>2026</x:v>
      </x:c>
      <x:c r="C25" s="7" t="inlineStr">
        <x:is>
          <x:t xml:space="preserve">Jan</x:t>
        </x:is>
      </x:c>
      <x:c r="D25" s="7" t="inlineStr">
        <x:is>
          <x:t xml:space="preserve">MCS24</x:t>
        </x:is>
      </x:c>
      <x:c r="E25" s="6" t="inlineStr">
        <x:is>
          <x:t xml:space="preserve">Accounts receivable valuation</x:t>
        </x:is>
      </x:c>
      <x:c r="F25" s="6" t="inlineStr">
        <x:is>
          <x:t xml:space="preserve">Zainab Yunusah Saadu</x:t>
        </x:is>
      </x:c>
      <x:c r="G25" s="6" t="inlineStr">
        <x:is>
          <x:t xml:space="preserve"/>
        </x:is>
      </x:c>
      <x:c r="H25" s="7" t="inlineStr">
        <x:is>
          <x:t xml:space="preserve">Operating Effectiveness</x:t>
        </x:is>
      </x:c>
      <x:c r="I25" s="7" t="inlineStr">
        <x:is>
          <x:t xml:space="preserve"/>
        </x:is>
      </x:c>
      <x:c r="J25" s="8" t="n">
        <x:v>46037</x:v>
      </x:c>
      <x:c r="K25" s="7" t="inlineStr">
        <x:is>
          <x:t xml:space="preserve">Not Started</x:t>
        </x:is>
      </x:c>
      <x:c r="L25" s="7" t="inlineStr">
        <x:is>
          <x:t xml:space="preserve"/>
        </x:is>
      </x:c>
      <x:c r="M25" s="6" t="inlineStr">
        <x:is>
          <x:t xml:space="preserve"/>
        </x:is>
      </x:c>
    </x:row>
    <x:row r="26" ht="35" customHeight="1">
      <x:c r="A26" s="7" t="inlineStr">
        <x:is>
          <x:t xml:space="preserve">P202601-0025</x:t>
        </x:is>
      </x:c>
      <x:c r="B26" s="7" t="n">
        <x:v>2026</x:v>
      </x:c>
      <x:c r="C26" s="7" t="inlineStr">
        <x:is>
          <x:t xml:space="preserve">Jan</x:t>
        </x:is>
      </x:c>
      <x:c r="D26" s="7" t="inlineStr">
        <x:is>
          <x:t xml:space="preserve">MCS25</x:t>
        </x:is>
      </x:c>
      <x:c r="E26" s="6" t="inlineStr">
        <x:is>
          <x:t xml:space="preserve">Execution of onboarding, offboarding, master data management and transfers of workers</x:t>
        </x:is>
      </x:c>
      <x:c r="F26" s="6" t="n"/>
      <x:c r="G26" s="6" t="inlineStr">
        <x:is>
          <x:t xml:space="preserve"/>
        </x:is>
      </x:c>
      <x:c r="H26" s="7" t="inlineStr">
        <x:is>
          <x:t xml:space="preserve">Operating Effectiveness</x:t>
        </x:is>
      </x:c>
      <x:c r="I26" s="7" t="inlineStr">
        <x:is>
          <x:t xml:space="preserve"/>
        </x:is>
      </x:c>
      <x:c r="J26" s="8" t="n">
        <x:v>46037</x:v>
      </x:c>
      <x:c r="K26" s="7" t="inlineStr">
        <x:is>
          <x:t xml:space="preserve">Not Started</x:t>
        </x:is>
      </x:c>
      <x:c r="L26" s="7" t="inlineStr">
        <x:is>
          <x:t xml:space="preserve"/>
        </x:is>
      </x:c>
      <x:c r="M26" s="6" t="inlineStr">
        <x:is>
          <x:t xml:space="preserve"/>
        </x:is>
      </x:c>
    </x:row>
    <x:row r="27" ht="35" customHeight="1">
      <x:c r="A27" s="7" t="inlineStr">
        <x:is>
          <x:t xml:space="preserve">P202601-0026</x:t>
        </x:is>
      </x:c>
      <x:c r="B27" s="7" t="n">
        <x:v>2026</x:v>
      </x:c>
      <x:c r="C27" s="7" t="inlineStr">
        <x:is>
          <x:t xml:space="preserve">Jan</x:t>
        </x:is>
      </x:c>
      <x:c r="D27" s="7" t="inlineStr">
        <x:is>
          <x:t xml:space="preserve">MCS26</x:t>
        </x:is>
      </x:c>
      <x:c r="E27" s="6" t="inlineStr">
        <x:is>
          <x:t xml:space="preserve">Payroll</x:t>
        </x:is>
      </x:c>
      <x:c r="F27" s="6" t="inlineStr">
        <x:is>
          <x:t xml:space="preserve">Olamide Ayo-Ogunlade Oluwatosin Ogunsekan</x:t>
        </x:is>
      </x:c>
      <x:c r="G27" s="6" t="inlineStr">
        <x:is>
          <x:t xml:space="preserve"/>
        </x:is>
      </x:c>
      <x:c r="H27" s="7" t="inlineStr">
        <x:is>
          <x:t xml:space="preserve">Operating Effectiveness</x:t>
        </x:is>
      </x:c>
      <x:c r="I27" s="7" t="inlineStr">
        <x:is>
          <x:t xml:space="preserve"/>
        </x:is>
      </x:c>
      <x:c r="J27" s="8" t="n">
        <x:v>46037</x:v>
      </x:c>
      <x:c r="K27" s="7" t="inlineStr">
        <x:is>
          <x:t xml:space="preserve">Not Started</x:t>
        </x:is>
      </x:c>
      <x:c r="L27" s="7" t="inlineStr">
        <x:is>
          <x:t xml:space="preserve"/>
        </x:is>
      </x:c>
      <x:c r="M27" s="6" t="inlineStr">
        <x:is>
          <x:t xml:space="preserve"/>
        </x:is>
      </x:c>
    </x:row>
    <x:row r="28" ht="35" customHeight="1">
      <x:c r="A28" s="7" t="inlineStr">
        <x:is>
          <x:t xml:space="preserve">P202601-0027</x:t>
        </x:is>
      </x:c>
      <x:c r="B28" s="7" t="n">
        <x:v>2026</x:v>
      </x:c>
      <x:c r="C28" s="7" t="inlineStr">
        <x:is>
          <x:t xml:space="preserve">Jan</x:t>
        </x:is>
      </x:c>
      <x:c r="D28" s="7" t="inlineStr">
        <x:is>
          <x:t xml:space="preserve">MCS27</x:t>
        </x:is>
      </x:c>
      <x:c r="E28" s="6" t="inlineStr">
        <x:is>
          <x:t xml:space="preserve">Compliance with Labour law</x:t>
        </x:is>
      </x:c>
      <x:c r="F28" s="6" t="inlineStr">
        <x:is>
          <x:t xml:space="preserve">Olamide Ayo-Ogunlade Oluwatosin Ogunsekan</x:t>
        </x:is>
      </x:c>
      <x:c r="G28" s="6" t="inlineStr">
        <x:is>
          <x:t xml:space="preserve"/>
        </x:is>
      </x:c>
      <x:c r="H28" s="7" t="inlineStr">
        <x:is>
          <x:t xml:space="preserve">Operating Effectiveness</x:t>
        </x:is>
      </x:c>
      <x:c r="I28" s="7" t="inlineStr">
        <x:is>
          <x:t xml:space="preserve"/>
        </x:is>
      </x:c>
      <x:c r="J28" s="8" t="n">
        <x:v>46037</x:v>
      </x:c>
      <x:c r="K28" s="7" t="inlineStr">
        <x:is>
          <x:t xml:space="preserve">Not Started</x:t>
        </x:is>
      </x:c>
      <x:c r="L28" s="7" t="inlineStr">
        <x:is>
          <x:t xml:space="preserve"/>
        </x:is>
      </x:c>
      <x:c r="M28" s="6" t="inlineStr">
        <x:is>
          <x:t xml:space="preserve"/>
        </x:is>
      </x:c>
    </x:row>
    <x:row r="29" ht="35" customHeight="1">
      <x:c r="A29" s="7" t="inlineStr">
        <x:is>
          <x:t xml:space="preserve">P202601-0028</x:t>
        </x:is>
      </x:c>
      <x:c r="B29" s="7" t="n">
        <x:v>2026</x:v>
      </x:c>
      <x:c r="C29" s="7" t="inlineStr">
        <x:is>
          <x:t xml:space="preserve">Jan</x:t>
        </x:is>
      </x:c>
      <x:c r="D29" s="7" t="inlineStr">
        <x:is>
          <x:t xml:space="preserve">MCS28</x:t>
        </x:is>
      </x:c>
      <x:c r="E29" s="6" t="inlineStr">
        <x:is>
          <x:t xml:space="preserve">Employee pension and benefit plan</x:t>
        </x:is>
      </x:c>
      <x:c r="F29" s="6" t="inlineStr">
        <x:is>
          <x:t xml:space="preserve">Olamide Ayo-Ogunlade Oluwatosin Ogunsekan</x:t>
        </x:is>
      </x:c>
      <x:c r="G29" s="6" t="inlineStr">
        <x:is>
          <x:t xml:space="preserve"/>
        </x:is>
      </x:c>
      <x:c r="H29" s="7" t="inlineStr">
        <x:is>
          <x:t xml:space="preserve">Operating Effectiveness</x:t>
        </x:is>
      </x:c>
      <x:c r="I29" s="7" t="inlineStr">
        <x:is>
          <x:t xml:space="preserve"/>
        </x:is>
      </x:c>
      <x:c r="J29" s="8" t="n">
        <x:v>46037</x:v>
      </x:c>
      <x:c r="K29" s="7" t="inlineStr">
        <x:is>
          <x:t xml:space="preserve">Not Started</x:t>
        </x:is>
      </x:c>
      <x:c r="L29" s="7" t="inlineStr">
        <x:is>
          <x:t xml:space="preserve"/>
        </x:is>
      </x:c>
      <x:c r="M29" s="6" t="inlineStr">
        <x:is>
          <x:t xml:space="preserve"/>
        </x:is>
      </x:c>
    </x:row>
    <x:row r="30" ht="35" customHeight="1">
      <x:c r="A30" s="7" t="inlineStr">
        <x:is>
          <x:t xml:space="preserve">P202601-0029</x:t>
        </x:is>
      </x:c>
      <x:c r="B30" s="7" t="n">
        <x:v>2026</x:v>
      </x:c>
      <x:c r="C30" s="7" t="inlineStr">
        <x:is>
          <x:t xml:space="preserve">Jan</x:t>
        </x:is>
      </x:c>
      <x:c r="D30" s="7" t="inlineStr">
        <x:is>
          <x:t xml:space="preserve">MCS 29</x:t>
        </x:is>
      </x:c>
      <x:c r="E30" s="6" t="inlineStr">
        <x:is>
          <x:t xml:space="preserve">Management of supplier master data</x:t>
        </x:is>
      </x:c>
      <x:c r="F30" s="6" t="inlineStr">
        <x:is>
          <x:t xml:space="preserve">Ramakant Patil Zainab Yunusah Saadu</x:t>
        </x:is>
      </x:c>
      <x:c r="G30" s="6" t="inlineStr">
        <x:is>
          <x:t xml:space="preserve"/>
        </x:is>
      </x:c>
      <x:c r="H30" s="7" t="inlineStr">
        <x:is>
          <x:t xml:space="preserve">Operating Effectiveness</x:t>
        </x:is>
      </x:c>
      <x:c r="I30" s="7" t="inlineStr">
        <x:is>
          <x:t xml:space="preserve"/>
        </x:is>
      </x:c>
      <x:c r="J30" s="8" t="n">
        <x:v>46037</x:v>
      </x:c>
      <x:c r="K30" s="7" t="inlineStr">
        <x:is>
          <x:t xml:space="preserve">Not Started</x:t>
        </x:is>
      </x:c>
      <x:c r="L30" s="7" t="inlineStr">
        <x:is>
          <x:t xml:space="preserve"/>
        </x:is>
      </x:c>
      <x:c r="M30" s="6" t="inlineStr">
        <x:is>
          <x:t xml:space="preserve"/>
        </x:is>
      </x:c>
    </x:row>
    <x:row r="31" ht="35" customHeight="1">
      <x:c r="A31" s="7" t="inlineStr">
        <x:is>
          <x:t xml:space="preserve">P202601-0030</x:t>
        </x:is>
      </x:c>
      <x:c r="B31" s="7" t="n">
        <x:v>2026</x:v>
      </x:c>
      <x:c r="C31" s="7" t="inlineStr">
        <x:is>
          <x:t xml:space="preserve">Jan</x:t>
        </x:is>
      </x:c>
      <x:c r="D31" s="7" t="inlineStr">
        <x:is>
          <x:t xml:space="preserve">MCS30</x:t>
        </x:is>
      </x:c>
      <x:c r="E31" s="6" t="inlineStr">
        <x:is>
          <x:t xml:space="preserve">Vendor Registration and Performance Management</x:t>
        </x:is>
      </x:c>
      <x:c r="F31" s="6" t="inlineStr">
        <x:is>
          <x:t xml:space="preserve">Ramakant Patil Zainab Yunusah Saadu</x:t>
        </x:is>
      </x:c>
      <x:c r="G31" s="6" t="inlineStr">
        <x:is>
          <x:t xml:space="preserve"/>
        </x:is>
      </x:c>
      <x:c r="H31" s="7" t="inlineStr">
        <x:is>
          <x:t xml:space="preserve">Operating Effectiveness</x:t>
        </x:is>
      </x:c>
      <x:c r="I31" s="7" t="inlineStr">
        <x:is>
          <x:t xml:space="preserve"/>
        </x:is>
      </x:c>
      <x:c r="J31" s="8" t="n">
        <x:v>46037</x:v>
      </x:c>
      <x:c r="K31" s="7" t="inlineStr">
        <x:is>
          <x:t xml:space="preserve">Not Started</x:t>
        </x:is>
      </x:c>
      <x:c r="L31" s="7" t="inlineStr">
        <x:is>
          <x:t xml:space="preserve"/>
        </x:is>
      </x:c>
      <x:c r="M31" s="6" t="inlineStr">
        <x:is>
          <x:t xml:space="preserve"/>
        </x:is>
      </x:c>
    </x:row>
    <x:row r="32" ht="35" customHeight="1">
      <x:c r="A32" s="7" t="inlineStr">
        <x:is>
          <x:t xml:space="preserve">P202601-0031</x:t>
        </x:is>
      </x:c>
      <x:c r="B32" s="7" t="n">
        <x:v>2026</x:v>
      </x:c>
      <x:c r="C32" s="7" t="inlineStr">
        <x:is>
          <x:t xml:space="preserve">Jan</x:t>
        </x:is>
      </x:c>
      <x:c r="D32" s="7" t="inlineStr">
        <x:is>
          <x:t xml:space="preserve">MCS31</x:t>
        </x:is>
      </x:c>
      <x:c r="E32" s="6" t="inlineStr">
        <x:is>
          <x:t xml:space="preserve">Three-way match, two way match and direct vendor invoices</x:t>
        </x:is>
      </x:c>
      <x:c r="F32" s="6" t="inlineStr">
        <x:is>
          <x:t xml:space="preserve">Ramakant Patil Zainab Yunusah Saadu</x:t>
        </x:is>
      </x:c>
      <x:c r="G32" s="6" t="inlineStr">
        <x:is>
          <x:t xml:space="preserve"/>
        </x:is>
      </x:c>
      <x:c r="H32" s="7" t="inlineStr">
        <x:is>
          <x:t xml:space="preserve">Operating Effectiveness</x:t>
        </x:is>
      </x:c>
      <x:c r="I32" s="7" t="inlineStr">
        <x:is>
          <x:t xml:space="preserve"/>
        </x:is>
      </x:c>
      <x:c r="J32" s="8" t="n">
        <x:v>46037</x:v>
      </x:c>
      <x:c r="K32" s="7" t="inlineStr">
        <x:is>
          <x:t xml:space="preserve">Not Started</x:t>
        </x:is>
      </x:c>
      <x:c r="L32" s="7" t="inlineStr">
        <x:is>
          <x:t xml:space="preserve"/>
        </x:is>
      </x:c>
      <x:c r="M32" s="6" t="inlineStr">
        <x:is>
          <x:t xml:space="preserve"/>
        </x:is>
      </x:c>
    </x:row>
    <x:row r="33" ht="35" customHeight="1">
      <x:c r="A33" s="7" t="inlineStr">
        <x:is>
          <x:t xml:space="preserve">P202601-0032</x:t>
        </x:is>
      </x:c>
      <x:c r="B33" s="7" t="n">
        <x:v>2026</x:v>
      </x:c>
      <x:c r="C33" s="7" t="inlineStr">
        <x:is>
          <x:t xml:space="preserve">Jan</x:t>
        </x:is>
      </x:c>
      <x:c r="D33" s="7" t="inlineStr">
        <x:is>
          <x:t xml:space="preserve">MCS32</x:t>
        </x:is>
      </x:c>
      <x:c r="E33" s="6" t="inlineStr">
        <x:is>
          <x:t xml:space="preserve">Payment processing</x:t>
        </x:is>
      </x:c>
      <x:c r="F33" s="6" t="inlineStr">
        <x:is>
          <x:t xml:space="preserve">Ramakant Patil Zainab Yunusah Saadu</x:t>
        </x:is>
      </x:c>
      <x:c r="G33" s="6" t="inlineStr">
        <x:is>
          <x:t xml:space="preserve"/>
        </x:is>
      </x:c>
      <x:c r="H33" s="7" t="inlineStr">
        <x:is>
          <x:t xml:space="preserve">Operating Effectiveness</x:t>
        </x:is>
      </x:c>
      <x:c r="I33" s="7" t="inlineStr">
        <x:is>
          <x:t xml:space="preserve"/>
        </x:is>
      </x:c>
      <x:c r="J33" s="8" t="n">
        <x:v>46037</x:v>
      </x:c>
      <x:c r="K33" s="7" t="inlineStr">
        <x:is>
          <x:t xml:space="preserve">Not Started</x:t>
        </x:is>
      </x:c>
      <x:c r="L33" s="7" t="inlineStr">
        <x:is>
          <x:t xml:space="preserve"/>
        </x:is>
      </x:c>
      <x:c r="M33" s="6" t="inlineStr">
        <x:is>
          <x:t xml:space="preserve"/>
        </x:is>
      </x:c>
    </x:row>
    <x:row r="34" ht="35" customHeight="1">
      <x:c r="A34" s="7" t="inlineStr">
        <x:is>
          <x:t xml:space="preserve">P202601-0033</x:t>
        </x:is>
      </x:c>
      <x:c r="B34" s="7" t="n">
        <x:v>2026</x:v>
      </x:c>
      <x:c r="C34" s="7" t="inlineStr">
        <x:is>
          <x:t xml:space="preserve">Jan</x:t>
        </x:is>
      </x:c>
      <x:c r="D34" s="7" t="inlineStr">
        <x:is>
          <x:t xml:space="preserve">MCS33</x:t>
        </x:is>
      </x:c>
      <x:c r="E34" s="6" t="inlineStr">
        <x:is>
          <x:t xml:space="preserve">3 Accruals for expenditures not invoiced</x:t>
        </x:is>
      </x:c>
      <x:c r="F34" s="6" t="inlineStr">
        <x:is>
          <x:t xml:space="preserve">Ramakant Patil Zainab Yunusah Saadu</x:t>
        </x:is>
      </x:c>
      <x:c r="G34" s="6" t="inlineStr">
        <x:is>
          <x:t xml:space="preserve"/>
        </x:is>
      </x:c>
      <x:c r="H34" s="7" t="inlineStr">
        <x:is>
          <x:t xml:space="preserve">Operating Effectiveness</x:t>
        </x:is>
      </x:c>
      <x:c r="I34" s="7" t="inlineStr">
        <x:is>
          <x:t xml:space="preserve"/>
        </x:is>
      </x:c>
      <x:c r="J34" s="8" t="n">
        <x:v>46037</x:v>
      </x:c>
      <x:c r="K34" s="7" t="inlineStr">
        <x:is>
          <x:t xml:space="preserve">Not Started</x:t>
        </x:is>
      </x:c>
      <x:c r="L34" s="7" t="inlineStr">
        <x:is>
          <x:t xml:space="preserve"/>
        </x:is>
      </x:c>
      <x:c r="M34" s="6" t="inlineStr">
        <x:is>
          <x:t xml:space="preserve"/>
        </x:is>
      </x:c>
    </x:row>
    <x:row r="35" ht="35" customHeight="1">
      <x:c r="A35" s="7" t="inlineStr">
        <x:is>
          <x:t xml:space="preserve">P202601-0034</x:t>
        </x:is>
      </x:c>
      <x:c r="B35" s="7" t="n">
        <x:v>2026</x:v>
      </x:c>
      <x:c r="C35" s="7" t="inlineStr">
        <x:is>
          <x:t xml:space="preserve">Jan</x:t>
        </x:is>
      </x:c>
      <x:c r="D35" s="7" t="inlineStr">
        <x:is>
          <x:t xml:space="preserve">MCS34</x:t>
        </x:is>
      </x:c>
      <x:c r="E35" s="6" t="inlineStr">
        <x:is>
          <x:t xml:space="preserve">Physical Stock Count ,Reconciliation &amp; Valuation</x:t>
        </x:is>
      </x:c>
      <x:c r="F35" s="6" t="inlineStr">
        <x:is>
          <x:t xml:space="preserve">Yomi Jegede Zainab Yunusah Saadu</x:t>
        </x:is>
      </x:c>
      <x:c r="G35" s="6" t="inlineStr">
        <x:is>
          <x:t xml:space="preserve"/>
        </x:is>
      </x:c>
      <x:c r="H35" s="7" t="inlineStr">
        <x:is>
          <x:t xml:space="preserve">Operating Effectiveness</x:t>
        </x:is>
      </x:c>
      <x:c r="I35" s="7" t="inlineStr">
        <x:is>
          <x:t xml:space="preserve"/>
        </x:is>
      </x:c>
      <x:c r="J35" s="8" t="n">
        <x:v>46037</x:v>
      </x:c>
      <x:c r="K35" s="7" t="inlineStr">
        <x:is>
          <x:t xml:space="preserve">Not Started</x:t>
        </x:is>
      </x:c>
      <x:c r="L35" s="7" t="inlineStr">
        <x:is>
          <x:t xml:space="preserve"/>
        </x:is>
      </x:c>
      <x:c r="M35" s="6" t="inlineStr">
        <x:is>
          <x:t xml:space="preserve"/>
        </x:is>
      </x:c>
    </x:row>
    <x:row r="36" ht="35" customHeight="1">
      <x:c r="A36" s="7" t="inlineStr">
        <x:is>
          <x:t xml:space="preserve">P202601-0035</x:t>
        </x:is>
      </x:c>
      <x:c r="B36" s="7" t="n">
        <x:v>2026</x:v>
      </x:c>
      <x:c r="C36" s="7" t="inlineStr">
        <x:is>
          <x:t xml:space="preserve">Jan</x:t>
        </x:is>
      </x:c>
      <x:c r="D36" s="7" t="inlineStr">
        <x:is>
          <x:t xml:space="preserve">MCS35</x:t>
        </x:is>
      </x:c>
      <x:c r="E36" s="6" t="inlineStr">
        <x:is>
          <x:t xml:space="preserve">Inventory Documentation (IMPEX)</x:t>
        </x:is>
      </x:c>
      <x:c r="F36" s="6" t="inlineStr">
        <x:is>
          <x:t xml:space="preserve">Yomi Jegede Zainab Yunusah Saadu</x:t>
        </x:is>
      </x:c>
      <x:c r="G36" s="6" t="inlineStr">
        <x:is>
          <x:t xml:space="preserve"/>
        </x:is>
      </x:c>
      <x:c r="H36" s="7" t="inlineStr">
        <x:is>
          <x:t xml:space="preserve">Operating Effectiveness</x:t>
        </x:is>
      </x:c>
      <x:c r="I36" s="7" t="inlineStr">
        <x:is>
          <x:t xml:space="preserve"/>
        </x:is>
      </x:c>
      <x:c r="J36" s="8" t="n">
        <x:v>46037</x:v>
      </x:c>
      <x:c r="K36" s="7" t="inlineStr">
        <x:is>
          <x:t xml:space="preserve">Not Started</x:t>
        </x:is>
      </x:c>
      <x:c r="L36" s="7" t="inlineStr">
        <x:is>
          <x:t xml:space="preserve"/>
        </x:is>
      </x:c>
      <x:c r="M36" s="6" t="inlineStr">
        <x:is>
          <x:t xml:space="preserve"/>
        </x:is>
      </x:c>
    </x:row>
    <x:row r="37" ht="35" customHeight="1">
      <x:c r="A37" s="7" t="inlineStr">
        <x:is>
          <x:t xml:space="preserve">P202601-0036</x:t>
        </x:is>
      </x:c>
      <x:c r="B37" s="7" t="n">
        <x:v>2026</x:v>
      </x:c>
      <x:c r="C37" s="7" t="inlineStr">
        <x:is>
          <x:t xml:space="preserve">Jan</x:t>
        </x:is>
      </x:c>
      <x:c r="D37" s="7" t="inlineStr">
        <x:is>
          <x:t xml:space="preserve">MCS36</x:t>
        </x:is>
      </x:c>
      <x:c r="E37" s="6" t="inlineStr">
        <x:is>
          <x:t xml:space="preserve">Management of access to IT systems</x:t>
        </x:is>
      </x:c>
      <x:c r="F37" s="6" t="inlineStr">
        <x:is>
          <x:t xml:space="preserve">Theophilus Okolie </x:t>
        </x:is>
      </x:c>
      <x:c r="G37" s="6" t="inlineStr">
        <x:is>
          <x:t xml:space="preserve"/>
        </x:is>
      </x:c>
      <x:c r="H37" s="7" t="inlineStr">
        <x:is>
          <x:t xml:space="preserve">Operating Effectiveness</x:t>
        </x:is>
      </x:c>
      <x:c r="I37" s="7" t="inlineStr">
        <x:is>
          <x:t xml:space="preserve"/>
        </x:is>
      </x:c>
      <x:c r="J37" s="8" t="n">
        <x:v>46037</x:v>
      </x:c>
      <x:c r="K37" s="7" t="inlineStr">
        <x:is>
          <x:t xml:space="preserve">Not Started</x:t>
        </x:is>
      </x:c>
      <x:c r="L37" s="7" t="inlineStr">
        <x:is>
          <x:t xml:space="preserve"/>
        </x:is>
      </x:c>
      <x:c r="M37" s="6" t="inlineStr">
        <x:is>
          <x:t xml:space="preserve"/>
        </x:is>
      </x:c>
    </x:row>
    <x:row r="38" ht="35" customHeight="1">
      <x:c r="A38" s="7" t="inlineStr">
        <x:is>
          <x:t xml:space="preserve">P202601-0037</x:t>
        </x:is>
      </x:c>
      <x:c r="B38" s="7" t="n">
        <x:v>2026</x:v>
      </x:c>
      <x:c r="C38" s="7" t="inlineStr">
        <x:is>
          <x:t xml:space="preserve">Jan</x:t>
        </x:is>
      </x:c>
      <x:c r="D38" s="7" t="inlineStr">
        <x:is>
          <x:t xml:space="preserve">MCS37</x:t>
        </x:is>
      </x:c>
      <x:c r="E38" s="6" t="inlineStr">
        <x:is>
          <x:t xml:space="preserve">Review of IT user access rights to production IT systems</x:t>
        </x:is>
      </x:c>
      <x:c r="F38" s="6" t="inlineStr">
        <x:is>
          <x:t xml:space="preserve">Theophilus Okolie </x:t>
        </x:is>
      </x:c>
      <x:c r="G38" s="6" t="inlineStr">
        <x:is>
          <x:t xml:space="preserve"/>
        </x:is>
      </x:c>
      <x:c r="H38" s="7" t="inlineStr">
        <x:is>
          <x:t xml:space="preserve">Operating Effectiveness</x:t>
        </x:is>
      </x:c>
      <x:c r="I38" s="7" t="inlineStr">
        <x:is>
          <x:t xml:space="preserve"/>
        </x:is>
      </x:c>
      <x:c r="J38" s="8" t="n">
        <x:v>46037</x:v>
      </x:c>
      <x:c r="K38" s="7" t="inlineStr">
        <x:is>
          <x:t xml:space="preserve">Not Started</x:t>
        </x:is>
      </x:c>
      <x:c r="L38" s="7" t="inlineStr">
        <x:is>
          <x:t xml:space="preserve"/>
        </x:is>
      </x:c>
      <x:c r="M38" s="6" t="inlineStr">
        <x:is>
          <x:t xml:space="preserve"/>
        </x:is>
      </x:c>
    </x:row>
    <x:row r="39" ht="35" customHeight="1">
      <x:c r="A39" s="7" t="inlineStr">
        <x:is>
          <x:t xml:space="preserve">P202601-0038</x:t>
        </x:is>
      </x:c>
      <x:c r="B39" s="7" t="n">
        <x:v>2026</x:v>
      </x:c>
      <x:c r="C39" s="7" t="inlineStr">
        <x:is>
          <x:t xml:space="preserve">Jan</x:t>
        </x:is>
      </x:c>
      <x:c r="D39" s="7" t="inlineStr">
        <x:is>
          <x:t xml:space="preserve">MCS38</x:t>
        </x:is>
      </x:c>
      <x:c r="E39" s="6" t="inlineStr">
        <x:is>
          <x:t xml:space="preserve">Security configuration settings and batch job management</x:t>
        </x:is>
      </x:c>
      <x:c r="F39" s="6" t="inlineStr">
        <x:is>
          <x:t xml:space="preserve">Theophilus Okolie </x:t>
        </x:is>
      </x:c>
      <x:c r="G39" s="6" t="inlineStr">
        <x:is>
          <x:t xml:space="preserve"/>
        </x:is>
      </x:c>
      <x:c r="H39" s="7" t="inlineStr">
        <x:is>
          <x:t xml:space="preserve">Operating Effectiveness</x:t>
        </x:is>
      </x:c>
      <x:c r="I39" s="7" t="inlineStr">
        <x:is>
          <x:t xml:space="preserve"/>
        </x:is>
      </x:c>
      <x:c r="J39" s="8" t="n">
        <x:v>46037</x:v>
      </x:c>
      <x:c r="K39" s="7" t="inlineStr">
        <x:is>
          <x:t xml:space="preserve">Not Started</x:t>
        </x:is>
      </x:c>
      <x:c r="L39" s="7" t="inlineStr">
        <x:is>
          <x:t xml:space="preserve"/>
        </x:is>
      </x:c>
      <x:c r="M39" s="6" t="inlineStr">
        <x:is>
          <x:t xml:space="preserve"/>
        </x:is>
      </x:c>
    </x:row>
    <x:row r="40" ht="35" customHeight="1">
      <x:c r="A40" s="7" t="inlineStr">
        <x:is>
          <x:t xml:space="preserve">P202601-0039</x:t>
        </x:is>
      </x:c>
      <x:c r="B40" s="7" t="n">
        <x:v>2026</x:v>
      </x:c>
      <x:c r="C40" s="7" t="inlineStr">
        <x:is>
          <x:t xml:space="preserve">Jan</x:t>
        </x:is>
      </x:c>
      <x:c r="D40" s="7" t="inlineStr">
        <x:is>
          <x:t xml:space="preserve">MCS39</x:t>
        </x:is>
      </x:c>
      <x:c r="E40" s="6" t="inlineStr">
        <x:is>
          <x:t xml:space="preserve">Data backup, storage and restoration process</x:t>
        </x:is>
      </x:c>
      <x:c r="F40" s="6" t="inlineStr">
        <x:is>
          <x:t xml:space="preserve">Theophilus Okolie </x:t>
        </x:is>
      </x:c>
      <x:c r="G40" s="6" t="inlineStr">
        <x:is>
          <x:t xml:space="preserve"/>
        </x:is>
      </x:c>
      <x:c r="H40" s="7" t="inlineStr">
        <x:is>
          <x:t xml:space="preserve">Operating Effectiveness</x:t>
        </x:is>
      </x:c>
      <x:c r="I40" s="7" t="inlineStr">
        <x:is>
          <x:t xml:space="preserve"/>
        </x:is>
      </x:c>
      <x:c r="J40" s="8" t="n">
        <x:v>46037</x:v>
      </x:c>
      <x:c r="K40" s="7" t="inlineStr">
        <x:is>
          <x:t xml:space="preserve">Not Started</x:t>
        </x:is>
      </x:c>
      <x:c r="L40" s="7" t="inlineStr">
        <x:is>
          <x:t xml:space="preserve"/>
        </x:is>
      </x:c>
      <x:c r="M40" s="6" t="inlineStr">
        <x:is>
          <x:t xml:space="preserve"/>
        </x:is>
      </x:c>
    </x:row>
    <x:row r="41" ht="35" customHeight="1">
      <x:c r="A41" s="7" t="inlineStr">
        <x:is>
          <x:t xml:space="preserve">P202601-0040</x:t>
        </x:is>
      </x:c>
      <x:c r="B41" s="7" t="n">
        <x:v>2026</x:v>
      </x:c>
      <x:c r="C41" s="7" t="inlineStr">
        <x:is>
          <x:t xml:space="preserve">Jan</x:t>
        </x:is>
      </x:c>
      <x:c r="D41" s="7" t="inlineStr">
        <x:is>
          <x:t xml:space="preserve">MCS40</x:t>
        </x:is>
      </x:c>
      <x:c r="E41" s="6" t="inlineStr">
        <x:is>
          <x:t xml:space="preserve">Managing changes to IT systems</x:t>
        </x:is>
      </x:c>
      <x:c r="F41" s="6" t="inlineStr">
        <x:is>
          <x:t xml:space="preserve">Theophilus Okolie </x:t>
        </x:is>
      </x:c>
      <x:c r="G41" s="6" t="inlineStr">
        <x:is>
          <x:t xml:space="preserve"/>
        </x:is>
      </x:c>
      <x:c r="H41" s="7" t="inlineStr">
        <x:is>
          <x:t xml:space="preserve">Operating Effectiveness</x:t>
        </x:is>
      </x:c>
      <x:c r="I41" s="7" t="inlineStr">
        <x:is>
          <x:t xml:space="preserve"/>
        </x:is>
      </x:c>
      <x:c r="J41" s="8" t="n">
        <x:v>46037</x:v>
      </x:c>
      <x:c r="K41" s="7" t="inlineStr">
        <x:is>
          <x:t xml:space="preserve">Not Started</x:t>
        </x:is>
      </x:c>
      <x:c r="L41" s="7" t="inlineStr">
        <x:is>
          <x:t xml:space="preserve"/>
        </x:is>
      </x:c>
      <x:c r="M41" s="6" t="inlineStr">
        <x:is>
          <x:t xml:space="preserve"/>
        </x:is>
      </x:c>
    </x:row>
    <x:row r="42" ht="35" customHeight="1">
      <x:c r="A42" s="7" t="inlineStr">
        <x:is>
          <x:t xml:space="preserve">P202601-0041</x:t>
        </x:is>
      </x:c>
      <x:c r="B42" s="7" t="n">
        <x:v>2026</x:v>
      </x:c>
      <x:c r="C42" s="7" t="inlineStr">
        <x:is>
          <x:t xml:space="preserve">Jan</x:t>
        </x:is>
      </x:c>
      <x:c r="D42" s="7" t="inlineStr">
        <x:is>
          <x:t xml:space="preserve">MCS41</x:t>
        </x:is>
      </x:c>
      <x:c r="E42" s="6" t="inlineStr">
        <x:is>
          <x:t xml:space="preserve">Compliance with accounting and reporting standards</x:t>
        </x:is>
      </x:c>
      <x:c r="F42" s="6" t="inlineStr">
        <x:is>
          <x:t xml:space="preserve">Zainab Yunusah Saadu Daniel Banjo</x:t>
        </x:is>
      </x:c>
      <x:c r="G42" s="6" t="inlineStr">
        <x:is>
          <x:t xml:space="preserve"/>
        </x:is>
      </x:c>
      <x:c r="H42" s="7" t="inlineStr">
        <x:is>
          <x:t xml:space="preserve">Operating Effectiveness</x:t>
        </x:is>
      </x:c>
      <x:c r="I42" s="7" t="inlineStr">
        <x:is>
          <x:t xml:space="preserve"/>
        </x:is>
      </x:c>
      <x:c r="J42" s="8" t="n">
        <x:v>46037</x:v>
      </x:c>
      <x:c r="K42" s="7" t="inlineStr">
        <x:is>
          <x:t xml:space="preserve">Not Started</x:t>
        </x:is>
      </x:c>
      <x:c r="L42" s="7" t="inlineStr">
        <x:is>
          <x:t xml:space="preserve"/>
        </x:is>
      </x:c>
      <x:c r="M42" s="6" t="inlineStr">
        <x:is>
          <x:t xml:space="preserve"/>
        </x:is>
      </x:c>
    </x:row>
    <x:row r="43" ht="35" customHeight="1">
      <x:c r="A43" s="7" t="inlineStr">
        <x:is>
          <x:t xml:space="preserve">P202601-0042</x:t>
        </x:is>
      </x:c>
      <x:c r="B43" s="7" t="n">
        <x:v>2026</x:v>
      </x:c>
      <x:c r="C43" s="7" t="inlineStr">
        <x:is>
          <x:t xml:space="preserve">Jan</x:t>
        </x:is>
      </x:c>
      <x:c r="D43" s="7" t="inlineStr">
        <x:is>
          <x:t xml:space="preserve">MCS42</x:t>
        </x:is>
      </x:c>
      <x:c r="E43" s="6" t="inlineStr">
        <x:is>
          <x:t xml:space="preserve">Reconciliation of general ledger accounts</x:t>
        </x:is>
      </x:c>
      <x:c r="F43" s="6" t="inlineStr">
        <x:is>
          <x:t xml:space="preserve">Zainab Yunusah Saadu Daniel Banjo</x:t>
        </x:is>
      </x:c>
      <x:c r="G43" s="6" t="inlineStr">
        <x:is>
          <x:t xml:space="preserve"/>
        </x:is>
      </x:c>
      <x:c r="H43" s="7" t="inlineStr">
        <x:is>
          <x:t xml:space="preserve">Operating Effectiveness</x:t>
        </x:is>
      </x:c>
      <x:c r="I43" s="7" t="inlineStr">
        <x:is>
          <x:t xml:space="preserve"/>
        </x:is>
      </x:c>
      <x:c r="J43" s="8" t="n">
        <x:v>46037</x:v>
      </x:c>
      <x:c r="K43" s="7" t="inlineStr">
        <x:is>
          <x:t xml:space="preserve">Not Started</x:t>
        </x:is>
      </x:c>
      <x:c r="L43" s="7" t="inlineStr">
        <x:is>
          <x:t xml:space="preserve"/>
        </x:is>
      </x:c>
      <x:c r="M43" s="6" t="inlineStr">
        <x:is>
          <x:t xml:space="preserve"/>
        </x:is>
      </x:c>
    </x:row>
    <x:row r="44" ht="35" customHeight="1">
      <x:c r="A44" s="7" t="inlineStr">
        <x:is>
          <x:t xml:space="preserve">P202601-0043</x:t>
        </x:is>
      </x:c>
      <x:c r="B44" s="7" t="n">
        <x:v>2026</x:v>
      </x:c>
      <x:c r="C44" s="7" t="inlineStr">
        <x:is>
          <x:t xml:space="preserve">Jan</x:t>
        </x:is>
      </x:c>
      <x:c r="D44" s="7" t="inlineStr">
        <x:is>
          <x:t xml:space="preserve">MCS43</x:t>
        </x:is>
      </x:c>
      <x:c r="E44" s="6" t="inlineStr">
        <x:is>
          <x:t xml:space="preserve">Reconciliation of bank accounts</x:t>
        </x:is>
      </x:c>
      <x:c r="F44" s="6" t="inlineStr">
        <x:is>
          <x:t xml:space="preserve">Zainab Yunusah Saadu Daniel Banjo</x:t>
        </x:is>
      </x:c>
      <x:c r="G44" s="6" t="inlineStr">
        <x:is>
          <x:t xml:space="preserve"/>
        </x:is>
      </x:c>
      <x:c r="H44" s="7" t="inlineStr">
        <x:is>
          <x:t xml:space="preserve">Operating Effectiveness</x:t>
        </x:is>
      </x:c>
      <x:c r="I44" s="7" t="inlineStr">
        <x:is>
          <x:t xml:space="preserve"/>
        </x:is>
      </x:c>
      <x:c r="J44" s="8" t="n">
        <x:v>46037</x:v>
      </x:c>
      <x:c r="K44" s="7" t="inlineStr">
        <x:is>
          <x:t xml:space="preserve">Not Started</x:t>
        </x:is>
      </x:c>
      <x:c r="L44" s="7" t="inlineStr">
        <x:is>
          <x:t xml:space="preserve"/>
        </x:is>
      </x:c>
      <x:c r="M44" s="6" t="inlineStr">
        <x:is>
          <x:t xml:space="preserve"/>
        </x:is>
      </x:c>
    </x:row>
    <x:row r="45" ht="35" customHeight="1">
      <x:c r="A45" s="7" t="inlineStr">
        <x:is>
          <x:t xml:space="preserve">P202601-0044</x:t>
        </x:is>
      </x:c>
      <x:c r="B45" s="7" t="n">
        <x:v>2026</x:v>
      </x:c>
      <x:c r="C45" s="7" t="inlineStr">
        <x:is>
          <x:t xml:space="preserve">Jan</x:t>
        </x:is>
      </x:c>
      <x:c r="D45" s="7" t="inlineStr">
        <x:is>
          <x:t xml:space="preserve">MCS44</x:t>
        </x:is>
      </x:c>
      <x:c r="E45" s="6" t="inlineStr">
        <x:is>
          <x:t xml:space="preserve">Reconciliation of intercompany balances</x:t>
        </x:is>
      </x:c>
      <x:c r="F45" s="6" t="inlineStr">
        <x:is>
          <x:t xml:space="preserve">Zainab Yunusah Saadu Daniel Banjo</x:t>
        </x:is>
      </x:c>
      <x:c r="G45" s="6" t="inlineStr">
        <x:is>
          <x:t xml:space="preserve"/>
        </x:is>
      </x:c>
      <x:c r="H45" s="7" t="inlineStr">
        <x:is>
          <x:t xml:space="preserve">Operating Effectiveness</x:t>
        </x:is>
      </x:c>
      <x:c r="I45" s="7" t="inlineStr">
        <x:is>
          <x:t xml:space="preserve"/>
        </x:is>
      </x:c>
      <x:c r="J45" s="8" t="n">
        <x:v>46037</x:v>
      </x:c>
      <x:c r="K45" s="7" t="inlineStr">
        <x:is>
          <x:t xml:space="preserve">Not Started</x:t>
        </x:is>
      </x:c>
      <x:c r="L45" s="7" t="inlineStr">
        <x:is>
          <x:t xml:space="preserve"/>
        </x:is>
      </x:c>
      <x:c r="M45" s="6" t="inlineStr">
        <x:is>
          <x:t xml:space="preserve"/>
        </x:is>
      </x:c>
    </x:row>
    <x:row r="46" ht="35" customHeight="1">
      <x:c r="A46" s="7" t="inlineStr">
        <x:is>
          <x:t xml:space="preserve">P202601-0045</x:t>
        </x:is>
      </x:c>
      <x:c r="B46" s="7" t="n">
        <x:v>2026</x:v>
      </x:c>
      <x:c r="C46" s="7" t="inlineStr">
        <x:is>
          <x:t xml:space="preserve">Jan</x:t>
        </x:is>
      </x:c>
      <x:c r="D46" s="7" t="inlineStr">
        <x:is>
          <x:t xml:space="preserve">MCS45</x:t>
        </x:is>
      </x:c>
      <x:c r="E46" s="6" t="inlineStr">
        <x:is>
          <x:t xml:space="preserve">Manual journal entries</x:t>
        </x:is>
      </x:c>
      <x:c r="F46" s="6" t="inlineStr">
        <x:is>
          <x:t xml:space="preserve">Zainab Yunusah Saadu Daniel Banjo</x:t>
        </x:is>
      </x:c>
      <x:c r="G46" s="6" t="inlineStr">
        <x:is>
          <x:t xml:space="preserve"/>
        </x:is>
      </x:c>
      <x:c r="H46" s="7" t="inlineStr">
        <x:is>
          <x:t xml:space="preserve">Operating Effectiveness</x:t>
        </x:is>
      </x:c>
      <x:c r="I46" s="7" t="inlineStr">
        <x:is>
          <x:t xml:space="preserve"/>
        </x:is>
      </x:c>
      <x:c r="J46" s="8" t="n">
        <x:v>46037</x:v>
      </x:c>
      <x:c r="K46" s="7" t="inlineStr">
        <x:is>
          <x:t xml:space="preserve">Not Started</x:t>
        </x:is>
      </x:c>
      <x:c r="L46" s="7" t="inlineStr">
        <x:is>
          <x:t xml:space="preserve"/>
        </x:is>
      </x:c>
      <x:c r="M46" s="6" t="inlineStr">
        <x:is>
          <x:t xml:space="preserve"/>
        </x:is>
      </x:c>
    </x:row>
    <x:row r="47" ht="35" customHeight="1">
      <x:c r="A47" s="7" t="inlineStr">
        <x:is>
          <x:t xml:space="preserve">P202601-0046</x:t>
        </x:is>
      </x:c>
      <x:c r="B47" s="7" t="n">
        <x:v>2026</x:v>
      </x:c>
      <x:c r="C47" s="7" t="inlineStr">
        <x:is>
          <x:t xml:space="preserve">Jan</x:t>
        </x:is>
      </x:c>
      <x:c r="D47" s="7" t="inlineStr">
        <x:is>
          <x:t xml:space="preserve">MCS46</x:t>
        </x:is>
      </x:c>
      <x:c r="E47" s="6" t="inlineStr">
        <x:is>
          <x:t xml:space="preserve">Impairment of goodwill, intangible assets and tangible assets</x:t>
        </x:is>
      </x:c>
      <x:c r="F47" s="6" t="inlineStr">
        <x:is>
          <x:t xml:space="preserve">Zainab Yunusah Saadu Daniel Banjo</x:t>
        </x:is>
      </x:c>
      <x:c r="G47" s="6" t="inlineStr">
        <x:is>
          <x:t xml:space="preserve"/>
        </x:is>
      </x:c>
      <x:c r="H47" s="7" t="inlineStr">
        <x:is>
          <x:t xml:space="preserve">Operating Effectiveness</x:t>
        </x:is>
      </x:c>
      <x:c r="I47" s="7" t="inlineStr">
        <x:is>
          <x:t xml:space="preserve"/>
        </x:is>
      </x:c>
      <x:c r="J47" s="8" t="n">
        <x:v>46037</x:v>
      </x:c>
      <x:c r="K47" s="7" t="inlineStr">
        <x:is>
          <x:t xml:space="preserve">Not Started</x:t>
        </x:is>
      </x:c>
      <x:c r="L47" s="7" t="inlineStr">
        <x:is>
          <x:t xml:space="preserve"/>
        </x:is>
      </x:c>
      <x:c r="M47" s="6" t="inlineStr">
        <x:is>
          <x:t xml:space="preserve"/>
        </x:is>
      </x:c>
    </x:row>
    <x:row r="48" ht="35" customHeight="1">
      <x:c r="A48" s="7" t="inlineStr">
        <x:is>
          <x:t xml:space="preserve">P202601-0047</x:t>
        </x:is>
      </x:c>
      <x:c r="B48" s="7" t="n">
        <x:v>2026</x:v>
      </x:c>
      <x:c r="C48" s="7" t="inlineStr">
        <x:is>
          <x:t xml:space="preserve">Jan</x:t>
        </x:is>
      </x:c>
      <x:c r="D48" s="7" t="inlineStr">
        <x:is>
          <x:t xml:space="preserve">MCS47</x:t>
        </x:is>
      </x:c>
      <x:c r="E48" s="6" t="inlineStr">
        <x:is>
          <x:t xml:space="preserve">Transactions in a foreign currency</x:t>
        </x:is>
      </x:c>
      <x:c r="F48" s="6" t="inlineStr">
        <x:is>
          <x:t xml:space="preserve">Zainab Yunusah Saadu Daniel Banjo</x:t>
        </x:is>
      </x:c>
      <x:c r="G48" s="6" t="inlineStr">
        <x:is>
          <x:t xml:space="preserve"/>
        </x:is>
      </x:c>
      <x:c r="H48" s="7" t="inlineStr">
        <x:is>
          <x:t xml:space="preserve">Operating Effectiveness</x:t>
        </x:is>
      </x:c>
      <x:c r="I48" s="7" t="inlineStr">
        <x:is>
          <x:t xml:space="preserve"/>
        </x:is>
      </x:c>
      <x:c r="J48" s="8" t="n">
        <x:v>46037</x:v>
      </x:c>
      <x:c r="K48" s="7" t="inlineStr">
        <x:is>
          <x:t xml:space="preserve">Not Started</x:t>
        </x:is>
      </x:c>
      <x:c r="L48" s="7" t="inlineStr">
        <x:is>
          <x:t xml:space="preserve"/>
        </x:is>
      </x:c>
      <x:c r="M48" s="6" t="inlineStr">
        <x:is>
          <x:t xml:space="preserve"/>
        </x:is>
      </x:c>
    </x:row>
    <x:row r="49" ht="35" customHeight="1">
      <x:c r="A49" s="7" t="inlineStr">
        <x:is>
          <x:t xml:space="preserve">P202601-0048</x:t>
        </x:is>
      </x:c>
      <x:c r="B49" s="7" t="n">
        <x:v>2026</x:v>
      </x:c>
      <x:c r="C49" s="7" t="inlineStr">
        <x:is>
          <x:t xml:space="preserve">Jan</x:t>
        </x:is>
      </x:c>
      <x:c r="D49" s="7" t="inlineStr">
        <x:is>
          <x:t xml:space="preserve">MCS48</x:t>
        </x:is>
      </x:c>
      <x:c r="E49" s="6" t="inlineStr">
        <x:is>
          <x:t xml:space="preserve">Management of legal structure and consolidation hierarchy</x:t>
        </x:is>
      </x:c>
      <x:c r="F49" s="6" t="inlineStr">
        <x:is>
          <x:t xml:space="preserve">Zainab Yunusah Saadu Daniel Banjo</x:t>
        </x:is>
      </x:c>
      <x:c r="G49" s="6" t="inlineStr">
        <x:is>
          <x:t xml:space="preserve"/>
        </x:is>
      </x:c>
      <x:c r="H49" s="7" t="inlineStr">
        <x:is>
          <x:t xml:space="preserve">Operating Effectiveness</x:t>
        </x:is>
      </x:c>
      <x:c r="I49" s="7" t="inlineStr">
        <x:is>
          <x:t xml:space="preserve"/>
        </x:is>
      </x:c>
      <x:c r="J49" s="8" t="n">
        <x:v>46037</x:v>
      </x:c>
      <x:c r="K49" s="7" t="inlineStr">
        <x:is>
          <x:t xml:space="preserve">Not Started</x:t>
        </x:is>
      </x:c>
      <x:c r="L49" s="7" t="inlineStr">
        <x:is>
          <x:t xml:space="preserve"/>
        </x:is>
      </x:c>
      <x:c r="M49" s="6" t="inlineStr">
        <x:is>
          <x:t xml:space="preserve"/>
        </x:is>
      </x:c>
    </x:row>
    <x:row r="50" ht="35" customHeight="1">
      <x:c r="A50" s="7" t="inlineStr">
        <x:is>
          <x:t xml:space="preserve">P202601-0049</x:t>
        </x:is>
      </x:c>
      <x:c r="B50" s="7" t="n">
        <x:v>2026</x:v>
      </x:c>
      <x:c r="C50" s="7" t="inlineStr">
        <x:is>
          <x:t xml:space="preserve">Jan</x:t>
        </x:is>
      </x:c>
      <x:c r="D50" s="7" t="inlineStr">
        <x:is>
          <x:t xml:space="preserve">MCS49</x:t>
        </x:is>
      </x:c>
      <x:c r="E50" s="6" t="inlineStr">
        <x:is>
          <x:t xml:space="preserve">Consolidation of financial statement</x:t>
        </x:is>
      </x:c>
      <x:c r="F50" s="6" t="inlineStr">
        <x:is>
          <x:t xml:space="preserve">Zainab Yunusah Saadu Daniel Banjo</x:t>
        </x:is>
      </x:c>
      <x:c r="G50" s="6" t="inlineStr">
        <x:is>
          <x:t xml:space="preserve"/>
        </x:is>
      </x:c>
      <x:c r="H50" s="7" t="inlineStr">
        <x:is>
          <x:t xml:space="preserve">Operating Effectiveness</x:t>
        </x:is>
      </x:c>
      <x:c r="I50" s="7" t="inlineStr">
        <x:is>
          <x:t xml:space="preserve"/>
        </x:is>
      </x:c>
      <x:c r="J50" s="8" t="n">
        <x:v>46037</x:v>
      </x:c>
      <x:c r="K50" s="7" t="inlineStr">
        <x:is>
          <x:t xml:space="preserve">Not Started</x:t>
        </x:is>
      </x:c>
      <x:c r="L50" s="7" t="inlineStr">
        <x:is>
          <x:t xml:space="preserve"/>
        </x:is>
      </x:c>
      <x:c r="M50" s="6" t="inlineStr">
        <x:is>
          <x:t xml:space="preserve"/>
        </x:is>
      </x:c>
    </x:row>
    <x:row r="51" ht="35" customHeight="1">
      <x:c r="A51" s="7" t="inlineStr">
        <x:is>
          <x:t xml:space="preserve">P202601-0050</x:t>
        </x:is>
      </x:c>
      <x:c r="B51" s="7" t="n">
        <x:v>2026</x:v>
      </x:c>
      <x:c r="C51" s="7" t="inlineStr">
        <x:is>
          <x:t xml:space="preserve">Jan</x:t>
        </x:is>
      </x:c>
      <x:c r="D51" s="7" t="inlineStr">
        <x:is>
          <x:t xml:space="preserve">MCS50</x:t>
        </x:is>
      </x:c>
      <x:c r="E51" s="6" t="inlineStr">
        <x:is>
          <x:t xml:space="preserve">Statutory financial statements</x:t>
        </x:is>
      </x:c>
      <x:c r="F51" s="6" t="inlineStr">
        <x:is>
          <x:t xml:space="preserve">Zainab Yunusah Saadu Daniel Banjo</x:t>
        </x:is>
      </x:c>
      <x:c r="G51" s="6" t="inlineStr">
        <x:is>
          <x:t xml:space="preserve"/>
        </x:is>
      </x:c>
      <x:c r="H51" s="7" t="inlineStr">
        <x:is>
          <x:t xml:space="preserve">Operating Effectiveness</x:t>
        </x:is>
      </x:c>
      <x:c r="I51" s="7" t="inlineStr">
        <x:is>
          <x:t xml:space="preserve"/>
        </x:is>
      </x:c>
      <x:c r="J51" s="8" t="n">
        <x:v>46037</x:v>
      </x:c>
      <x:c r="K51" s="7" t="inlineStr">
        <x:is>
          <x:t xml:space="preserve">Not Started</x:t>
        </x:is>
      </x:c>
      <x:c r="L51" s="7" t="inlineStr">
        <x:is>
          <x:t xml:space="preserve"/>
        </x:is>
      </x:c>
      <x:c r="M51" s="6" t="inlineStr">
        <x:is>
          <x:t xml:space="preserve"/>
        </x:is>
      </x:c>
    </x:row>
    <x:row r="52" ht="35" customHeight="1">
      <x:c r="A52" s="7" t="inlineStr">
        <x:is>
          <x:t xml:space="preserve">P202601-0051</x:t>
        </x:is>
      </x:c>
      <x:c r="B52" s="7" t="n">
        <x:v>2026</x:v>
      </x:c>
      <x:c r="C52" s="7" t="inlineStr">
        <x:is>
          <x:t xml:space="preserve">Jan</x:t>
        </x:is>
      </x:c>
      <x:c r="D52" s="7" t="inlineStr">
        <x:is>
          <x:t xml:space="preserve">MCS51</x:t>
        </x:is>
      </x:c>
      <x:c r="E52" s="6" t="inlineStr">
        <x:is>
          <x:t xml:space="preserve">Tax risk assessment and reporting</x:t>
        </x:is>
      </x:c>
      <x:c r="F52" s="6" t="n"/>
      <x:c r="G52" s="6" t="inlineStr">
        <x:is>
          <x:t xml:space="preserve"/>
        </x:is>
      </x:c>
      <x:c r="H52" s="7" t="inlineStr">
        <x:is>
          <x:t xml:space="preserve">Operating Effectiveness</x:t>
        </x:is>
      </x:c>
      <x:c r="I52" s="7" t="inlineStr">
        <x:is>
          <x:t xml:space="preserve"/>
        </x:is>
      </x:c>
      <x:c r="J52" s="8" t="n">
        <x:v>46037</x:v>
      </x:c>
      <x:c r="K52" s="7" t="inlineStr">
        <x:is>
          <x:t xml:space="preserve">Not Started</x:t>
        </x:is>
      </x:c>
      <x:c r="L52" s="7" t="inlineStr">
        <x:is>
          <x:t xml:space="preserve"/>
        </x:is>
      </x:c>
      <x:c r="M52" s="6" t="inlineStr">
        <x:is>
          <x:t xml:space="preserve"/>
        </x:is>
      </x:c>
    </x:row>
    <x:row r="53" ht="35" customHeight="1">
      <x:c r="A53" s="7" t="inlineStr">
        <x:is>
          <x:t xml:space="preserve">P202601-0052</x:t>
        </x:is>
      </x:c>
      <x:c r="B53" s="7" t="n">
        <x:v>2026</x:v>
      </x:c>
      <x:c r="C53" s="7" t="inlineStr">
        <x:is>
          <x:t xml:space="preserve">Jan</x:t>
        </x:is>
      </x:c>
      <x:c r="D53" s="7" t="inlineStr">
        <x:is>
          <x:t xml:space="preserve">MCS52</x:t>
        </x:is>
      </x:c>
      <x:c r="E53" s="6" t="inlineStr">
        <x:is>
          <x:t xml:space="preserve">Tax filings and payments</x:t>
        </x:is>
      </x:c>
      <x:c r="F53" s="6" t="n"/>
      <x:c r="G53" s="6" t="inlineStr">
        <x:is>
          <x:t xml:space="preserve"/>
        </x:is>
      </x:c>
      <x:c r="H53" s="7" t="inlineStr">
        <x:is>
          <x:t xml:space="preserve">Operating Effectiveness</x:t>
        </x:is>
      </x:c>
      <x:c r="I53" s="7" t="inlineStr">
        <x:is>
          <x:t xml:space="preserve"/>
        </x:is>
      </x:c>
      <x:c r="J53" s="8" t="n">
        <x:v>46037</x:v>
      </x:c>
      <x:c r="K53" s="7" t="inlineStr">
        <x:is>
          <x:t xml:space="preserve">Not Started</x:t>
        </x:is>
      </x:c>
      <x:c r="L53" s="7" t="inlineStr">
        <x:is>
          <x:t xml:space="preserve"/>
        </x:is>
      </x:c>
      <x:c r="M53" s="6" t="inlineStr">
        <x:is>
          <x:t xml:space="preserve"/>
        </x:is>
      </x:c>
    </x:row>
    <x:row r="54" ht="35" customHeight="1">
      <x:c r="A54" s="7" t="inlineStr">
        <x:is>
          <x:t xml:space="preserve">P202601-0053</x:t>
        </x:is>
      </x:c>
      <x:c r="B54" s="7" t="n">
        <x:v>2026</x:v>
      </x:c>
      <x:c r="C54" s="7" t="inlineStr">
        <x:is>
          <x:t xml:space="preserve">Jan</x:t>
        </x:is>
      </x:c>
      <x:c r="D54" s="7" t="inlineStr">
        <x:is>
          <x:t xml:space="preserve">MCS53</x:t>
        </x:is>
      </x:c>
      <x:c r="E54" s="6" t="inlineStr">
        <x:is>
          <x:t xml:space="preserve">Deferred and current income tax calculations</x:t>
        </x:is>
      </x:c>
      <x:c r="F54" s="6" t="n"/>
      <x:c r="G54" s="6" t="inlineStr">
        <x:is>
          <x:t xml:space="preserve"/>
        </x:is>
      </x:c>
      <x:c r="H54" s="7" t="inlineStr">
        <x:is>
          <x:t xml:space="preserve">Operating Effectiveness</x:t>
        </x:is>
      </x:c>
      <x:c r="I54" s="7" t="inlineStr">
        <x:is>
          <x:t xml:space="preserve"/>
        </x:is>
      </x:c>
      <x:c r="J54" s="8" t="n">
        <x:v>46037</x:v>
      </x:c>
      <x:c r="K54" s="7" t="inlineStr">
        <x:is>
          <x:t xml:space="preserve">Not Started</x:t>
        </x:is>
      </x:c>
      <x:c r="L54" s="7" t="inlineStr">
        <x:is>
          <x:t xml:space="preserve"/>
        </x:is>
      </x:c>
      <x:c r="M54" s="6" t="inlineStr">
        <x:is>
          <x:t xml:space="preserve"/>
        </x:is>
      </x:c>
    </x:row>
    <x:row r="55" ht="35" customHeight="1">
      <x:c r="A55" s="7" t="inlineStr">
        <x:is>
          <x:t xml:space="preserve">P202601-0054</x:t>
        </x:is>
      </x:c>
      <x:c r="B55" s="7" t="n">
        <x:v>2026</x:v>
      </x:c>
      <x:c r="C55" s="7" t="inlineStr">
        <x:is>
          <x:t xml:space="preserve">Jan</x:t>
        </x:is>
      </x:c>
      <x:c r="D55" s="7" t="inlineStr">
        <x:is>
          <x:t xml:space="preserve">MCS54</x:t>
        </x:is>
      </x:c>
      <x:c r="E55" s="6" t="inlineStr">
        <x:is>
          <x:t xml:space="preserve">Transfer pricing</x:t>
        </x:is>
      </x:c>
      <x:c r="F55" s="6" t="n"/>
      <x:c r="G55" s="6" t="inlineStr">
        <x:is>
          <x:t xml:space="preserve"/>
        </x:is>
      </x:c>
      <x:c r="H55" s="7" t="inlineStr">
        <x:is>
          <x:t xml:space="preserve">Operating Effectiveness</x:t>
        </x:is>
      </x:c>
      <x:c r="I55" s="7" t="inlineStr">
        <x:is>
          <x:t xml:space="preserve"/>
        </x:is>
      </x:c>
      <x:c r="J55" s="8" t="n">
        <x:v>46037</x:v>
      </x:c>
      <x:c r="K55" s="7" t="inlineStr">
        <x:is>
          <x:t xml:space="preserve">Not Started</x:t>
        </x:is>
      </x:c>
      <x:c r="L55" s="7" t="inlineStr">
        <x:is>
          <x:t xml:space="preserve"/>
        </x:is>
      </x:c>
      <x:c r="M55" s="6" t="inlineStr">
        <x:is>
          <x:t xml:space="preserve"/>
        </x:is>
      </x:c>
    </x:row>
    <x:row r="56" ht="35" customHeight="1">
      <x:c r="A56" s="7" t="inlineStr">
        <x:is>
          <x:t xml:space="preserve">P202601-0055</x:t>
        </x:is>
      </x:c>
      <x:c r="B56" s="7" t="n">
        <x:v>2026</x:v>
      </x:c>
      <x:c r="C56" s="7" t="inlineStr">
        <x:is>
          <x:t xml:space="preserve">Jan</x:t>
        </x:is>
      </x:c>
      <x:c r="D56" s="7" t="inlineStr">
        <x:is>
          <x:t xml:space="preserve">MCS55</x:t>
        </x:is>
      </x:c>
      <x:c r="E56" s="6" t="inlineStr">
        <x:is>
          <x:t xml:space="preserve">Non-income (indirect) taxes</x:t>
        </x:is>
      </x:c>
      <x:c r="F56" s="6" t="n"/>
      <x:c r="G56" s="6" t="inlineStr">
        <x:is>
          <x:t xml:space="preserve"/>
        </x:is>
      </x:c>
      <x:c r="H56" s="7" t="inlineStr">
        <x:is>
          <x:t xml:space="preserve">Operating Effectiveness</x:t>
        </x:is>
      </x:c>
      <x:c r="I56" s="7" t="inlineStr">
        <x:is>
          <x:t xml:space="preserve"/>
        </x:is>
      </x:c>
      <x:c r="J56" s="8" t="n">
        <x:v>46037</x:v>
      </x:c>
      <x:c r="K56" s="7" t="inlineStr">
        <x:is>
          <x:t xml:space="preserve">Not Started</x:t>
        </x:is>
      </x:c>
      <x:c r="L56" s="7" t="inlineStr">
        <x:is>
          <x:t xml:space="preserve"/>
        </x:is>
      </x:c>
      <x:c r="M56" s="6" t="inlineStr">
        <x:is>
          <x:t xml:space="preserve"/>
        </x:is>
      </x:c>
    </x:row>
    <x:row r="57" ht="35" customHeight="1">
      <x:c r="A57" s="7" t="inlineStr">
        <x:is>
          <x:t xml:space="preserve">P202601-0056</x:t>
        </x:is>
      </x:c>
      <x:c r="B57" s="7" t="n">
        <x:v>2026</x:v>
      </x:c>
      <x:c r="C57" s="7" t="inlineStr">
        <x:is>
          <x:t xml:space="preserve">Jan</x:t>
        </x:is>
      </x:c>
      <x:c r="D57" s="7" t="inlineStr">
        <x:is>
          <x:t xml:space="preserve">MCS56</x:t>
        </x:is>
      </x:c>
      <x:c r="E57" s="6" t="inlineStr">
        <x:is>
          <x:t xml:space="preserve">Bank relations</x:t>
        </x:is>
      </x:c>
      <x:c r="F57" s="6" t="n"/>
      <x:c r="G57" s="6" t="inlineStr">
        <x:is>
          <x:t xml:space="preserve"/>
        </x:is>
      </x:c>
      <x:c r="H57" s="7" t="inlineStr">
        <x:is>
          <x:t xml:space="preserve">Operating Effectiveness</x:t>
        </x:is>
      </x:c>
      <x:c r="I57" s="7" t="inlineStr">
        <x:is>
          <x:t xml:space="preserve"/>
        </x:is>
      </x:c>
      <x:c r="J57" s="8" t="n">
        <x:v>46037</x:v>
      </x:c>
      <x:c r="K57" s="7" t="inlineStr">
        <x:is>
          <x:t xml:space="preserve">Not Started</x:t>
        </x:is>
      </x:c>
      <x:c r="L57" s="7" t="inlineStr">
        <x:is>
          <x:t xml:space="preserve"/>
        </x:is>
      </x:c>
      <x:c r="M57" s="6" t="inlineStr">
        <x:is>
          <x:t xml:space="preserve"/>
        </x:is>
      </x:c>
    </x:row>
    <x:row r="58" ht="35" customHeight="1">
      <x:c r="A58" s="7" t="inlineStr">
        <x:is>
          <x:t xml:space="preserve">P202601-0057</x:t>
        </x:is>
      </x:c>
      <x:c r="B58" s="7" t="n">
        <x:v>2026</x:v>
      </x:c>
      <x:c r="C58" s="7" t="inlineStr">
        <x:is>
          <x:t xml:space="preserve">Jan</x:t>
        </x:is>
      </x:c>
      <x:c r="D58" s="7" t="inlineStr">
        <x:is>
          <x:t xml:space="preserve">MCS57</x:t>
        </x:is>
      </x:c>
      <x:c r="E58" s="6" t="inlineStr">
        <x:is>
          <x:t xml:space="preserve">Cash transactions are not permitted without Regional Controller approval</x:t>
        </x:is>
      </x:c>
      <x:c r="F58" s="6" t="n"/>
      <x:c r="G58" s="6" t="inlineStr">
        <x:is>
          <x:t xml:space="preserve"/>
        </x:is>
      </x:c>
      <x:c r="H58" s="7" t="inlineStr">
        <x:is>
          <x:t xml:space="preserve">Operating Effectiveness</x:t>
        </x:is>
      </x:c>
      <x:c r="I58" s="7" t="inlineStr">
        <x:is>
          <x:t xml:space="preserve"/>
        </x:is>
      </x:c>
      <x:c r="J58" s="8" t="n">
        <x:v>46037</x:v>
      </x:c>
      <x:c r="K58" s="7" t="inlineStr">
        <x:is>
          <x:t xml:space="preserve">Not Started</x:t>
        </x:is>
      </x:c>
      <x:c r="L58" s="7" t="inlineStr">
        <x:is>
          <x:t xml:space="preserve"/>
        </x:is>
      </x:c>
      <x:c r="M58" s="6" t="inlineStr">
        <x:is>
          <x:t xml:space="preserve"/>
        </x:is>
      </x:c>
    </x:row>
    <x:row r="59" ht="35" customHeight="1">
      <x:c r="A59" s="7" t="inlineStr">
        <x:is>
          <x:t xml:space="preserve">P202601-0058</x:t>
        </x:is>
      </x:c>
      <x:c r="B59" s="7" t="n">
        <x:v>2026</x:v>
      </x:c>
      <x:c r="C59" s="7" t="inlineStr">
        <x:is>
          <x:t xml:space="preserve">Jan</x:t>
        </x:is>
      </x:c>
      <x:c r="D59" s="7" t="inlineStr">
        <x:is>
          <x:t xml:space="preserve">MCS58</x:t>
        </x:is>
      </x:c>
      <x:c r="E59" s="6" t="inlineStr">
        <x:is>
          <x:t xml:space="preserve">Secure payment means</x:t>
        </x:is>
      </x:c>
      <x:c r="F59" s="6" t="n"/>
      <x:c r="G59" s="6" t="inlineStr">
        <x:is>
          <x:t xml:space="preserve"/>
        </x:is>
      </x:c>
      <x:c r="H59" s="7" t="inlineStr">
        <x:is>
          <x:t xml:space="preserve">Operating Effectiveness</x:t>
        </x:is>
      </x:c>
      <x:c r="I59" s="7" t="inlineStr">
        <x:is>
          <x:t xml:space="preserve"/>
        </x:is>
      </x:c>
      <x:c r="J59" s="8" t="n">
        <x:v>46037</x:v>
      </x:c>
      <x:c r="K59" s="7" t="inlineStr">
        <x:is>
          <x:t xml:space="preserve">Not Started</x:t>
        </x:is>
      </x:c>
      <x:c r="L59" s="7" t="inlineStr">
        <x:is>
          <x:t xml:space="preserve"/>
        </x:is>
      </x:c>
      <x:c r="M59" s="6" t="inlineStr">
        <x:is>
          <x:t xml:space="preserve"/>
        </x:is>
      </x:c>
    </x:row>
    <x:row r="60" ht="35" customHeight="1">
      <x:c r="A60" s="7" t="inlineStr">
        <x:is>
          <x:t xml:space="preserve">P202601-0059</x:t>
        </x:is>
      </x:c>
      <x:c r="B60" s="7" t="n">
        <x:v>2026</x:v>
      </x:c>
      <x:c r="C60" s="7" t="inlineStr">
        <x:is>
          <x:t xml:space="preserve">Jan</x:t>
        </x:is>
      </x:c>
      <x:c r="D60" s="7" t="inlineStr">
        <x:is>
          <x:t xml:space="preserve">MCS59</x:t>
        </x:is>
      </x:c>
      <x:c r="E60" s="6" t="inlineStr">
        <x:is>
          <x:t xml:space="preserve">Financial instruments, borrowings, commitments and working capital schemes</x:t>
        </x:is>
      </x:c>
      <x:c r="F60" s="6" t="n"/>
      <x:c r="G60" s="6" t="inlineStr">
        <x:is>
          <x:t xml:space="preserve"/>
        </x:is>
      </x:c>
      <x:c r="H60" s="7" t="inlineStr">
        <x:is>
          <x:t xml:space="preserve">Operating Effectiveness</x:t>
        </x:is>
      </x:c>
      <x:c r="I60" s="7" t="inlineStr">
        <x:is>
          <x:t xml:space="preserve"/>
        </x:is>
      </x:c>
      <x:c r="J60" s="8" t="n">
        <x:v>46037</x:v>
      </x:c>
      <x:c r="K60" s="7" t="inlineStr">
        <x:is>
          <x:t xml:space="preserve">Not Started</x:t>
        </x:is>
      </x:c>
      <x:c r="L60" s="7" t="inlineStr">
        <x:is>
          <x:t xml:space="preserve"/>
        </x:is>
      </x:c>
      <x:c r="M60" s="6" t="inlineStr">
        <x:is>
          <x:t xml:space="preserve"/>
        </x:is>
      </x:c>
    </x:row>
    <x:row r="61" ht="35" customHeight="1">
      <x:c r="A61" s="7" t="inlineStr">
        <x:is>
          <x:t xml:space="preserve">P202601-0060</x:t>
        </x:is>
      </x:c>
      <x:c r="B61" s="7" t="n">
        <x:v>2026</x:v>
      </x:c>
      <x:c r="C61" s="7" t="inlineStr">
        <x:is>
          <x:t xml:space="preserve">Jan</x:t>
        </x:is>
      </x:c>
      <x:c r="D61" s="7" t="inlineStr">
        <x:is>
          <x:t xml:space="preserve">MCS60</x:t>
        </x:is>
      </x:c>
      <x:c r="E61" s="6" t="inlineStr">
        <x:is>
          <x:t xml:space="preserve">Forex, interest rate, commodities risks monitoring and hedging</x:t>
        </x:is>
      </x:c>
      <x:c r="F61" s="6" t="n"/>
      <x:c r="G61" s="6" t="inlineStr">
        <x:is>
          <x:t xml:space="preserve"/>
        </x:is>
      </x:c>
      <x:c r="H61" s="7" t="inlineStr">
        <x:is>
          <x:t xml:space="preserve">Operating Effectiveness</x:t>
        </x:is>
      </x:c>
      <x:c r="I61" s="7" t="inlineStr">
        <x:is>
          <x:t xml:space="preserve"/>
        </x:is>
      </x:c>
      <x:c r="J61" s="8" t="n">
        <x:v>46037</x:v>
      </x:c>
      <x:c r="K61" s="7" t="inlineStr">
        <x:is>
          <x:t xml:space="preserve">Not Started</x:t>
        </x:is>
      </x:c>
      <x:c r="L61" s="7" t="inlineStr">
        <x:is>
          <x:t xml:space="preserve"/>
        </x:is>
      </x:c>
      <x:c r="M61" s="6" t="inlineStr">
        <x:is>
          <x:t xml:space="preserve"/>
        </x:is>
      </x:c>
    </x:row>
    <x:row r="62" ht="35" customHeight="1">
      <x:c r="A62" s="7" t="inlineStr">
        <x:is>
          <x:t xml:space="preserve">P202602-0061</x:t>
        </x:is>
      </x:c>
      <x:c r="B62" s="7" t="n">
        <x:v>2026</x:v>
      </x:c>
      <x:c r="C62" s="7" t="inlineStr">
        <x:is>
          <x:t xml:space="preserve">Feb</x:t>
        </x:is>
      </x:c>
      <x:c r="D62" s="7" t="inlineStr">
        <x:is>
          <x:t xml:space="preserve">MCS01</x:t>
        </x:is>
      </x:c>
      <x:c r="E62" s="6" t="inlineStr">
        <x:is>
          <x:t xml:space="preserve">Communication and promotion of the Code of Business Conduct and speak-up culture</x:t>
        </x:is>
      </x:c>
      <x:c r="F62" s="6" t="inlineStr">
        <x:is>
          <x:t xml:space="preserve">Omoyemi Tuga Olamide Ayo-Ogunlade </x:t>
        </x:is>
      </x:c>
      <x:c r="G62" s="6" t="inlineStr">
        <x:is>
          <x:t xml:space="preserve"/>
        </x:is>
      </x:c>
      <x:c r="H62" s="7" t="inlineStr">
        <x:is>
          <x:t xml:space="preserve">Operating Effectiveness</x:t>
        </x:is>
      </x:c>
      <x:c r="I62" s="7" t="inlineStr">
        <x:is>
          <x:t xml:space="preserve"/>
        </x:is>
      </x:c>
      <x:c r="J62" s="8" t="n">
        <x:v>46068</x:v>
      </x:c>
      <x:c r="K62" s="7" t="inlineStr">
        <x:is>
          <x:t xml:space="preserve">Not Started</x:t>
        </x:is>
      </x:c>
      <x:c r="L62" s="7" t="inlineStr">
        <x:is>
          <x:t xml:space="preserve"/>
        </x:is>
      </x:c>
      <x:c r="M62" s="6" t="inlineStr">
        <x:is>
          <x:t xml:space="preserve"/>
        </x:is>
      </x:c>
    </x:row>
    <x:row r="63" ht="35" customHeight="1">
      <x:c r="A63" s="7" t="inlineStr">
        <x:is>
          <x:t xml:space="preserve">P202602-0062</x:t>
        </x:is>
      </x:c>
      <x:c r="B63" s="7" t="n">
        <x:v>2026</x:v>
      </x:c>
      <x:c r="C63" s="7" t="inlineStr">
        <x:is>
          <x:t xml:space="preserve">Feb</x:t>
        </x:is>
      </x:c>
      <x:c r="D63" s="7" t="inlineStr">
        <x:is>
          <x:t xml:space="preserve">MCS02</x:t>
        </x:is>
      </x:c>
      <x:c r="E63" s="6" t="inlineStr">
        <x:is>
          <x:t xml:space="preserve">Compliance with Fair Competition laws and requirements</x:t>
        </x:is>
      </x:c>
      <x:c r="F63" s="6" t="inlineStr">
        <x:is>
          <x:t xml:space="preserve">Mary Waititu</x:t>
        </x:is>
      </x:c>
      <x:c r="G63" s="6" t="inlineStr">
        <x:is>
          <x:t xml:space="preserve"/>
        </x:is>
      </x:c>
      <x:c r="H63" s="7" t="inlineStr">
        <x:is>
          <x:t xml:space="preserve">Operating Effectiveness</x:t>
        </x:is>
      </x:c>
      <x:c r="I63" s="7" t="inlineStr">
        <x:is>
          <x:t xml:space="preserve"/>
        </x:is>
      </x:c>
      <x:c r="J63" s="8" t="n">
        <x:v>46068</x:v>
      </x:c>
      <x:c r="K63" s="7" t="inlineStr">
        <x:is>
          <x:t xml:space="preserve">Not Started</x:t>
        </x:is>
      </x:c>
      <x:c r="L63" s="7" t="inlineStr">
        <x:is>
          <x:t xml:space="preserve"/>
        </x:is>
      </x:c>
      <x:c r="M63" s="6" t="inlineStr">
        <x:is>
          <x:t xml:space="preserve"/>
        </x:is>
      </x:c>
    </x:row>
    <x:row r="64" ht="35" customHeight="1">
      <x:c r="A64" s="7" t="inlineStr">
        <x:is>
          <x:t xml:space="preserve">P202602-0063</x:t>
        </x:is>
      </x:c>
      <x:c r="B64" s="7" t="n">
        <x:v>2026</x:v>
      </x:c>
      <x:c r="C64" s="7" t="inlineStr">
        <x:is>
          <x:t xml:space="preserve">Feb</x:t>
        </x:is>
      </x:c>
      <x:c r="D64" s="7" t="inlineStr">
        <x:is>
          <x:t xml:space="preserve">MCS03</x:t>
        </x:is>
      </x:c>
      <x:c r="E64" s="6" t="inlineStr">
        <x:is>
          <x:t xml:space="preserve">Related party transactions and conflict of interests</x:t>
        </x:is>
      </x:c>
      <x:c r="F64" s="6" t="inlineStr">
        <x:is>
          <x:t xml:space="preserve">Mary Waititu Godson Iwuozo</x:t>
        </x:is>
      </x:c>
      <x:c r="G64" s="6" t="inlineStr">
        <x:is>
          <x:t xml:space="preserve"/>
        </x:is>
      </x:c>
      <x:c r="H64" s="7" t="inlineStr">
        <x:is>
          <x:t xml:space="preserve">Operating Effectiveness</x:t>
        </x:is>
      </x:c>
      <x:c r="I64" s="7" t="inlineStr">
        <x:is>
          <x:t xml:space="preserve"/>
        </x:is>
      </x:c>
      <x:c r="J64" s="8" t="n">
        <x:v>46068</x:v>
      </x:c>
      <x:c r="K64" s="7" t="inlineStr">
        <x:is>
          <x:t xml:space="preserve">Not Started</x:t>
        </x:is>
      </x:c>
      <x:c r="L64" s="7" t="inlineStr">
        <x:is>
          <x:t xml:space="preserve"/>
        </x:is>
      </x:c>
      <x:c r="M64" s="6" t="inlineStr">
        <x:is>
          <x:t xml:space="preserve"/>
        </x:is>
      </x:c>
    </x:row>
    <x:row r="65" ht="35" customHeight="1">
      <x:c r="A65" s="7" t="inlineStr">
        <x:is>
          <x:t xml:space="preserve">P202602-0064</x:t>
        </x:is>
      </x:c>
      <x:c r="B65" s="7" t="n">
        <x:v>2026</x:v>
      </x:c>
      <x:c r="C65" s="7" t="inlineStr">
        <x:is>
          <x:t xml:space="preserve">Feb</x:t>
        </x:is>
      </x:c>
      <x:c r="D65" s="7" t="inlineStr">
        <x:is>
          <x:t xml:space="preserve">MCS04</x:t>
        </x:is>
      </x:c>
      <x:c r="E65" s="6" t="inlineStr">
        <x:is>
          <x:t xml:space="preserve">Board of Directors secretarial requirements</x:t>
        </x:is>
      </x:c>
      <x:c r="F65" s="6" t="inlineStr">
        <x:is>
          <x:t xml:space="preserve">Mary Waititu Godson Iwuozo</x:t>
        </x:is>
      </x:c>
      <x:c r="G65" s="6" t="inlineStr">
        <x:is>
          <x:t xml:space="preserve"/>
        </x:is>
      </x:c>
      <x:c r="H65" s="7" t="inlineStr">
        <x:is>
          <x:t xml:space="preserve">Operating Effectiveness</x:t>
        </x:is>
      </x:c>
      <x:c r="I65" s="7" t="inlineStr">
        <x:is>
          <x:t xml:space="preserve"/>
        </x:is>
      </x:c>
      <x:c r="J65" s="8" t="n">
        <x:v>46068</x:v>
      </x:c>
      <x:c r="K65" s="7" t="inlineStr">
        <x:is>
          <x:t xml:space="preserve">Not Started</x:t>
        </x:is>
      </x:c>
      <x:c r="L65" s="7" t="inlineStr">
        <x:is>
          <x:t xml:space="preserve"/>
        </x:is>
      </x:c>
      <x:c r="M65" s="6" t="inlineStr">
        <x:is>
          <x:t xml:space="preserve"/>
        </x:is>
      </x:c>
    </x:row>
    <x:row r="66" ht="35" customHeight="1">
      <x:c r="A66" s="7" t="inlineStr">
        <x:is>
          <x:t xml:space="preserve">P202602-0065</x:t>
        </x:is>
      </x:c>
      <x:c r="B66" s="7" t="n">
        <x:v>2026</x:v>
      </x:c>
      <x:c r="C66" s="7" t="inlineStr">
        <x:is>
          <x:t xml:space="preserve">Feb</x:t>
        </x:is>
      </x:c>
      <x:c r="D66" s="7" t="inlineStr">
        <x:is>
          <x:t xml:space="preserve">MCS05</x:t>
        </x:is>
      </x:c>
      <x:c r="E66" s="6" t="inlineStr">
        <x:is>
          <x:t xml:space="preserve">Health, Safety &amp; Environment</x:t>
        </x:is>
      </x:c>
      <x:c r="F66" s="6" t="inlineStr">
        <x:is>
          <x:t xml:space="preserve">Omoyemi Tuga Yomi Jegede</x:t>
        </x:is>
      </x:c>
      <x:c r="G66" s="6" t="inlineStr">
        <x:is>
          <x:t xml:space="preserve"/>
        </x:is>
      </x:c>
      <x:c r="H66" s="7" t="inlineStr">
        <x:is>
          <x:t xml:space="preserve">Operating Effectiveness</x:t>
        </x:is>
      </x:c>
      <x:c r="I66" s="7" t="inlineStr">
        <x:is>
          <x:t xml:space="preserve"/>
        </x:is>
      </x:c>
      <x:c r="J66" s="8" t="n">
        <x:v>46068</x:v>
      </x:c>
      <x:c r="K66" s="7" t="inlineStr">
        <x:is>
          <x:t xml:space="preserve">Not Started</x:t>
        </x:is>
      </x:c>
      <x:c r="L66" s="7" t="inlineStr">
        <x:is>
          <x:t xml:space="preserve"/>
        </x:is>
      </x:c>
      <x:c r="M66" s="6" t="inlineStr">
        <x:is>
          <x:t xml:space="preserve"/>
        </x:is>
      </x:c>
    </x:row>
    <x:row r="67" ht="35" customHeight="1">
      <x:c r="A67" s="7" t="inlineStr">
        <x:is>
          <x:t xml:space="preserve">P202602-0066</x:t>
        </x:is>
      </x:c>
      <x:c r="B67" s="7" t="n">
        <x:v>2026</x:v>
      </x:c>
      <x:c r="C67" s="7" t="inlineStr">
        <x:is>
          <x:t xml:space="preserve">Feb</x:t>
        </x:is>
      </x:c>
      <x:c r="D67" s="7" t="inlineStr">
        <x:is>
          <x:t xml:space="preserve">MCS06</x:t>
        </x:is>
      </x:c>
      <x:c r="E67" s="6" t="inlineStr">
        <x:is>
          <x:t xml:space="preserve">Risk assessment</x:t>
        </x:is>
      </x:c>
      <x:c r="F67" s="6" t="inlineStr">
        <x:is>
          <x:t xml:space="preserve">Oluwaseun Oyedepo</x:t>
        </x:is>
      </x:c>
      <x:c r="G67" s="6" t="inlineStr">
        <x:is>
          <x:t xml:space="preserve"/>
        </x:is>
      </x:c>
      <x:c r="H67" s="7" t="inlineStr">
        <x:is>
          <x:t xml:space="preserve">Operating Effectiveness</x:t>
        </x:is>
      </x:c>
      <x:c r="I67" s="7" t="inlineStr">
        <x:is>
          <x:t xml:space="preserve"/>
        </x:is>
      </x:c>
      <x:c r="J67" s="8" t="n">
        <x:v>46068</x:v>
      </x:c>
      <x:c r="K67" s="7" t="inlineStr">
        <x:is>
          <x:t xml:space="preserve">Not Started</x:t>
        </x:is>
      </x:c>
      <x:c r="L67" s="7" t="inlineStr">
        <x:is>
          <x:t xml:space="preserve"/>
        </x:is>
      </x:c>
      <x:c r="M67" s="6" t="inlineStr">
        <x:is>
          <x:t xml:space="preserve"/>
        </x:is>
      </x:c>
    </x:row>
    <x:row r="68" ht="35" customHeight="1">
      <x:c r="A68" s="7" t="inlineStr">
        <x:is>
          <x:t xml:space="preserve">P202602-0067</x:t>
        </x:is>
      </x:c>
      <x:c r="B68" s="7" t="n">
        <x:v>2026</x:v>
      </x:c>
      <x:c r="C68" s="7" t="inlineStr">
        <x:is>
          <x:t xml:space="preserve">Feb</x:t>
        </x:is>
      </x:c>
      <x:c r="D68" s="7" t="inlineStr">
        <x:is>
          <x:t xml:space="preserve">MCS07</x:t>
        </x:is>
      </x:c>
      <x:c r="E68" s="6" t="inlineStr">
        <x:is>
          <x:t xml:space="preserve">Mitigation of business risks - Security</x:t>
        </x:is>
      </x:c>
      <x:c r="F68" s="6" t="inlineStr">
        <x:is>
          <x:t xml:space="preserve">Olamide Ayo-Ogunlade Obinna Ojimba</x:t>
        </x:is>
      </x:c>
      <x:c r="G68" s="6" t="inlineStr">
        <x:is>
          <x:t xml:space="preserve"/>
        </x:is>
      </x:c>
      <x:c r="H68" s="7" t="inlineStr">
        <x:is>
          <x:t xml:space="preserve">Operating Effectiveness</x:t>
        </x:is>
      </x:c>
      <x:c r="I68" s="7" t="inlineStr">
        <x:is>
          <x:t xml:space="preserve"/>
        </x:is>
      </x:c>
      <x:c r="J68" s="8" t="n">
        <x:v>46068</x:v>
      </x:c>
      <x:c r="K68" s="7" t="inlineStr">
        <x:is>
          <x:t xml:space="preserve">Not Started</x:t>
        </x:is>
      </x:c>
      <x:c r="L68" s="7" t="inlineStr">
        <x:is>
          <x:t xml:space="preserve"/>
        </x:is>
      </x:c>
      <x:c r="M68" s="6" t="inlineStr">
        <x:is>
          <x:t xml:space="preserve"/>
        </x:is>
      </x:c>
    </x:row>
    <x:row r="69" ht="35" customHeight="1">
      <x:c r="A69" s="7" t="inlineStr">
        <x:is>
          <x:t xml:space="preserve">P202602-0068</x:t>
        </x:is>
      </x:c>
      <x:c r="B69" s="7" t="n">
        <x:v>2026</x:v>
      </x:c>
      <x:c r="C69" s="7" t="inlineStr">
        <x:is>
          <x:t xml:space="preserve">Feb</x:t>
        </x:is>
      </x:c>
      <x:c r="D69" s="7" t="inlineStr">
        <x:is>
          <x:t xml:space="preserve">MCS08</x:t>
        </x:is>
      </x:c>
      <x:c r="E69" s="6" t="inlineStr">
        <x:is>
          <x:t xml:space="preserve">Mitigation of business risks - Group insurance</x:t>
        </x:is>
      </x:c>
      <x:c r="F69" s="6" t="inlineStr">
        <x:is>
          <x:t xml:space="preserve">Victory Olumuyiwa</x:t>
        </x:is>
      </x:c>
      <x:c r="G69" s="6" t="inlineStr">
        <x:is>
          <x:t xml:space="preserve"/>
        </x:is>
      </x:c>
      <x:c r="H69" s="7" t="inlineStr">
        <x:is>
          <x:t xml:space="preserve">Operating Effectiveness</x:t>
        </x:is>
      </x:c>
      <x:c r="I69" s="7" t="inlineStr">
        <x:is>
          <x:t xml:space="preserve"/>
        </x:is>
      </x:c>
      <x:c r="J69" s="8" t="n">
        <x:v>46068</x:v>
      </x:c>
      <x:c r="K69" s="7" t="inlineStr">
        <x:is>
          <x:t xml:space="preserve">Not Started</x:t>
        </x:is>
      </x:c>
      <x:c r="L69" s="7" t="inlineStr">
        <x:is>
          <x:t xml:space="preserve"/>
        </x:is>
      </x:c>
      <x:c r="M69" s="6" t="inlineStr">
        <x:is>
          <x:t xml:space="preserve"/>
        </x:is>
      </x:c>
    </x:row>
    <x:row r="70" ht="35" customHeight="1">
      <x:c r="A70" s="7" t="inlineStr">
        <x:is>
          <x:t xml:space="preserve">P202602-0069</x:t>
        </x:is>
      </x:c>
      <x:c r="B70" s="7" t="n">
        <x:v>2026</x:v>
      </x:c>
      <x:c r="C70" s="7" t="inlineStr">
        <x:is>
          <x:t xml:space="preserve">Feb</x:t>
        </x:is>
      </x:c>
      <x:c r="D70" s="7" t="inlineStr">
        <x:is>
          <x:t xml:space="preserve">MCS09</x:t>
        </x:is>
      </x:c>
      <x:c r="E70" s="6" t="inlineStr">
        <x:is>
          <x:t xml:space="preserve">Mitigation of business risks - Business Resilience System</x:t>
        </x:is>
      </x:c>
      <x:c r="F70" s="6" t="inlineStr">
        <x:is>
          <x:t xml:space="preserve">Oluwaseun Oyedepo</x:t>
        </x:is>
      </x:c>
      <x:c r="G70" s="6" t="inlineStr">
        <x:is>
          <x:t xml:space="preserve"/>
        </x:is>
      </x:c>
      <x:c r="H70" s="7" t="inlineStr">
        <x:is>
          <x:t xml:space="preserve">Operating Effectiveness</x:t>
        </x:is>
      </x:c>
      <x:c r="I70" s="7" t="inlineStr">
        <x:is>
          <x:t xml:space="preserve"/>
        </x:is>
      </x:c>
      <x:c r="J70" s="8" t="n">
        <x:v>46068</x:v>
      </x:c>
      <x:c r="K70" s="7" t="inlineStr">
        <x:is>
          <x:t xml:space="preserve">Not Started</x:t>
        </x:is>
      </x:c>
      <x:c r="L70" s="7" t="inlineStr">
        <x:is>
          <x:t xml:space="preserve"/>
        </x:is>
      </x:c>
      <x:c r="M70" s="6" t="inlineStr">
        <x:is>
          <x:t xml:space="preserve"/>
        </x:is>
      </x:c>
    </x:row>
    <x:row r="71" ht="35" customHeight="1">
      <x:c r="A71" s="7" t="inlineStr">
        <x:is>
          <x:t xml:space="preserve">P202602-0070</x:t>
        </x:is>
      </x:c>
      <x:c r="B71" s="7" t="n">
        <x:v>2026</x:v>
      </x:c>
      <x:c r="C71" s="7" t="inlineStr">
        <x:is>
          <x:t xml:space="preserve">Feb</x:t>
        </x:is>
      </x:c>
      <x:c r="D71" s="7" t="inlineStr">
        <x:is>
          <x:t xml:space="preserve">MCS10</x:t>
        </x:is>
      </x:c>
      <x:c r="E71" s="6" t="inlineStr">
        <x:is>
          <x:t xml:space="preserve">Mitigation of business risks - Remediation of deficiencies and non-compliance with MCS</x:t>
        </x:is>
      </x:c>
      <x:c r="F71" s="6" t="inlineStr">
        <x:is>
          <x:t xml:space="preserve">Oluwaseun Oyedepo</x:t>
        </x:is>
      </x:c>
      <x:c r="G71" s="6" t="inlineStr">
        <x:is>
          <x:t xml:space="preserve"/>
        </x:is>
      </x:c>
      <x:c r="H71" s="7" t="inlineStr">
        <x:is>
          <x:t xml:space="preserve">Operating Effectiveness</x:t>
        </x:is>
      </x:c>
      <x:c r="I71" s="7" t="inlineStr">
        <x:is>
          <x:t xml:space="preserve"/>
        </x:is>
      </x:c>
      <x:c r="J71" s="8" t="n">
        <x:v>46068</x:v>
      </x:c>
      <x:c r="K71" s="7" t="inlineStr">
        <x:is>
          <x:t xml:space="preserve">Not Started</x:t>
        </x:is>
      </x:c>
      <x:c r="L71" s="7" t="inlineStr">
        <x:is>
          <x:t xml:space="preserve"/>
        </x:is>
      </x:c>
      <x:c r="M71" s="6" t="inlineStr">
        <x:is>
          <x:t xml:space="preserve"/>
        </x:is>
      </x:c>
    </x:row>
    <x:row r="72" ht="35" customHeight="1">
      <x:c r="A72" s="7" t="inlineStr">
        <x:is>
          <x:t xml:space="preserve">P202602-0071</x:t>
        </x:is>
      </x:c>
      <x:c r="B72" s="7" t="n">
        <x:v>2026</x:v>
      </x:c>
      <x:c r="C72" s="7" t="inlineStr">
        <x:is>
          <x:t xml:space="preserve">Feb</x:t>
        </x:is>
      </x:c>
      <x:c r="D72" s="7" t="inlineStr">
        <x:is>
          <x:t xml:space="preserve">MCS11</x:t>
        </x:is>
      </x:c>
      <x:c r="E72" s="6" t="inlineStr">
        <x:is>
          <x:t xml:space="preserve">Personal data protection</x:t>
        </x:is>
      </x:c>
      <x:c r="F72" s="6" t="inlineStr">
        <x:is>
          <x:t xml:space="preserve">Olamide Ayo-Ogunlade @</x:t>
        </x:is>
      </x:c>
      <x:c r="G72" s="6" t="inlineStr">
        <x:is>
          <x:t xml:space="preserve"/>
        </x:is>
      </x:c>
      <x:c r="H72" s="7" t="inlineStr">
        <x:is>
          <x:t xml:space="preserve">Operating Effectiveness</x:t>
        </x:is>
      </x:c>
      <x:c r="I72" s="7" t="inlineStr">
        <x:is>
          <x:t xml:space="preserve"/>
        </x:is>
      </x:c>
      <x:c r="J72" s="8" t="n">
        <x:v>46068</x:v>
      </x:c>
      <x:c r="K72" s="7" t="inlineStr">
        <x:is>
          <x:t xml:space="preserve">Not Started</x:t>
        </x:is>
      </x:c>
      <x:c r="L72" s="7" t="inlineStr">
        <x:is>
          <x:t xml:space="preserve"/>
        </x:is>
      </x:c>
      <x:c r="M72" s="6" t="inlineStr">
        <x:is>
          <x:t xml:space="preserve"/>
        </x:is>
      </x:c>
    </x:row>
    <x:row r="73" ht="35" customHeight="1">
      <x:c r="A73" s="7" t="inlineStr">
        <x:is>
          <x:t xml:space="preserve">P202602-0072</x:t>
        </x:is>
      </x:c>
      <x:c r="B73" s="7" t="n">
        <x:v>2026</x:v>
      </x:c>
      <x:c r="C73" s="7" t="inlineStr">
        <x:is>
          <x:t xml:space="preserve">Feb</x:t>
        </x:is>
      </x:c>
      <x:c r="D73" s="7" t="inlineStr">
        <x:is>
          <x:t xml:space="preserve">MCS12</x:t>
        </x:is>
      </x:c>
      <x:c r="E73" s="6" t="inlineStr">
        <x:is>
          <x:t xml:space="preserve">Segregation of duties and user access review</x:t>
        </x:is>
      </x:c>
      <x:c r="F73" s="6" t="inlineStr">
        <x:is>
          <x:t xml:space="preserve">Theophilus Okolie</x:t>
        </x:is>
      </x:c>
      <x:c r="G73" s="6" t="inlineStr">
        <x:is>
          <x:t xml:space="preserve"/>
        </x:is>
      </x:c>
      <x:c r="H73" s="7" t="inlineStr">
        <x:is>
          <x:t xml:space="preserve">Operating Effectiveness</x:t>
        </x:is>
      </x:c>
      <x:c r="I73" s="7" t="inlineStr">
        <x:is>
          <x:t xml:space="preserve"/>
        </x:is>
      </x:c>
      <x:c r="J73" s="8" t="n">
        <x:v>46068</x:v>
      </x:c>
      <x:c r="K73" s="7" t="inlineStr">
        <x:is>
          <x:t xml:space="preserve">Not Started</x:t>
        </x:is>
      </x:c>
      <x:c r="L73" s="7" t="inlineStr">
        <x:is>
          <x:t xml:space="preserve"/>
        </x:is>
      </x:c>
      <x:c r="M73" s="6" t="inlineStr">
        <x:is>
          <x:t xml:space="preserve"/>
        </x:is>
      </x:c>
    </x:row>
    <x:row r="74" ht="35" customHeight="1">
      <x:c r="A74" s="7" t="inlineStr">
        <x:is>
          <x:t xml:space="preserve">P202602-0073</x:t>
        </x:is>
      </x:c>
      <x:c r="B74" s="7" t="n">
        <x:v>2026</x:v>
      </x:c>
      <x:c r="C74" s="7" t="inlineStr">
        <x:is>
          <x:t xml:space="preserve">Feb</x:t>
        </x:is>
      </x:c>
      <x:c r="D74" s="7" t="inlineStr">
        <x:is>
          <x:t xml:space="preserve">MCS13</x:t>
        </x:is>
      </x:c>
      <x:c r="E74" s="6" t="inlineStr">
        <x:is>
          <x:t xml:space="preserve">Delegation of authorities and approval workflows</x:t>
        </x:is>
      </x:c>
      <x:c r="F74" s="6" t="inlineStr">
        <x:is>
          <x:t xml:space="preserve">Ramakant Patil</x:t>
        </x:is>
      </x:c>
      <x:c r="G74" s="6" t="inlineStr">
        <x:is>
          <x:t xml:space="preserve"/>
        </x:is>
      </x:c>
      <x:c r="H74" s="7" t="inlineStr">
        <x:is>
          <x:t xml:space="preserve">Operating Effectiveness</x:t>
        </x:is>
      </x:c>
      <x:c r="I74" s="7" t="inlineStr">
        <x:is>
          <x:t xml:space="preserve"/>
        </x:is>
      </x:c>
      <x:c r="J74" s="8" t="n">
        <x:v>46068</x:v>
      </x:c>
      <x:c r="K74" s="7" t="inlineStr">
        <x:is>
          <x:t xml:space="preserve">Not Started</x:t>
        </x:is>
      </x:c>
      <x:c r="L74" s="7" t="inlineStr">
        <x:is>
          <x:t xml:space="preserve"/>
        </x:is>
      </x:c>
      <x:c r="M74" s="6" t="inlineStr">
        <x:is>
          <x:t xml:space="preserve"/>
        </x:is>
      </x:c>
    </x:row>
    <x:row r="75" ht="35" customHeight="1">
      <x:c r="A75" s="7" t="inlineStr">
        <x:is>
          <x:t xml:space="preserve">P202602-0074</x:t>
        </x:is>
      </x:c>
      <x:c r="B75" s="7" t="n">
        <x:v>2026</x:v>
      </x:c>
      <x:c r="C75" s="7" t="inlineStr">
        <x:is>
          <x:t xml:space="preserve">Feb</x:t>
        </x:is>
      </x:c>
      <x:c r="D75" s="7" t="inlineStr">
        <x:is>
          <x:t xml:space="preserve">MCS14</x:t>
        </x:is>
      </x:c>
      <x:c r="E75" s="6" t="inlineStr">
        <x:is>
          <x:t xml:space="preserve">Litigation disputes</x:t>
        </x:is>
      </x:c>
      <x:c r="F75" s="6" t="inlineStr">
        <x:is>
          <x:t xml:space="preserve">Mary Waititu</x:t>
        </x:is>
      </x:c>
      <x:c r="G75" s="6" t="inlineStr">
        <x:is>
          <x:t xml:space="preserve"/>
        </x:is>
      </x:c>
      <x:c r="H75" s="7" t="inlineStr">
        <x:is>
          <x:t xml:space="preserve">Operating Effectiveness</x:t>
        </x:is>
      </x:c>
      <x:c r="I75" s="7" t="inlineStr">
        <x:is>
          <x:t xml:space="preserve"/>
        </x:is>
      </x:c>
      <x:c r="J75" s="8" t="n">
        <x:v>46068</x:v>
      </x:c>
      <x:c r="K75" s="7" t="inlineStr">
        <x:is>
          <x:t xml:space="preserve">Not Started</x:t>
        </x:is>
      </x:c>
      <x:c r="L75" s="7" t="inlineStr">
        <x:is>
          <x:t xml:space="preserve"/>
        </x:is>
      </x:c>
      <x:c r="M75" s="6" t="inlineStr">
        <x:is>
          <x:t xml:space="preserve"/>
        </x:is>
      </x:c>
    </x:row>
    <x:row r="76" ht="35" customHeight="1">
      <x:c r="A76" s="7" t="inlineStr">
        <x:is>
          <x:t xml:space="preserve">P202602-0075</x:t>
        </x:is>
      </x:c>
      <x:c r="B76" s="7" t="n">
        <x:v>2026</x:v>
      </x:c>
      <x:c r="C76" s="7" t="inlineStr">
        <x:is>
          <x:t xml:space="preserve">Feb</x:t>
        </x:is>
      </x:c>
      <x:c r="D76" s="7" t="inlineStr">
        <x:is>
          <x:t xml:space="preserve">MCS15</x:t>
        </x:is>
      </x:c>
      <x:c r="E76" s="6" t="inlineStr">
        <x:is>
          <x:t xml:space="preserve">Review of contracts by finance</x:t>
        </x:is>
      </x:c>
      <x:c r="F76" s="6" t="inlineStr">
        <x:is>
          <x:t xml:space="preserve">Ovie Itie</x:t>
        </x:is>
      </x:c>
      <x:c r="G76" s="6" t="inlineStr">
        <x:is>
          <x:t xml:space="preserve"/>
        </x:is>
      </x:c>
      <x:c r="H76" s="7" t="inlineStr">
        <x:is>
          <x:t xml:space="preserve">Operating Effectiveness</x:t>
        </x:is>
      </x:c>
      <x:c r="I76" s="7" t="inlineStr">
        <x:is>
          <x:t xml:space="preserve"/>
        </x:is>
      </x:c>
      <x:c r="J76" s="8" t="n">
        <x:v>46068</x:v>
      </x:c>
      <x:c r="K76" s="7" t="inlineStr">
        <x:is>
          <x:t xml:space="preserve">Not Started</x:t>
        </x:is>
      </x:c>
      <x:c r="L76" s="7" t="inlineStr">
        <x:is>
          <x:t xml:space="preserve"/>
        </x:is>
      </x:c>
      <x:c r="M76" s="6" t="inlineStr">
        <x:is>
          <x:t xml:space="preserve"/>
        </x:is>
      </x:c>
    </x:row>
    <x:row r="77" ht="35" customHeight="1">
      <x:c r="A77" s="7" t="inlineStr">
        <x:is>
          <x:t xml:space="preserve">P202602-0076</x:t>
        </x:is>
      </x:c>
      <x:c r="B77" s="7" t="n">
        <x:v>2026</x:v>
      </x:c>
      <x:c r="C77" s="7" t="inlineStr">
        <x:is>
          <x:t xml:space="preserve">Feb</x:t>
        </x:is>
      </x:c>
      <x:c r="D77" s="7" t="inlineStr">
        <x:is>
          <x:t xml:space="preserve">MCS16</x:t>
        </x:is>
      </x:c>
      <x:c r="E77" s="6" t="inlineStr">
        <x:is>
          <x:t xml:space="preserve">Management of titles and permits</x:t>
        </x:is>
      </x:c>
      <x:c r="F77" s="6" t="n"/>
      <x:c r="G77" s="6" t="inlineStr">
        <x:is>
          <x:t xml:space="preserve"/>
        </x:is>
      </x:c>
      <x:c r="H77" s="7" t="inlineStr">
        <x:is>
          <x:t xml:space="preserve">Operating Effectiveness</x:t>
        </x:is>
      </x:c>
      <x:c r="I77" s="7" t="inlineStr">
        <x:is>
          <x:t xml:space="preserve"/>
        </x:is>
      </x:c>
      <x:c r="J77" s="8" t="n">
        <x:v>46068</x:v>
      </x:c>
      <x:c r="K77" s="7" t="inlineStr">
        <x:is>
          <x:t xml:space="preserve">Not Started</x:t>
        </x:is>
      </x:c>
      <x:c r="L77" s="7" t="inlineStr">
        <x:is>
          <x:t xml:space="preserve"/>
        </x:is>
      </x:c>
      <x:c r="M77" s="6" t="inlineStr">
        <x:is>
          <x:t xml:space="preserve"/>
        </x:is>
      </x:c>
    </x:row>
    <x:row r="78" ht="35" customHeight="1">
      <x:c r="A78" s="7" t="inlineStr">
        <x:is>
          <x:t xml:space="preserve">P202602-0077</x:t>
        </x:is>
      </x:c>
      <x:c r="B78" s="7" t="n">
        <x:v>2026</x:v>
      </x:c>
      <x:c r="C78" s="7" t="inlineStr">
        <x:is>
          <x:t xml:space="preserve">Feb</x:t>
        </x:is>
      </x:c>
      <x:c r="D78" s="7" t="inlineStr">
        <x:is>
          <x:t xml:space="preserve">MCS18</x:t>
        </x:is>
      </x:c>
      <x:c r="E78" s="6" t="inlineStr">
        <x:is>
          <x:t xml:space="preserve">Classification and depreciation of property, plant &amp; equipment</x:t>
        </x:is>
      </x:c>
      <x:c r="F78" s="6" t="n"/>
      <x:c r="G78" s="6" t="inlineStr">
        <x:is>
          <x:t xml:space="preserve"/>
        </x:is>
      </x:c>
      <x:c r="H78" s="7" t="inlineStr">
        <x:is>
          <x:t xml:space="preserve">Operating Effectiveness</x:t>
        </x:is>
      </x:c>
      <x:c r="I78" s="7" t="inlineStr">
        <x:is>
          <x:t xml:space="preserve"/>
        </x:is>
      </x:c>
      <x:c r="J78" s="8" t="n">
        <x:v>46068</x:v>
      </x:c>
      <x:c r="K78" s="7" t="inlineStr">
        <x:is>
          <x:t xml:space="preserve">Not Started</x:t>
        </x:is>
      </x:c>
      <x:c r="L78" s="7" t="inlineStr">
        <x:is>
          <x:t xml:space="preserve"/>
        </x:is>
      </x:c>
      <x:c r="M78" s="6" t="inlineStr">
        <x:is>
          <x:t xml:space="preserve"/>
        </x:is>
      </x:c>
    </x:row>
    <x:row r="79" ht="35" customHeight="1">
      <x:c r="A79" s="7" t="inlineStr">
        <x:is>
          <x:t xml:space="preserve">P202602-0078</x:t>
        </x:is>
      </x:c>
      <x:c r="B79" s="7" t="n">
        <x:v>2026</x:v>
      </x:c>
      <x:c r="C79" s="7" t="inlineStr">
        <x:is>
          <x:t xml:space="preserve">Feb</x:t>
        </x:is>
      </x:c>
      <x:c r="D79" s="7" t="inlineStr">
        <x:is>
          <x:t xml:space="preserve">MCS19</x:t>
        </x:is>
      </x:c>
      <x:c r="E79" s="6" t="inlineStr">
        <x:is>
          <x:t xml:space="preserve">Physical verification of Fixed Asset</x:t>
        </x:is>
      </x:c>
      <x:c r="F79" s="6" t="n"/>
      <x:c r="G79" s="6" t="inlineStr">
        <x:is>
          <x:t xml:space="preserve"/>
        </x:is>
      </x:c>
      <x:c r="H79" s="7" t="inlineStr">
        <x:is>
          <x:t xml:space="preserve">Operating Effectiveness</x:t>
        </x:is>
      </x:c>
      <x:c r="I79" s="7" t="inlineStr">
        <x:is>
          <x:t xml:space="preserve"/>
        </x:is>
      </x:c>
      <x:c r="J79" s="8" t="n">
        <x:v>46068</x:v>
      </x:c>
      <x:c r="K79" s="7" t="inlineStr">
        <x:is>
          <x:t xml:space="preserve">Not Started</x:t>
        </x:is>
      </x:c>
      <x:c r="L79" s="7" t="inlineStr">
        <x:is>
          <x:t xml:space="preserve"/>
        </x:is>
      </x:c>
      <x:c r="M79" s="6" t="inlineStr">
        <x:is>
          <x:t xml:space="preserve"/>
        </x:is>
      </x:c>
    </x:row>
    <x:row r="80" ht="35" customHeight="1">
      <x:c r="A80" s="7" t="inlineStr">
        <x:is>
          <x:t xml:space="preserve">P202602-0079</x:t>
        </x:is>
      </x:c>
      <x:c r="B80" s="7" t="n">
        <x:v>2026</x:v>
      </x:c>
      <x:c r="C80" s="7" t="inlineStr">
        <x:is>
          <x:t xml:space="preserve">Feb</x:t>
        </x:is>
      </x:c>
      <x:c r="D80" s="7" t="inlineStr">
        <x:is>
          <x:t xml:space="preserve">MCS20</x:t>
        </x:is>
      </x:c>
      <x:c r="E80" s="6" t="inlineStr">
        <x:is>
          <x:t xml:space="preserve">Management of customer and inventory master data</x:t>
        </x:is>
      </x:c>
      <x:c r="F80" s="6" t="inlineStr">
        <x:is>
          <x:t xml:space="preserve">Yomi Jegede</x:t>
        </x:is>
      </x:c>
      <x:c r="G80" s="6" t="inlineStr">
        <x:is>
          <x:t xml:space="preserve"/>
        </x:is>
      </x:c>
      <x:c r="H80" s="7" t="inlineStr">
        <x:is>
          <x:t xml:space="preserve">Operating Effectiveness</x:t>
        </x:is>
      </x:c>
      <x:c r="I80" s="7" t="inlineStr">
        <x:is>
          <x:t xml:space="preserve"/>
        </x:is>
      </x:c>
      <x:c r="J80" s="8" t="n">
        <x:v>46068</x:v>
      </x:c>
      <x:c r="K80" s="7" t="inlineStr">
        <x:is>
          <x:t xml:space="preserve">Not Started</x:t>
        </x:is>
      </x:c>
      <x:c r="L80" s="7" t="inlineStr">
        <x:is>
          <x:t xml:space="preserve"/>
        </x:is>
      </x:c>
      <x:c r="M80" s="6" t="inlineStr">
        <x:is>
          <x:t xml:space="preserve"/>
        </x:is>
      </x:c>
    </x:row>
    <x:row r="81" ht="35" customHeight="1">
      <x:c r="A81" s="7" t="inlineStr">
        <x:is>
          <x:t xml:space="preserve">P202602-0080</x:t>
        </x:is>
      </x:c>
      <x:c r="B81" s="7" t="n">
        <x:v>2026</x:v>
      </x:c>
      <x:c r="C81" s="7" t="inlineStr">
        <x:is>
          <x:t xml:space="preserve">Feb</x:t>
        </x:is>
      </x:c>
      <x:c r="D81" s="7" t="inlineStr">
        <x:is>
          <x:t xml:space="preserve">MCS21</x:t>
        </x:is>
      </x:c>
      <x:c r="E81" s="6" t="inlineStr">
        <x:is>
          <x:t xml:space="preserve">Price management</x:t>
        </x:is>
      </x:c>
      <x:c r="F81" s="6" t="n"/>
      <x:c r="G81" s="6" t="inlineStr">
        <x:is>
          <x:t xml:space="preserve"/>
        </x:is>
      </x:c>
      <x:c r="H81" s="7" t="inlineStr">
        <x:is>
          <x:t xml:space="preserve">Operating Effectiveness</x:t>
        </x:is>
      </x:c>
      <x:c r="I81" s="7" t="inlineStr">
        <x:is>
          <x:t xml:space="preserve"/>
        </x:is>
      </x:c>
      <x:c r="J81" s="8" t="n">
        <x:v>46068</x:v>
      </x:c>
      <x:c r="K81" s="7" t="inlineStr">
        <x:is>
          <x:t xml:space="preserve">Not Started</x:t>
        </x:is>
      </x:c>
      <x:c r="L81" s="7" t="inlineStr">
        <x:is>
          <x:t xml:space="preserve"/>
        </x:is>
      </x:c>
      <x:c r="M81" s="6" t="inlineStr">
        <x:is>
          <x:t xml:space="preserve"/>
        </x:is>
      </x:c>
    </x:row>
    <x:row r="82" ht="35" customHeight="1">
      <x:c r="A82" s="7" t="inlineStr">
        <x:is>
          <x:t xml:space="preserve">P202602-0081</x:t>
        </x:is>
      </x:c>
      <x:c r="B82" s="7" t="n">
        <x:v>2026</x:v>
      </x:c>
      <x:c r="C82" s="7" t="inlineStr">
        <x:is>
          <x:t xml:space="preserve">Feb</x:t>
        </x:is>
      </x:c>
      <x:c r="D82" s="7" t="inlineStr">
        <x:is>
          <x:t xml:space="preserve">MCS22.1</x:t>
        </x:is>
      </x:c>
      <x:c r="E82" s="6" t="inlineStr">
        <x:is>
          <x:t xml:space="preserve">Control of customer credit limits - Easybuy</x:t>
        </x:is>
      </x:c>
      <x:c r="F82" s="6" t="inlineStr">
        <x:is>
          <x:t xml:space="preserve">Omoyemi Tuga Ogunsanmi Opeyemi Listbon</x:t>
        </x:is>
      </x:c>
      <x:c r="G82" s="6" t="inlineStr">
        <x:is>
          <x:t xml:space="preserve"/>
        </x:is>
      </x:c>
      <x:c r="H82" s="7" t="inlineStr">
        <x:is>
          <x:t xml:space="preserve">Operating Effectiveness</x:t>
        </x:is>
      </x:c>
      <x:c r="I82" s="7" t="inlineStr">
        <x:is>
          <x:t xml:space="preserve"/>
        </x:is>
      </x:c>
      <x:c r="J82" s="8" t="n">
        <x:v>46068</x:v>
      </x:c>
      <x:c r="K82" s="7" t="inlineStr">
        <x:is>
          <x:t xml:space="preserve">Not Started</x:t>
        </x:is>
      </x:c>
      <x:c r="L82" s="7" t="inlineStr">
        <x:is>
          <x:t xml:space="preserve"/>
        </x:is>
      </x:c>
      <x:c r="M82" s="6" t="inlineStr">
        <x:is>
          <x:t xml:space="preserve"/>
        </x:is>
      </x:c>
    </x:row>
    <x:row r="83" ht="35" customHeight="1">
      <x:c r="A83" s="7" t="inlineStr">
        <x:is>
          <x:t xml:space="preserve">P202602-0082</x:t>
        </x:is>
      </x:c>
      <x:c r="B83" s="7" t="n">
        <x:v>2026</x:v>
      </x:c>
      <x:c r="C83" s="7" t="inlineStr">
        <x:is>
          <x:t xml:space="preserve">Feb</x:t>
        </x:is>
      </x:c>
      <x:c r="D83" s="7" t="inlineStr">
        <x:is>
          <x:t xml:space="preserve">MCS22.2</x:t>
        </x:is>
      </x:c>
      <x:c r="E83" s="6" t="inlineStr">
        <x:is>
          <x:t xml:space="preserve">Control of customer credit limits - Partnership</x:t>
        </x:is>
      </x:c>
      <x:c r="F83" s="6" t="inlineStr">
        <x:is>
          <x:t xml:space="preserve">Eno Umoh Ameh Bright Agbo</x:t>
        </x:is>
      </x:c>
      <x:c r="G83" s="6" t="inlineStr">
        <x:is>
          <x:t xml:space="preserve"/>
        </x:is>
      </x:c>
      <x:c r="H83" s="7" t="inlineStr">
        <x:is>
          <x:t xml:space="preserve">Operating Effectiveness</x:t>
        </x:is>
      </x:c>
      <x:c r="I83" s="7" t="inlineStr">
        <x:is>
          <x:t xml:space="preserve"/>
        </x:is>
      </x:c>
      <x:c r="J83" s="8" t="n">
        <x:v>46068</x:v>
      </x:c>
      <x:c r="K83" s="7" t="inlineStr">
        <x:is>
          <x:t xml:space="preserve">Not Started</x:t>
        </x:is>
      </x:c>
      <x:c r="L83" s="7" t="inlineStr">
        <x:is>
          <x:t xml:space="preserve"/>
        </x:is>
      </x:c>
      <x:c r="M83" s="6" t="inlineStr">
        <x:is>
          <x:t xml:space="preserve"/>
        </x:is>
      </x:c>
    </x:row>
    <x:row r="84" ht="35" customHeight="1">
      <x:c r="A84" s="7" t="inlineStr">
        <x:is>
          <x:t xml:space="preserve">P202602-0083</x:t>
        </x:is>
      </x:c>
      <x:c r="B84" s="7" t="n">
        <x:v>2026</x:v>
      </x:c>
      <x:c r="C84" s="7" t="inlineStr">
        <x:is>
          <x:t xml:space="preserve">Feb</x:t>
        </x:is>
      </x:c>
      <x:c r="D84" s="7" t="inlineStr">
        <x:is>
          <x:t xml:space="preserve">MCS23</x:t>
        </x:is>
      </x:c>
      <x:c r="E84" s="6" t="inlineStr">
        <x:is>
          <x:t xml:space="preserve">Invoicing </x:t>
        </x:is>
      </x:c>
      <x:c r="F84" s="6" t="inlineStr">
        <x:is>
          <x:t xml:space="preserve">Ramakant Patil</x:t>
        </x:is>
      </x:c>
      <x:c r="G84" s="6" t="inlineStr">
        <x:is>
          <x:t xml:space="preserve"/>
        </x:is>
      </x:c>
      <x:c r="H84" s="7" t="inlineStr">
        <x:is>
          <x:t xml:space="preserve">Operating Effectiveness</x:t>
        </x:is>
      </x:c>
      <x:c r="I84" s="7" t="inlineStr">
        <x:is>
          <x:t xml:space="preserve"/>
        </x:is>
      </x:c>
      <x:c r="J84" s="8" t="n">
        <x:v>46068</x:v>
      </x:c>
      <x:c r="K84" s="7" t="inlineStr">
        <x:is>
          <x:t xml:space="preserve">Not Started</x:t>
        </x:is>
      </x:c>
      <x:c r="L84" s="7" t="inlineStr">
        <x:is>
          <x:t xml:space="preserve"/>
        </x:is>
      </x:c>
      <x:c r="M84" s="6" t="inlineStr">
        <x:is>
          <x:t xml:space="preserve"/>
        </x:is>
      </x:c>
    </x:row>
    <x:row r="85" ht="35" customHeight="1">
      <x:c r="A85" s="7" t="inlineStr">
        <x:is>
          <x:t xml:space="preserve">P202602-0084</x:t>
        </x:is>
      </x:c>
      <x:c r="B85" s="7" t="n">
        <x:v>2026</x:v>
      </x:c>
      <x:c r="C85" s="7" t="inlineStr">
        <x:is>
          <x:t xml:space="preserve">Feb</x:t>
        </x:is>
      </x:c>
      <x:c r="D85" s="7" t="inlineStr">
        <x:is>
          <x:t xml:space="preserve">MCS24</x:t>
        </x:is>
      </x:c>
      <x:c r="E85" s="6" t="inlineStr">
        <x:is>
          <x:t xml:space="preserve">Accounts receivable valuation</x:t>
        </x:is>
      </x:c>
      <x:c r="F85" s="6" t="inlineStr">
        <x:is>
          <x:t xml:space="preserve">Zainab Yunusah Saadu</x:t>
        </x:is>
      </x:c>
      <x:c r="G85" s="6" t="inlineStr">
        <x:is>
          <x:t xml:space="preserve"/>
        </x:is>
      </x:c>
      <x:c r="H85" s="7" t="inlineStr">
        <x:is>
          <x:t xml:space="preserve">Operating Effectiveness</x:t>
        </x:is>
      </x:c>
      <x:c r="I85" s="7" t="inlineStr">
        <x:is>
          <x:t xml:space="preserve"/>
        </x:is>
      </x:c>
      <x:c r="J85" s="8" t="n">
        <x:v>46068</x:v>
      </x:c>
      <x:c r="K85" s="7" t="inlineStr">
        <x:is>
          <x:t xml:space="preserve">Not Started</x:t>
        </x:is>
      </x:c>
      <x:c r="L85" s="7" t="inlineStr">
        <x:is>
          <x:t xml:space="preserve"/>
        </x:is>
      </x:c>
      <x:c r="M85" s="6" t="inlineStr">
        <x:is>
          <x:t xml:space="preserve"/>
        </x:is>
      </x:c>
    </x:row>
    <x:row r="86" ht="35" customHeight="1">
      <x:c r="A86" s="7" t="inlineStr">
        <x:is>
          <x:t xml:space="preserve">P202602-0085</x:t>
        </x:is>
      </x:c>
      <x:c r="B86" s="7" t="n">
        <x:v>2026</x:v>
      </x:c>
      <x:c r="C86" s="7" t="inlineStr">
        <x:is>
          <x:t xml:space="preserve">Feb</x:t>
        </x:is>
      </x:c>
      <x:c r="D86" s="7" t="inlineStr">
        <x:is>
          <x:t xml:space="preserve">MCS25</x:t>
        </x:is>
      </x:c>
      <x:c r="E86" s="6" t="inlineStr">
        <x:is>
          <x:t xml:space="preserve">Execution of onboarding, offboarding, master data management and transfers of workers</x:t>
        </x:is>
      </x:c>
      <x:c r="F86" s="6" t="n"/>
      <x:c r="G86" s="6" t="inlineStr">
        <x:is>
          <x:t xml:space="preserve"/>
        </x:is>
      </x:c>
      <x:c r="H86" s="7" t="inlineStr">
        <x:is>
          <x:t xml:space="preserve">Operating Effectiveness</x:t>
        </x:is>
      </x:c>
      <x:c r="I86" s="7" t="inlineStr">
        <x:is>
          <x:t xml:space="preserve"/>
        </x:is>
      </x:c>
      <x:c r="J86" s="8" t="n">
        <x:v>46068</x:v>
      </x:c>
      <x:c r="K86" s="7" t="inlineStr">
        <x:is>
          <x:t xml:space="preserve">Not Started</x:t>
        </x:is>
      </x:c>
      <x:c r="L86" s="7" t="inlineStr">
        <x:is>
          <x:t xml:space="preserve"/>
        </x:is>
      </x:c>
      <x:c r="M86" s="6" t="inlineStr">
        <x:is>
          <x:t xml:space="preserve"/>
        </x:is>
      </x:c>
    </x:row>
    <x:row r="87" ht="35" customHeight="1">
      <x:c r="A87" s="7" t="inlineStr">
        <x:is>
          <x:t xml:space="preserve">P202602-0086</x:t>
        </x:is>
      </x:c>
      <x:c r="B87" s="7" t="n">
        <x:v>2026</x:v>
      </x:c>
      <x:c r="C87" s="7" t="inlineStr">
        <x:is>
          <x:t xml:space="preserve">Feb</x:t>
        </x:is>
      </x:c>
      <x:c r="D87" s="7" t="inlineStr">
        <x:is>
          <x:t xml:space="preserve">MCS26</x:t>
        </x:is>
      </x:c>
      <x:c r="E87" s="6" t="inlineStr">
        <x:is>
          <x:t xml:space="preserve">Payroll</x:t>
        </x:is>
      </x:c>
      <x:c r="F87" s="6" t="inlineStr">
        <x:is>
          <x:t xml:space="preserve">Olamide Ayo-Ogunlade Oluwatosin Ogunsekan</x:t>
        </x:is>
      </x:c>
      <x:c r="G87" s="6" t="inlineStr">
        <x:is>
          <x:t xml:space="preserve"/>
        </x:is>
      </x:c>
      <x:c r="H87" s="7" t="inlineStr">
        <x:is>
          <x:t xml:space="preserve">Operating Effectiveness</x:t>
        </x:is>
      </x:c>
      <x:c r="I87" s="7" t="inlineStr">
        <x:is>
          <x:t xml:space="preserve"/>
        </x:is>
      </x:c>
      <x:c r="J87" s="8" t="n">
        <x:v>46068</x:v>
      </x:c>
      <x:c r="K87" s="7" t="inlineStr">
        <x:is>
          <x:t xml:space="preserve">Not Started</x:t>
        </x:is>
      </x:c>
      <x:c r="L87" s="7" t="inlineStr">
        <x:is>
          <x:t xml:space="preserve"/>
        </x:is>
      </x:c>
      <x:c r="M87" s="6" t="inlineStr">
        <x:is>
          <x:t xml:space="preserve"/>
        </x:is>
      </x:c>
    </x:row>
    <x:row r="88" ht="35" customHeight="1">
      <x:c r="A88" s="7" t="inlineStr">
        <x:is>
          <x:t xml:space="preserve">P202602-0087</x:t>
        </x:is>
      </x:c>
      <x:c r="B88" s="7" t="n">
        <x:v>2026</x:v>
      </x:c>
      <x:c r="C88" s="7" t="inlineStr">
        <x:is>
          <x:t xml:space="preserve">Feb</x:t>
        </x:is>
      </x:c>
      <x:c r="D88" s="7" t="inlineStr">
        <x:is>
          <x:t xml:space="preserve">MCS27</x:t>
        </x:is>
      </x:c>
      <x:c r="E88" s="6" t="inlineStr">
        <x:is>
          <x:t xml:space="preserve">Compliance with Labour law</x:t>
        </x:is>
      </x:c>
      <x:c r="F88" s="6" t="inlineStr">
        <x:is>
          <x:t xml:space="preserve">Olamide Ayo-Ogunlade Oluwatosin Ogunsekan</x:t>
        </x:is>
      </x:c>
      <x:c r="G88" s="6" t="inlineStr">
        <x:is>
          <x:t xml:space="preserve"/>
        </x:is>
      </x:c>
      <x:c r="H88" s="7" t="inlineStr">
        <x:is>
          <x:t xml:space="preserve">Operating Effectiveness</x:t>
        </x:is>
      </x:c>
      <x:c r="I88" s="7" t="inlineStr">
        <x:is>
          <x:t xml:space="preserve"/>
        </x:is>
      </x:c>
      <x:c r="J88" s="8" t="n">
        <x:v>46068</x:v>
      </x:c>
      <x:c r="K88" s="7" t="inlineStr">
        <x:is>
          <x:t xml:space="preserve">Not Started</x:t>
        </x:is>
      </x:c>
      <x:c r="L88" s="7" t="inlineStr">
        <x:is>
          <x:t xml:space="preserve"/>
        </x:is>
      </x:c>
      <x:c r="M88" s="6" t="inlineStr">
        <x:is>
          <x:t xml:space="preserve"/>
        </x:is>
      </x:c>
    </x:row>
    <x:row r="89" ht="35" customHeight="1">
      <x:c r="A89" s="7" t="inlineStr">
        <x:is>
          <x:t xml:space="preserve">P202602-0088</x:t>
        </x:is>
      </x:c>
      <x:c r="B89" s="7" t="n">
        <x:v>2026</x:v>
      </x:c>
      <x:c r="C89" s="7" t="inlineStr">
        <x:is>
          <x:t xml:space="preserve">Feb</x:t>
        </x:is>
      </x:c>
      <x:c r="D89" s="7" t="inlineStr">
        <x:is>
          <x:t xml:space="preserve">MCS28</x:t>
        </x:is>
      </x:c>
      <x:c r="E89" s="6" t="inlineStr">
        <x:is>
          <x:t xml:space="preserve">Employee pension and benefit plan</x:t>
        </x:is>
      </x:c>
      <x:c r="F89" s="6" t="inlineStr">
        <x:is>
          <x:t xml:space="preserve">Olamide Ayo-Ogunlade Oluwatosin Ogunsekan</x:t>
        </x:is>
      </x:c>
      <x:c r="G89" s="6" t="inlineStr">
        <x:is>
          <x:t xml:space="preserve"/>
        </x:is>
      </x:c>
      <x:c r="H89" s="7" t="inlineStr">
        <x:is>
          <x:t xml:space="preserve">Operating Effectiveness</x:t>
        </x:is>
      </x:c>
      <x:c r="I89" s="7" t="inlineStr">
        <x:is>
          <x:t xml:space="preserve"/>
        </x:is>
      </x:c>
      <x:c r="J89" s="8" t="n">
        <x:v>46068</x:v>
      </x:c>
      <x:c r="K89" s="7" t="inlineStr">
        <x:is>
          <x:t xml:space="preserve">Not Started</x:t>
        </x:is>
      </x:c>
      <x:c r="L89" s="7" t="inlineStr">
        <x:is>
          <x:t xml:space="preserve"/>
        </x:is>
      </x:c>
      <x:c r="M89" s="6" t="inlineStr">
        <x:is>
          <x:t xml:space="preserve"/>
        </x:is>
      </x:c>
    </x:row>
    <x:row r="90" ht="35" customHeight="1">
      <x:c r="A90" s="7" t="inlineStr">
        <x:is>
          <x:t xml:space="preserve">P202602-0089</x:t>
        </x:is>
      </x:c>
      <x:c r="B90" s="7" t="n">
        <x:v>2026</x:v>
      </x:c>
      <x:c r="C90" s="7" t="inlineStr">
        <x:is>
          <x:t xml:space="preserve">Feb</x:t>
        </x:is>
      </x:c>
      <x:c r="D90" s="7" t="inlineStr">
        <x:is>
          <x:t xml:space="preserve">MCS 29</x:t>
        </x:is>
      </x:c>
      <x:c r="E90" s="6" t="inlineStr">
        <x:is>
          <x:t xml:space="preserve">Management of supplier master data</x:t>
        </x:is>
      </x:c>
      <x:c r="F90" s="6" t="inlineStr">
        <x:is>
          <x:t xml:space="preserve">Ramakant Patil Zainab Yunusah Saadu</x:t>
        </x:is>
      </x:c>
      <x:c r="G90" s="6" t="inlineStr">
        <x:is>
          <x:t xml:space="preserve"/>
        </x:is>
      </x:c>
      <x:c r="H90" s="7" t="inlineStr">
        <x:is>
          <x:t xml:space="preserve">Operating Effectiveness</x:t>
        </x:is>
      </x:c>
      <x:c r="I90" s="7" t="inlineStr">
        <x:is>
          <x:t xml:space="preserve"/>
        </x:is>
      </x:c>
      <x:c r="J90" s="8" t="n">
        <x:v>46068</x:v>
      </x:c>
      <x:c r="K90" s="7" t="inlineStr">
        <x:is>
          <x:t xml:space="preserve">Not Started</x:t>
        </x:is>
      </x:c>
      <x:c r="L90" s="7" t="inlineStr">
        <x:is>
          <x:t xml:space="preserve"/>
        </x:is>
      </x:c>
      <x:c r="M90" s="6" t="inlineStr">
        <x:is>
          <x:t xml:space="preserve"/>
        </x:is>
      </x:c>
    </x:row>
    <x:row r="91" ht="35" customHeight="1">
      <x:c r="A91" s="7" t="inlineStr">
        <x:is>
          <x:t xml:space="preserve">P202602-0090</x:t>
        </x:is>
      </x:c>
      <x:c r="B91" s="7" t="n">
        <x:v>2026</x:v>
      </x:c>
      <x:c r="C91" s="7" t="inlineStr">
        <x:is>
          <x:t xml:space="preserve">Feb</x:t>
        </x:is>
      </x:c>
      <x:c r="D91" s="7" t="inlineStr">
        <x:is>
          <x:t xml:space="preserve">MCS30</x:t>
        </x:is>
      </x:c>
      <x:c r="E91" s="6" t="inlineStr">
        <x:is>
          <x:t xml:space="preserve">Vendor Registration and Performance Management</x:t>
        </x:is>
      </x:c>
      <x:c r="F91" s="6" t="inlineStr">
        <x:is>
          <x:t xml:space="preserve">Ramakant Patil Zainab Yunusah Saadu</x:t>
        </x:is>
      </x:c>
      <x:c r="G91" s="6" t="inlineStr">
        <x:is>
          <x:t xml:space="preserve"/>
        </x:is>
      </x:c>
      <x:c r="H91" s="7" t="inlineStr">
        <x:is>
          <x:t xml:space="preserve">Operating Effectiveness</x:t>
        </x:is>
      </x:c>
      <x:c r="I91" s="7" t="inlineStr">
        <x:is>
          <x:t xml:space="preserve"/>
        </x:is>
      </x:c>
      <x:c r="J91" s="8" t="n">
        <x:v>46068</x:v>
      </x:c>
      <x:c r="K91" s="7" t="inlineStr">
        <x:is>
          <x:t xml:space="preserve">Not Started</x:t>
        </x:is>
      </x:c>
      <x:c r="L91" s="7" t="inlineStr">
        <x:is>
          <x:t xml:space="preserve"/>
        </x:is>
      </x:c>
      <x:c r="M91" s="6" t="inlineStr">
        <x:is>
          <x:t xml:space="preserve"/>
        </x:is>
      </x:c>
    </x:row>
    <x:row r="92" ht="35" customHeight="1">
      <x:c r="A92" s="7" t="inlineStr">
        <x:is>
          <x:t xml:space="preserve">P202602-0091</x:t>
        </x:is>
      </x:c>
      <x:c r="B92" s="7" t="n">
        <x:v>2026</x:v>
      </x:c>
      <x:c r="C92" s="7" t="inlineStr">
        <x:is>
          <x:t xml:space="preserve">Feb</x:t>
        </x:is>
      </x:c>
      <x:c r="D92" s="7" t="inlineStr">
        <x:is>
          <x:t xml:space="preserve">MCS31</x:t>
        </x:is>
      </x:c>
      <x:c r="E92" s="6" t="inlineStr">
        <x:is>
          <x:t xml:space="preserve">Three-way match, two way match and direct vendor invoices</x:t>
        </x:is>
      </x:c>
      <x:c r="F92" s="6" t="inlineStr">
        <x:is>
          <x:t xml:space="preserve">Ramakant Patil Zainab Yunusah Saadu</x:t>
        </x:is>
      </x:c>
      <x:c r="G92" s="6" t="inlineStr">
        <x:is>
          <x:t xml:space="preserve"/>
        </x:is>
      </x:c>
      <x:c r="H92" s="7" t="inlineStr">
        <x:is>
          <x:t xml:space="preserve">Operating Effectiveness</x:t>
        </x:is>
      </x:c>
      <x:c r="I92" s="7" t="inlineStr">
        <x:is>
          <x:t xml:space="preserve"/>
        </x:is>
      </x:c>
      <x:c r="J92" s="8" t="n">
        <x:v>46068</x:v>
      </x:c>
      <x:c r="K92" s="7" t="inlineStr">
        <x:is>
          <x:t xml:space="preserve">Not Started</x:t>
        </x:is>
      </x:c>
      <x:c r="L92" s="7" t="inlineStr">
        <x:is>
          <x:t xml:space="preserve"/>
        </x:is>
      </x:c>
      <x:c r="M92" s="6" t="inlineStr">
        <x:is>
          <x:t xml:space="preserve"/>
        </x:is>
      </x:c>
    </x:row>
    <x:row r="93" ht="35" customHeight="1">
      <x:c r="A93" s="7" t="inlineStr">
        <x:is>
          <x:t xml:space="preserve">P202602-0092</x:t>
        </x:is>
      </x:c>
      <x:c r="B93" s="7" t="n">
        <x:v>2026</x:v>
      </x:c>
      <x:c r="C93" s="7" t="inlineStr">
        <x:is>
          <x:t xml:space="preserve">Feb</x:t>
        </x:is>
      </x:c>
      <x:c r="D93" s="7" t="inlineStr">
        <x:is>
          <x:t xml:space="preserve">MCS32</x:t>
        </x:is>
      </x:c>
      <x:c r="E93" s="6" t="inlineStr">
        <x:is>
          <x:t xml:space="preserve">Payment processing</x:t>
        </x:is>
      </x:c>
      <x:c r="F93" s="6" t="inlineStr">
        <x:is>
          <x:t xml:space="preserve">Ramakant Patil Zainab Yunusah Saadu</x:t>
        </x:is>
      </x:c>
      <x:c r="G93" s="6" t="inlineStr">
        <x:is>
          <x:t xml:space="preserve"/>
        </x:is>
      </x:c>
      <x:c r="H93" s="7" t="inlineStr">
        <x:is>
          <x:t xml:space="preserve">Operating Effectiveness</x:t>
        </x:is>
      </x:c>
      <x:c r="I93" s="7" t="inlineStr">
        <x:is>
          <x:t xml:space="preserve"/>
        </x:is>
      </x:c>
      <x:c r="J93" s="8" t="n">
        <x:v>46068</x:v>
      </x:c>
      <x:c r="K93" s="7" t="inlineStr">
        <x:is>
          <x:t xml:space="preserve">Not Started</x:t>
        </x:is>
      </x:c>
      <x:c r="L93" s="7" t="inlineStr">
        <x:is>
          <x:t xml:space="preserve"/>
        </x:is>
      </x:c>
      <x:c r="M93" s="6" t="inlineStr">
        <x:is>
          <x:t xml:space="preserve"/>
        </x:is>
      </x:c>
    </x:row>
    <x:row r="94" ht="35" customHeight="1">
      <x:c r="A94" s="7" t="inlineStr">
        <x:is>
          <x:t xml:space="preserve">P202602-0093</x:t>
        </x:is>
      </x:c>
      <x:c r="B94" s="7" t="n">
        <x:v>2026</x:v>
      </x:c>
      <x:c r="C94" s="7" t="inlineStr">
        <x:is>
          <x:t xml:space="preserve">Feb</x:t>
        </x:is>
      </x:c>
      <x:c r="D94" s="7" t="inlineStr">
        <x:is>
          <x:t xml:space="preserve">MCS33</x:t>
        </x:is>
      </x:c>
      <x:c r="E94" s="6" t="inlineStr">
        <x:is>
          <x:t xml:space="preserve">3 Accruals for expenditures not invoiced</x:t>
        </x:is>
      </x:c>
      <x:c r="F94" s="6" t="inlineStr">
        <x:is>
          <x:t xml:space="preserve">Ramakant Patil Zainab Yunusah Saadu</x:t>
        </x:is>
      </x:c>
      <x:c r="G94" s="6" t="inlineStr">
        <x:is>
          <x:t xml:space="preserve"/>
        </x:is>
      </x:c>
      <x:c r="H94" s="7" t="inlineStr">
        <x:is>
          <x:t xml:space="preserve">Operating Effectiveness</x:t>
        </x:is>
      </x:c>
      <x:c r="I94" s="7" t="inlineStr">
        <x:is>
          <x:t xml:space="preserve"/>
        </x:is>
      </x:c>
      <x:c r="J94" s="8" t="n">
        <x:v>46068</x:v>
      </x:c>
      <x:c r="K94" s="7" t="inlineStr">
        <x:is>
          <x:t xml:space="preserve">Not Started</x:t>
        </x:is>
      </x:c>
      <x:c r="L94" s="7" t="inlineStr">
        <x:is>
          <x:t xml:space="preserve"/>
        </x:is>
      </x:c>
      <x:c r="M94" s="6" t="inlineStr">
        <x:is>
          <x:t xml:space="preserve"/>
        </x:is>
      </x:c>
    </x:row>
    <x:row r="95" ht="35" customHeight="1">
      <x:c r="A95" s="7" t="inlineStr">
        <x:is>
          <x:t xml:space="preserve">P202602-0094</x:t>
        </x:is>
      </x:c>
      <x:c r="B95" s="7" t="n">
        <x:v>2026</x:v>
      </x:c>
      <x:c r="C95" s="7" t="inlineStr">
        <x:is>
          <x:t xml:space="preserve">Feb</x:t>
        </x:is>
      </x:c>
      <x:c r="D95" s="7" t="inlineStr">
        <x:is>
          <x:t xml:space="preserve">MCS34</x:t>
        </x:is>
      </x:c>
      <x:c r="E95" s="6" t="inlineStr">
        <x:is>
          <x:t xml:space="preserve">Physical Stock Count ,Reconciliation &amp; Valuation</x:t>
        </x:is>
      </x:c>
      <x:c r="F95" s="6" t="inlineStr">
        <x:is>
          <x:t xml:space="preserve">Yomi Jegede Zainab Yunusah Saadu</x:t>
        </x:is>
      </x:c>
      <x:c r="G95" s="6" t="inlineStr">
        <x:is>
          <x:t xml:space="preserve"/>
        </x:is>
      </x:c>
      <x:c r="H95" s="7" t="inlineStr">
        <x:is>
          <x:t xml:space="preserve">Operating Effectiveness</x:t>
        </x:is>
      </x:c>
      <x:c r="I95" s="7" t="inlineStr">
        <x:is>
          <x:t xml:space="preserve"/>
        </x:is>
      </x:c>
      <x:c r="J95" s="8" t="n">
        <x:v>46068</x:v>
      </x:c>
      <x:c r="K95" s="7" t="inlineStr">
        <x:is>
          <x:t xml:space="preserve">Not Started</x:t>
        </x:is>
      </x:c>
      <x:c r="L95" s="7" t="inlineStr">
        <x:is>
          <x:t xml:space="preserve"/>
        </x:is>
      </x:c>
      <x:c r="M95" s="6" t="inlineStr">
        <x:is>
          <x:t xml:space="preserve"/>
        </x:is>
      </x:c>
    </x:row>
    <x:row r="96" ht="35" customHeight="1">
      <x:c r="A96" s="7" t="inlineStr">
        <x:is>
          <x:t xml:space="preserve">P202602-0095</x:t>
        </x:is>
      </x:c>
      <x:c r="B96" s="7" t="n">
        <x:v>2026</x:v>
      </x:c>
      <x:c r="C96" s="7" t="inlineStr">
        <x:is>
          <x:t xml:space="preserve">Feb</x:t>
        </x:is>
      </x:c>
      <x:c r="D96" s="7" t="inlineStr">
        <x:is>
          <x:t xml:space="preserve">MCS35</x:t>
        </x:is>
      </x:c>
      <x:c r="E96" s="6" t="inlineStr">
        <x:is>
          <x:t xml:space="preserve">Inventory Documentation (IMPEX)</x:t>
        </x:is>
      </x:c>
      <x:c r="F96" s="6" t="inlineStr">
        <x:is>
          <x:t xml:space="preserve">Yomi Jegede Zainab Yunusah Saadu</x:t>
        </x:is>
      </x:c>
      <x:c r="G96" s="6" t="inlineStr">
        <x:is>
          <x:t xml:space="preserve"/>
        </x:is>
      </x:c>
      <x:c r="H96" s="7" t="inlineStr">
        <x:is>
          <x:t xml:space="preserve">Operating Effectiveness</x:t>
        </x:is>
      </x:c>
      <x:c r="I96" s="7" t="inlineStr">
        <x:is>
          <x:t xml:space="preserve"/>
        </x:is>
      </x:c>
      <x:c r="J96" s="8" t="n">
        <x:v>46068</x:v>
      </x:c>
      <x:c r="K96" s="7" t="inlineStr">
        <x:is>
          <x:t xml:space="preserve">Not Started</x:t>
        </x:is>
      </x:c>
      <x:c r="L96" s="7" t="inlineStr">
        <x:is>
          <x:t xml:space="preserve"/>
        </x:is>
      </x:c>
      <x:c r="M96" s="6" t="inlineStr">
        <x:is>
          <x:t xml:space="preserve"/>
        </x:is>
      </x:c>
    </x:row>
    <x:row r="97" ht="35" customHeight="1">
      <x:c r="A97" s="7" t="inlineStr">
        <x:is>
          <x:t xml:space="preserve">P202602-0096</x:t>
        </x:is>
      </x:c>
      <x:c r="B97" s="7" t="n">
        <x:v>2026</x:v>
      </x:c>
      <x:c r="C97" s="7" t="inlineStr">
        <x:is>
          <x:t xml:space="preserve">Feb</x:t>
        </x:is>
      </x:c>
      <x:c r="D97" s="7" t="inlineStr">
        <x:is>
          <x:t xml:space="preserve">MCS36</x:t>
        </x:is>
      </x:c>
      <x:c r="E97" s="6" t="inlineStr">
        <x:is>
          <x:t xml:space="preserve">Management of access to IT systems</x:t>
        </x:is>
      </x:c>
      <x:c r="F97" s="6" t="inlineStr">
        <x:is>
          <x:t xml:space="preserve">Theophilus Okolie </x:t>
        </x:is>
      </x:c>
      <x:c r="G97" s="6" t="inlineStr">
        <x:is>
          <x:t xml:space="preserve"/>
        </x:is>
      </x:c>
      <x:c r="H97" s="7" t="inlineStr">
        <x:is>
          <x:t xml:space="preserve">Operating Effectiveness</x:t>
        </x:is>
      </x:c>
      <x:c r="I97" s="7" t="inlineStr">
        <x:is>
          <x:t xml:space="preserve"/>
        </x:is>
      </x:c>
      <x:c r="J97" s="8" t="n">
        <x:v>46068</x:v>
      </x:c>
      <x:c r="K97" s="7" t="inlineStr">
        <x:is>
          <x:t xml:space="preserve">Not Started</x:t>
        </x:is>
      </x:c>
      <x:c r="L97" s="7" t="inlineStr">
        <x:is>
          <x:t xml:space="preserve"/>
        </x:is>
      </x:c>
      <x:c r="M97" s="6" t="inlineStr">
        <x:is>
          <x:t xml:space="preserve"/>
        </x:is>
      </x:c>
    </x:row>
    <x:row r="98" ht="35" customHeight="1">
      <x:c r="A98" s="7" t="inlineStr">
        <x:is>
          <x:t xml:space="preserve">P202602-0097</x:t>
        </x:is>
      </x:c>
      <x:c r="B98" s="7" t="n">
        <x:v>2026</x:v>
      </x:c>
      <x:c r="C98" s="7" t="inlineStr">
        <x:is>
          <x:t xml:space="preserve">Feb</x:t>
        </x:is>
      </x:c>
      <x:c r="D98" s="7" t="inlineStr">
        <x:is>
          <x:t xml:space="preserve">MCS37</x:t>
        </x:is>
      </x:c>
      <x:c r="E98" s="6" t="inlineStr">
        <x:is>
          <x:t xml:space="preserve">Review of IT user access rights to production IT systems</x:t>
        </x:is>
      </x:c>
      <x:c r="F98" s="6" t="inlineStr">
        <x:is>
          <x:t xml:space="preserve">Theophilus Okolie </x:t>
        </x:is>
      </x:c>
      <x:c r="G98" s="6" t="inlineStr">
        <x:is>
          <x:t xml:space="preserve"/>
        </x:is>
      </x:c>
      <x:c r="H98" s="7" t="inlineStr">
        <x:is>
          <x:t xml:space="preserve">Operating Effectiveness</x:t>
        </x:is>
      </x:c>
      <x:c r="I98" s="7" t="inlineStr">
        <x:is>
          <x:t xml:space="preserve"/>
        </x:is>
      </x:c>
      <x:c r="J98" s="8" t="n">
        <x:v>46068</x:v>
      </x:c>
      <x:c r="K98" s="7" t="inlineStr">
        <x:is>
          <x:t xml:space="preserve">Not Started</x:t>
        </x:is>
      </x:c>
      <x:c r="L98" s="7" t="inlineStr">
        <x:is>
          <x:t xml:space="preserve"/>
        </x:is>
      </x:c>
      <x:c r="M98" s="6" t="inlineStr">
        <x:is>
          <x:t xml:space="preserve"/>
        </x:is>
      </x:c>
    </x:row>
    <x:row r="99" ht="35" customHeight="1">
      <x:c r="A99" s="7" t="inlineStr">
        <x:is>
          <x:t xml:space="preserve">P202602-0098</x:t>
        </x:is>
      </x:c>
      <x:c r="B99" s="7" t="n">
        <x:v>2026</x:v>
      </x:c>
      <x:c r="C99" s="7" t="inlineStr">
        <x:is>
          <x:t xml:space="preserve">Feb</x:t>
        </x:is>
      </x:c>
      <x:c r="D99" s="7" t="inlineStr">
        <x:is>
          <x:t xml:space="preserve">MCS38</x:t>
        </x:is>
      </x:c>
      <x:c r="E99" s="6" t="inlineStr">
        <x:is>
          <x:t xml:space="preserve">Security configuration settings and batch job management</x:t>
        </x:is>
      </x:c>
      <x:c r="F99" s="6" t="inlineStr">
        <x:is>
          <x:t xml:space="preserve">Theophilus Okolie </x:t>
        </x:is>
      </x:c>
      <x:c r="G99" s="6" t="inlineStr">
        <x:is>
          <x:t xml:space="preserve"/>
        </x:is>
      </x:c>
      <x:c r="H99" s="7" t="inlineStr">
        <x:is>
          <x:t xml:space="preserve">Operating Effectiveness</x:t>
        </x:is>
      </x:c>
      <x:c r="I99" s="7" t="inlineStr">
        <x:is>
          <x:t xml:space="preserve"/>
        </x:is>
      </x:c>
      <x:c r="J99" s="8" t="n">
        <x:v>46068</x:v>
      </x:c>
      <x:c r="K99" s="7" t="inlineStr">
        <x:is>
          <x:t xml:space="preserve">Not Started</x:t>
        </x:is>
      </x:c>
      <x:c r="L99" s="7" t="inlineStr">
        <x:is>
          <x:t xml:space="preserve"/>
        </x:is>
      </x:c>
      <x:c r="M99" s="6" t="inlineStr">
        <x:is>
          <x:t xml:space="preserve"/>
        </x:is>
      </x:c>
    </x:row>
    <x:row r="100" ht="35" customHeight="1">
      <x:c r="A100" s="7" t="inlineStr">
        <x:is>
          <x:t xml:space="preserve">P202602-0099</x:t>
        </x:is>
      </x:c>
      <x:c r="B100" s="7" t="n">
        <x:v>2026</x:v>
      </x:c>
      <x:c r="C100" s="7" t="inlineStr">
        <x:is>
          <x:t xml:space="preserve">Feb</x:t>
        </x:is>
      </x:c>
      <x:c r="D100" s="7" t="inlineStr">
        <x:is>
          <x:t xml:space="preserve">MCS39</x:t>
        </x:is>
      </x:c>
      <x:c r="E100" s="6" t="inlineStr">
        <x:is>
          <x:t xml:space="preserve">Data backup, storage and restoration process</x:t>
        </x:is>
      </x:c>
      <x:c r="F100" s="6" t="inlineStr">
        <x:is>
          <x:t xml:space="preserve">Theophilus Okolie </x:t>
        </x:is>
      </x:c>
      <x:c r="G100" s="6" t="inlineStr">
        <x:is>
          <x:t xml:space="preserve"/>
        </x:is>
      </x:c>
      <x:c r="H100" s="7" t="inlineStr">
        <x:is>
          <x:t xml:space="preserve">Operating Effectiveness</x:t>
        </x:is>
      </x:c>
      <x:c r="I100" s="7" t="inlineStr">
        <x:is>
          <x:t xml:space="preserve"/>
        </x:is>
      </x:c>
      <x:c r="J100" s="8" t="n">
        <x:v>46068</x:v>
      </x:c>
      <x:c r="K100" s="7" t="inlineStr">
        <x:is>
          <x:t xml:space="preserve">Not Started</x:t>
        </x:is>
      </x:c>
      <x:c r="L100" s="7" t="inlineStr">
        <x:is>
          <x:t xml:space="preserve"/>
        </x:is>
      </x:c>
      <x:c r="M100" s="6" t="inlineStr">
        <x:is>
          <x:t xml:space="preserve"/>
        </x:is>
      </x:c>
    </x:row>
    <x:row r="101" ht="35" customHeight="1">
      <x:c r="A101" s="7" t="inlineStr">
        <x:is>
          <x:t xml:space="preserve">P202602-0100</x:t>
        </x:is>
      </x:c>
      <x:c r="B101" s="7" t="n">
        <x:v>2026</x:v>
      </x:c>
      <x:c r="C101" s="7" t="inlineStr">
        <x:is>
          <x:t xml:space="preserve">Feb</x:t>
        </x:is>
      </x:c>
      <x:c r="D101" s="7" t="inlineStr">
        <x:is>
          <x:t xml:space="preserve">MCS40</x:t>
        </x:is>
      </x:c>
      <x:c r="E101" s="6" t="inlineStr">
        <x:is>
          <x:t xml:space="preserve">Managing changes to IT systems</x:t>
        </x:is>
      </x:c>
      <x:c r="F101" s="6" t="inlineStr">
        <x:is>
          <x:t xml:space="preserve">Theophilus Okolie </x:t>
        </x:is>
      </x:c>
      <x:c r="G101" s="6" t="inlineStr">
        <x:is>
          <x:t xml:space="preserve"/>
        </x:is>
      </x:c>
      <x:c r="H101" s="7" t="inlineStr">
        <x:is>
          <x:t xml:space="preserve">Operating Effectiveness</x:t>
        </x:is>
      </x:c>
      <x:c r="I101" s="7" t="inlineStr">
        <x:is>
          <x:t xml:space="preserve"/>
        </x:is>
      </x:c>
      <x:c r="J101" s="8" t="n">
        <x:v>46068</x:v>
      </x:c>
      <x:c r="K101" s="7" t="inlineStr">
        <x:is>
          <x:t xml:space="preserve">Not Started</x:t>
        </x:is>
      </x:c>
      <x:c r="L101" s="7" t="inlineStr">
        <x:is>
          <x:t xml:space="preserve"/>
        </x:is>
      </x:c>
      <x:c r="M101" s="6" t="inlineStr">
        <x:is>
          <x:t xml:space="preserve"/>
        </x:is>
      </x:c>
    </x:row>
    <x:row r="102" ht="35" customHeight="1">
      <x:c r="A102" s="7" t="inlineStr">
        <x:is>
          <x:t xml:space="preserve">P202602-0101</x:t>
        </x:is>
      </x:c>
      <x:c r="B102" s="7" t="n">
        <x:v>2026</x:v>
      </x:c>
      <x:c r="C102" s="7" t="inlineStr">
        <x:is>
          <x:t xml:space="preserve">Feb</x:t>
        </x:is>
      </x:c>
      <x:c r="D102" s="7" t="inlineStr">
        <x:is>
          <x:t xml:space="preserve">MCS41</x:t>
        </x:is>
      </x:c>
      <x:c r="E102" s="6" t="inlineStr">
        <x:is>
          <x:t xml:space="preserve">Compliance with accounting and reporting standards</x:t>
        </x:is>
      </x:c>
      <x:c r="F102" s="6" t="inlineStr">
        <x:is>
          <x:t xml:space="preserve">Zainab Yunusah Saadu Daniel Banjo</x:t>
        </x:is>
      </x:c>
      <x:c r="G102" s="6" t="inlineStr">
        <x:is>
          <x:t xml:space="preserve"/>
        </x:is>
      </x:c>
      <x:c r="H102" s="7" t="inlineStr">
        <x:is>
          <x:t xml:space="preserve">Operating Effectiveness</x:t>
        </x:is>
      </x:c>
      <x:c r="I102" s="7" t="inlineStr">
        <x:is>
          <x:t xml:space="preserve"/>
        </x:is>
      </x:c>
      <x:c r="J102" s="8" t="n">
        <x:v>46068</x:v>
      </x:c>
      <x:c r="K102" s="7" t="inlineStr">
        <x:is>
          <x:t xml:space="preserve">Not Started</x:t>
        </x:is>
      </x:c>
      <x:c r="L102" s="7" t="inlineStr">
        <x:is>
          <x:t xml:space="preserve"/>
        </x:is>
      </x:c>
      <x:c r="M102" s="6" t="inlineStr">
        <x:is>
          <x:t xml:space="preserve"/>
        </x:is>
      </x:c>
    </x:row>
    <x:row r="103" ht="35" customHeight="1">
      <x:c r="A103" s="7" t="inlineStr">
        <x:is>
          <x:t xml:space="preserve">P202602-0102</x:t>
        </x:is>
      </x:c>
      <x:c r="B103" s="7" t="n">
        <x:v>2026</x:v>
      </x:c>
      <x:c r="C103" s="7" t="inlineStr">
        <x:is>
          <x:t xml:space="preserve">Feb</x:t>
        </x:is>
      </x:c>
      <x:c r="D103" s="7" t="inlineStr">
        <x:is>
          <x:t xml:space="preserve">MCS42</x:t>
        </x:is>
      </x:c>
      <x:c r="E103" s="6" t="inlineStr">
        <x:is>
          <x:t xml:space="preserve">Reconciliation of general ledger accounts</x:t>
        </x:is>
      </x:c>
      <x:c r="F103" s="6" t="inlineStr">
        <x:is>
          <x:t xml:space="preserve">Zainab Yunusah Saadu Daniel Banjo</x:t>
        </x:is>
      </x:c>
      <x:c r="G103" s="6" t="inlineStr">
        <x:is>
          <x:t xml:space="preserve"/>
        </x:is>
      </x:c>
      <x:c r="H103" s="7" t="inlineStr">
        <x:is>
          <x:t xml:space="preserve">Operating Effectiveness</x:t>
        </x:is>
      </x:c>
      <x:c r="I103" s="7" t="inlineStr">
        <x:is>
          <x:t xml:space="preserve"/>
        </x:is>
      </x:c>
      <x:c r="J103" s="8" t="n">
        <x:v>46068</x:v>
      </x:c>
      <x:c r="K103" s="7" t="inlineStr">
        <x:is>
          <x:t xml:space="preserve">Not Started</x:t>
        </x:is>
      </x:c>
      <x:c r="L103" s="7" t="inlineStr">
        <x:is>
          <x:t xml:space="preserve"/>
        </x:is>
      </x:c>
      <x:c r="M103" s="6" t="inlineStr">
        <x:is>
          <x:t xml:space="preserve"/>
        </x:is>
      </x:c>
    </x:row>
    <x:row r="104" ht="35" customHeight="1">
      <x:c r="A104" s="7" t="inlineStr">
        <x:is>
          <x:t xml:space="preserve">P202602-0103</x:t>
        </x:is>
      </x:c>
      <x:c r="B104" s="7" t="n">
        <x:v>2026</x:v>
      </x:c>
      <x:c r="C104" s="7" t="inlineStr">
        <x:is>
          <x:t xml:space="preserve">Feb</x:t>
        </x:is>
      </x:c>
      <x:c r="D104" s="7" t="inlineStr">
        <x:is>
          <x:t xml:space="preserve">MCS43</x:t>
        </x:is>
      </x:c>
      <x:c r="E104" s="6" t="inlineStr">
        <x:is>
          <x:t xml:space="preserve">Reconciliation of bank accounts</x:t>
        </x:is>
      </x:c>
      <x:c r="F104" s="6" t="inlineStr">
        <x:is>
          <x:t xml:space="preserve">Zainab Yunusah Saadu Daniel Banjo</x:t>
        </x:is>
      </x:c>
      <x:c r="G104" s="6" t="inlineStr">
        <x:is>
          <x:t xml:space="preserve"/>
        </x:is>
      </x:c>
      <x:c r="H104" s="7" t="inlineStr">
        <x:is>
          <x:t xml:space="preserve">Operating Effectiveness</x:t>
        </x:is>
      </x:c>
      <x:c r="I104" s="7" t="inlineStr">
        <x:is>
          <x:t xml:space="preserve"/>
        </x:is>
      </x:c>
      <x:c r="J104" s="8" t="n">
        <x:v>46068</x:v>
      </x:c>
      <x:c r="K104" s="7" t="inlineStr">
        <x:is>
          <x:t xml:space="preserve">Not Started</x:t>
        </x:is>
      </x:c>
      <x:c r="L104" s="7" t="inlineStr">
        <x:is>
          <x:t xml:space="preserve"/>
        </x:is>
      </x:c>
      <x:c r="M104" s="6" t="inlineStr">
        <x:is>
          <x:t xml:space="preserve"/>
        </x:is>
      </x:c>
    </x:row>
    <x:row r="105" ht="35" customHeight="1">
      <x:c r="A105" s="7" t="inlineStr">
        <x:is>
          <x:t xml:space="preserve">P202602-0104</x:t>
        </x:is>
      </x:c>
      <x:c r="B105" s="7" t="n">
        <x:v>2026</x:v>
      </x:c>
      <x:c r="C105" s="7" t="inlineStr">
        <x:is>
          <x:t xml:space="preserve">Feb</x:t>
        </x:is>
      </x:c>
      <x:c r="D105" s="7" t="inlineStr">
        <x:is>
          <x:t xml:space="preserve">MCS44</x:t>
        </x:is>
      </x:c>
      <x:c r="E105" s="6" t="inlineStr">
        <x:is>
          <x:t xml:space="preserve">Reconciliation of intercompany balances</x:t>
        </x:is>
      </x:c>
      <x:c r="F105" s="6" t="inlineStr">
        <x:is>
          <x:t xml:space="preserve">Zainab Yunusah Saadu Daniel Banjo</x:t>
        </x:is>
      </x:c>
      <x:c r="G105" s="6" t="inlineStr">
        <x:is>
          <x:t xml:space="preserve"/>
        </x:is>
      </x:c>
      <x:c r="H105" s="7" t="inlineStr">
        <x:is>
          <x:t xml:space="preserve">Operating Effectiveness</x:t>
        </x:is>
      </x:c>
      <x:c r="I105" s="7" t="inlineStr">
        <x:is>
          <x:t xml:space="preserve"/>
        </x:is>
      </x:c>
      <x:c r="J105" s="8" t="n">
        <x:v>46068</x:v>
      </x:c>
      <x:c r="K105" s="7" t="inlineStr">
        <x:is>
          <x:t xml:space="preserve">Not Started</x:t>
        </x:is>
      </x:c>
      <x:c r="L105" s="7" t="inlineStr">
        <x:is>
          <x:t xml:space="preserve"/>
        </x:is>
      </x:c>
      <x:c r="M105" s="6" t="inlineStr">
        <x:is>
          <x:t xml:space="preserve"/>
        </x:is>
      </x:c>
    </x:row>
    <x:row r="106" ht="35" customHeight="1">
      <x:c r="A106" s="7" t="inlineStr">
        <x:is>
          <x:t xml:space="preserve">P202602-0105</x:t>
        </x:is>
      </x:c>
      <x:c r="B106" s="7" t="n">
        <x:v>2026</x:v>
      </x:c>
      <x:c r="C106" s="7" t="inlineStr">
        <x:is>
          <x:t xml:space="preserve">Feb</x:t>
        </x:is>
      </x:c>
      <x:c r="D106" s="7" t="inlineStr">
        <x:is>
          <x:t xml:space="preserve">MCS45</x:t>
        </x:is>
      </x:c>
      <x:c r="E106" s="6" t="inlineStr">
        <x:is>
          <x:t xml:space="preserve">Manual journal entries</x:t>
        </x:is>
      </x:c>
      <x:c r="F106" s="6" t="inlineStr">
        <x:is>
          <x:t xml:space="preserve">Zainab Yunusah Saadu Daniel Banjo</x:t>
        </x:is>
      </x:c>
      <x:c r="G106" s="6" t="inlineStr">
        <x:is>
          <x:t xml:space="preserve"/>
        </x:is>
      </x:c>
      <x:c r="H106" s="7" t="inlineStr">
        <x:is>
          <x:t xml:space="preserve">Operating Effectiveness</x:t>
        </x:is>
      </x:c>
      <x:c r="I106" s="7" t="inlineStr">
        <x:is>
          <x:t xml:space="preserve"/>
        </x:is>
      </x:c>
      <x:c r="J106" s="8" t="n">
        <x:v>46068</x:v>
      </x:c>
      <x:c r="K106" s="7" t="inlineStr">
        <x:is>
          <x:t xml:space="preserve">Not Started</x:t>
        </x:is>
      </x:c>
      <x:c r="L106" s="7" t="inlineStr">
        <x:is>
          <x:t xml:space="preserve"/>
        </x:is>
      </x:c>
      <x:c r="M106" s="6" t="inlineStr">
        <x:is>
          <x:t xml:space="preserve"/>
        </x:is>
      </x:c>
    </x:row>
    <x:row r="107" ht="35" customHeight="1">
      <x:c r="A107" s="7" t="inlineStr">
        <x:is>
          <x:t xml:space="preserve">P202602-0106</x:t>
        </x:is>
      </x:c>
      <x:c r="B107" s="7" t="n">
        <x:v>2026</x:v>
      </x:c>
      <x:c r="C107" s="7" t="inlineStr">
        <x:is>
          <x:t xml:space="preserve">Feb</x:t>
        </x:is>
      </x:c>
      <x:c r="D107" s="7" t="inlineStr">
        <x:is>
          <x:t xml:space="preserve">MCS46</x:t>
        </x:is>
      </x:c>
      <x:c r="E107" s="6" t="inlineStr">
        <x:is>
          <x:t xml:space="preserve">Impairment of goodwill, intangible assets and tangible assets</x:t>
        </x:is>
      </x:c>
      <x:c r="F107" s="6" t="inlineStr">
        <x:is>
          <x:t xml:space="preserve">Zainab Yunusah Saadu Daniel Banjo</x:t>
        </x:is>
      </x:c>
      <x:c r="G107" s="6" t="inlineStr">
        <x:is>
          <x:t xml:space="preserve"/>
        </x:is>
      </x:c>
      <x:c r="H107" s="7" t="inlineStr">
        <x:is>
          <x:t xml:space="preserve">Operating Effectiveness</x:t>
        </x:is>
      </x:c>
      <x:c r="I107" s="7" t="inlineStr">
        <x:is>
          <x:t xml:space="preserve"/>
        </x:is>
      </x:c>
      <x:c r="J107" s="8" t="n">
        <x:v>46068</x:v>
      </x:c>
      <x:c r="K107" s="7" t="inlineStr">
        <x:is>
          <x:t xml:space="preserve">Not Started</x:t>
        </x:is>
      </x:c>
      <x:c r="L107" s="7" t="inlineStr">
        <x:is>
          <x:t xml:space="preserve"/>
        </x:is>
      </x:c>
      <x:c r="M107" s="6" t="inlineStr">
        <x:is>
          <x:t xml:space="preserve"/>
        </x:is>
      </x:c>
    </x:row>
    <x:row r="108" ht="35" customHeight="1">
      <x:c r="A108" s="7" t="inlineStr">
        <x:is>
          <x:t xml:space="preserve">P202602-0107</x:t>
        </x:is>
      </x:c>
      <x:c r="B108" s="7" t="n">
        <x:v>2026</x:v>
      </x:c>
      <x:c r="C108" s="7" t="inlineStr">
        <x:is>
          <x:t xml:space="preserve">Feb</x:t>
        </x:is>
      </x:c>
      <x:c r="D108" s="7" t="inlineStr">
        <x:is>
          <x:t xml:space="preserve">MCS47</x:t>
        </x:is>
      </x:c>
      <x:c r="E108" s="6" t="inlineStr">
        <x:is>
          <x:t xml:space="preserve">Transactions in a foreign currency</x:t>
        </x:is>
      </x:c>
      <x:c r="F108" s="6" t="inlineStr">
        <x:is>
          <x:t xml:space="preserve">Zainab Yunusah Saadu Daniel Banjo</x:t>
        </x:is>
      </x:c>
      <x:c r="G108" s="6" t="inlineStr">
        <x:is>
          <x:t xml:space="preserve"/>
        </x:is>
      </x:c>
      <x:c r="H108" s="7" t="inlineStr">
        <x:is>
          <x:t xml:space="preserve">Operating Effectiveness</x:t>
        </x:is>
      </x:c>
      <x:c r="I108" s="7" t="inlineStr">
        <x:is>
          <x:t xml:space="preserve"/>
        </x:is>
      </x:c>
      <x:c r="J108" s="8" t="n">
        <x:v>46068</x:v>
      </x:c>
      <x:c r="K108" s="7" t="inlineStr">
        <x:is>
          <x:t xml:space="preserve">Not Started</x:t>
        </x:is>
      </x:c>
      <x:c r="L108" s="7" t="inlineStr">
        <x:is>
          <x:t xml:space="preserve"/>
        </x:is>
      </x:c>
      <x:c r="M108" s="6" t="inlineStr">
        <x:is>
          <x:t xml:space="preserve"/>
        </x:is>
      </x:c>
    </x:row>
    <x:row r="109" ht="35" customHeight="1">
      <x:c r="A109" s="7" t="inlineStr">
        <x:is>
          <x:t xml:space="preserve">P202602-0108</x:t>
        </x:is>
      </x:c>
      <x:c r="B109" s="7" t="n">
        <x:v>2026</x:v>
      </x:c>
      <x:c r="C109" s="7" t="inlineStr">
        <x:is>
          <x:t xml:space="preserve">Feb</x:t>
        </x:is>
      </x:c>
      <x:c r="D109" s="7" t="inlineStr">
        <x:is>
          <x:t xml:space="preserve">MCS48</x:t>
        </x:is>
      </x:c>
      <x:c r="E109" s="6" t="inlineStr">
        <x:is>
          <x:t xml:space="preserve">Management of legal structure and consolidation hierarchy</x:t>
        </x:is>
      </x:c>
      <x:c r="F109" s="6" t="inlineStr">
        <x:is>
          <x:t xml:space="preserve">Zainab Yunusah Saadu Daniel Banjo</x:t>
        </x:is>
      </x:c>
      <x:c r="G109" s="6" t="inlineStr">
        <x:is>
          <x:t xml:space="preserve"/>
        </x:is>
      </x:c>
      <x:c r="H109" s="7" t="inlineStr">
        <x:is>
          <x:t xml:space="preserve">Operating Effectiveness</x:t>
        </x:is>
      </x:c>
      <x:c r="I109" s="7" t="inlineStr">
        <x:is>
          <x:t xml:space="preserve"/>
        </x:is>
      </x:c>
      <x:c r="J109" s="8" t="n">
        <x:v>46068</x:v>
      </x:c>
      <x:c r="K109" s="7" t="inlineStr">
        <x:is>
          <x:t xml:space="preserve">Not Started</x:t>
        </x:is>
      </x:c>
      <x:c r="L109" s="7" t="inlineStr">
        <x:is>
          <x:t xml:space="preserve"/>
        </x:is>
      </x:c>
      <x:c r="M109" s="6" t="inlineStr">
        <x:is>
          <x:t xml:space="preserve"/>
        </x:is>
      </x:c>
    </x:row>
    <x:row r="110" ht="35" customHeight="1">
      <x:c r="A110" s="7" t="inlineStr">
        <x:is>
          <x:t xml:space="preserve">P202602-0109</x:t>
        </x:is>
      </x:c>
      <x:c r="B110" s="7" t="n">
        <x:v>2026</x:v>
      </x:c>
      <x:c r="C110" s="7" t="inlineStr">
        <x:is>
          <x:t xml:space="preserve">Feb</x:t>
        </x:is>
      </x:c>
      <x:c r="D110" s="7" t="inlineStr">
        <x:is>
          <x:t xml:space="preserve">MCS49</x:t>
        </x:is>
      </x:c>
      <x:c r="E110" s="6" t="inlineStr">
        <x:is>
          <x:t xml:space="preserve">Consolidation of financial statement</x:t>
        </x:is>
      </x:c>
      <x:c r="F110" s="6" t="inlineStr">
        <x:is>
          <x:t xml:space="preserve">Zainab Yunusah Saadu Daniel Banjo</x:t>
        </x:is>
      </x:c>
      <x:c r="G110" s="6" t="inlineStr">
        <x:is>
          <x:t xml:space="preserve"/>
        </x:is>
      </x:c>
      <x:c r="H110" s="7" t="inlineStr">
        <x:is>
          <x:t xml:space="preserve">Operating Effectiveness</x:t>
        </x:is>
      </x:c>
      <x:c r="I110" s="7" t="inlineStr">
        <x:is>
          <x:t xml:space="preserve"/>
        </x:is>
      </x:c>
      <x:c r="J110" s="8" t="n">
        <x:v>46068</x:v>
      </x:c>
      <x:c r="K110" s="7" t="inlineStr">
        <x:is>
          <x:t xml:space="preserve">Not Started</x:t>
        </x:is>
      </x:c>
      <x:c r="L110" s="7" t="inlineStr">
        <x:is>
          <x:t xml:space="preserve"/>
        </x:is>
      </x:c>
      <x:c r="M110" s="6" t="inlineStr">
        <x:is>
          <x:t xml:space="preserve"/>
        </x:is>
      </x:c>
    </x:row>
    <x:row r="111" ht="35" customHeight="1">
      <x:c r="A111" s="7" t="inlineStr">
        <x:is>
          <x:t xml:space="preserve">P202602-0110</x:t>
        </x:is>
      </x:c>
      <x:c r="B111" s="7" t="n">
        <x:v>2026</x:v>
      </x:c>
      <x:c r="C111" s="7" t="inlineStr">
        <x:is>
          <x:t xml:space="preserve">Feb</x:t>
        </x:is>
      </x:c>
      <x:c r="D111" s="7" t="inlineStr">
        <x:is>
          <x:t xml:space="preserve">MCS50</x:t>
        </x:is>
      </x:c>
      <x:c r="E111" s="6" t="inlineStr">
        <x:is>
          <x:t xml:space="preserve">Statutory financial statements</x:t>
        </x:is>
      </x:c>
      <x:c r="F111" s="6" t="inlineStr">
        <x:is>
          <x:t xml:space="preserve">Zainab Yunusah Saadu Daniel Banjo</x:t>
        </x:is>
      </x:c>
      <x:c r="G111" s="6" t="inlineStr">
        <x:is>
          <x:t xml:space="preserve"/>
        </x:is>
      </x:c>
      <x:c r="H111" s="7" t="inlineStr">
        <x:is>
          <x:t xml:space="preserve">Operating Effectiveness</x:t>
        </x:is>
      </x:c>
      <x:c r="I111" s="7" t="inlineStr">
        <x:is>
          <x:t xml:space="preserve"/>
        </x:is>
      </x:c>
      <x:c r="J111" s="8" t="n">
        <x:v>46068</x:v>
      </x:c>
      <x:c r="K111" s="7" t="inlineStr">
        <x:is>
          <x:t xml:space="preserve">Not Started</x:t>
        </x:is>
      </x:c>
      <x:c r="L111" s="7" t="inlineStr">
        <x:is>
          <x:t xml:space="preserve"/>
        </x:is>
      </x:c>
      <x:c r="M111" s="6" t="inlineStr">
        <x:is>
          <x:t xml:space="preserve"/>
        </x:is>
      </x:c>
    </x:row>
    <x:row r="112" ht="35" customHeight="1">
      <x:c r="A112" s="7" t="inlineStr">
        <x:is>
          <x:t xml:space="preserve">P202602-0111</x:t>
        </x:is>
      </x:c>
      <x:c r="B112" s="7" t="n">
        <x:v>2026</x:v>
      </x:c>
      <x:c r="C112" s="7" t="inlineStr">
        <x:is>
          <x:t xml:space="preserve">Feb</x:t>
        </x:is>
      </x:c>
      <x:c r="D112" s="7" t="inlineStr">
        <x:is>
          <x:t xml:space="preserve">MCS51</x:t>
        </x:is>
      </x:c>
      <x:c r="E112" s="6" t="inlineStr">
        <x:is>
          <x:t xml:space="preserve">Tax risk assessment and reporting</x:t>
        </x:is>
      </x:c>
      <x:c r="F112" s="6" t="n"/>
      <x:c r="G112" s="6" t="inlineStr">
        <x:is>
          <x:t xml:space="preserve"/>
        </x:is>
      </x:c>
      <x:c r="H112" s="7" t="inlineStr">
        <x:is>
          <x:t xml:space="preserve">Operating Effectiveness</x:t>
        </x:is>
      </x:c>
      <x:c r="I112" s="7" t="inlineStr">
        <x:is>
          <x:t xml:space="preserve"/>
        </x:is>
      </x:c>
      <x:c r="J112" s="8" t="n">
        <x:v>46068</x:v>
      </x:c>
      <x:c r="K112" s="7" t="inlineStr">
        <x:is>
          <x:t xml:space="preserve">Not Started</x:t>
        </x:is>
      </x:c>
      <x:c r="L112" s="7" t="inlineStr">
        <x:is>
          <x:t xml:space="preserve"/>
        </x:is>
      </x:c>
      <x:c r="M112" s="6" t="inlineStr">
        <x:is>
          <x:t xml:space="preserve"/>
        </x:is>
      </x:c>
    </x:row>
    <x:row r="113" ht="35" customHeight="1">
      <x:c r="A113" s="7" t="inlineStr">
        <x:is>
          <x:t xml:space="preserve">P202602-0112</x:t>
        </x:is>
      </x:c>
      <x:c r="B113" s="7" t="n">
        <x:v>2026</x:v>
      </x:c>
      <x:c r="C113" s="7" t="inlineStr">
        <x:is>
          <x:t xml:space="preserve">Feb</x:t>
        </x:is>
      </x:c>
      <x:c r="D113" s="7" t="inlineStr">
        <x:is>
          <x:t xml:space="preserve">MCS52</x:t>
        </x:is>
      </x:c>
      <x:c r="E113" s="6" t="inlineStr">
        <x:is>
          <x:t xml:space="preserve">Tax filings and payments</x:t>
        </x:is>
      </x:c>
      <x:c r="F113" s="6" t="n"/>
      <x:c r="G113" s="6" t="inlineStr">
        <x:is>
          <x:t xml:space="preserve"/>
        </x:is>
      </x:c>
      <x:c r="H113" s="7" t="inlineStr">
        <x:is>
          <x:t xml:space="preserve">Operating Effectiveness</x:t>
        </x:is>
      </x:c>
      <x:c r="I113" s="7" t="inlineStr">
        <x:is>
          <x:t xml:space="preserve"/>
        </x:is>
      </x:c>
      <x:c r="J113" s="8" t="n">
        <x:v>46068</x:v>
      </x:c>
      <x:c r="K113" s="7" t="inlineStr">
        <x:is>
          <x:t xml:space="preserve">Not Started</x:t>
        </x:is>
      </x:c>
      <x:c r="L113" s="7" t="inlineStr">
        <x:is>
          <x:t xml:space="preserve"/>
        </x:is>
      </x:c>
      <x:c r="M113" s="6" t="inlineStr">
        <x:is>
          <x:t xml:space="preserve"/>
        </x:is>
      </x:c>
    </x:row>
    <x:row r="114" ht="35" customHeight="1">
      <x:c r="A114" s="7" t="inlineStr">
        <x:is>
          <x:t xml:space="preserve">P202602-0113</x:t>
        </x:is>
      </x:c>
      <x:c r="B114" s="7" t="n">
        <x:v>2026</x:v>
      </x:c>
      <x:c r="C114" s="7" t="inlineStr">
        <x:is>
          <x:t xml:space="preserve">Feb</x:t>
        </x:is>
      </x:c>
      <x:c r="D114" s="7" t="inlineStr">
        <x:is>
          <x:t xml:space="preserve">MCS53</x:t>
        </x:is>
      </x:c>
      <x:c r="E114" s="6" t="inlineStr">
        <x:is>
          <x:t xml:space="preserve">Deferred and current income tax calculations</x:t>
        </x:is>
      </x:c>
      <x:c r="F114" s="6" t="n"/>
      <x:c r="G114" s="6" t="inlineStr">
        <x:is>
          <x:t xml:space="preserve"/>
        </x:is>
      </x:c>
      <x:c r="H114" s="7" t="inlineStr">
        <x:is>
          <x:t xml:space="preserve">Operating Effectiveness</x:t>
        </x:is>
      </x:c>
      <x:c r="I114" s="7" t="inlineStr">
        <x:is>
          <x:t xml:space="preserve"/>
        </x:is>
      </x:c>
      <x:c r="J114" s="8" t="n">
        <x:v>46068</x:v>
      </x:c>
      <x:c r="K114" s="7" t="inlineStr">
        <x:is>
          <x:t xml:space="preserve">Not Started</x:t>
        </x:is>
      </x:c>
      <x:c r="L114" s="7" t="inlineStr">
        <x:is>
          <x:t xml:space="preserve"/>
        </x:is>
      </x:c>
      <x:c r="M114" s="6" t="inlineStr">
        <x:is>
          <x:t xml:space="preserve"/>
        </x:is>
      </x:c>
    </x:row>
    <x:row r="115" ht="35" customHeight="1">
      <x:c r="A115" s="7" t="inlineStr">
        <x:is>
          <x:t xml:space="preserve">P202602-0114</x:t>
        </x:is>
      </x:c>
      <x:c r="B115" s="7" t="n">
        <x:v>2026</x:v>
      </x:c>
      <x:c r="C115" s="7" t="inlineStr">
        <x:is>
          <x:t xml:space="preserve">Feb</x:t>
        </x:is>
      </x:c>
      <x:c r="D115" s="7" t="inlineStr">
        <x:is>
          <x:t xml:space="preserve">MCS54</x:t>
        </x:is>
      </x:c>
      <x:c r="E115" s="6" t="inlineStr">
        <x:is>
          <x:t xml:space="preserve">Transfer pricing</x:t>
        </x:is>
      </x:c>
      <x:c r="F115" s="6" t="n"/>
      <x:c r="G115" s="6" t="inlineStr">
        <x:is>
          <x:t xml:space="preserve"/>
        </x:is>
      </x:c>
      <x:c r="H115" s="7" t="inlineStr">
        <x:is>
          <x:t xml:space="preserve">Operating Effectiveness</x:t>
        </x:is>
      </x:c>
      <x:c r="I115" s="7" t="inlineStr">
        <x:is>
          <x:t xml:space="preserve"/>
        </x:is>
      </x:c>
      <x:c r="J115" s="8" t="n">
        <x:v>46068</x:v>
      </x:c>
      <x:c r="K115" s="7" t="inlineStr">
        <x:is>
          <x:t xml:space="preserve">Not Started</x:t>
        </x:is>
      </x:c>
      <x:c r="L115" s="7" t="inlineStr">
        <x:is>
          <x:t xml:space="preserve"/>
        </x:is>
      </x:c>
      <x:c r="M115" s="6" t="inlineStr">
        <x:is>
          <x:t xml:space="preserve"/>
        </x:is>
      </x:c>
    </x:row>
    <x:row r="116" ht="35" customHeight="1">
      <x:c r="A116" s="7" t="inlineStr">
        <x:is>
          <x:t xml:space="preserve">P202602-0115</x:t>
        </x:is>
      </x:c>
      <x:c r="B116" s="7" t="n">
        <x:v>2026</x:v>
      </x:c>
      <x:c r="C116" s="7" t="inlineStr">
        <x:is>
          <x:t xml:space="preserve">Feb</x:t>
        </x:is>
      </x:c>
      <x:c r="D116" s="7" t="inlineStr">
        <x:is>
          <x:t xml:space="preserve">MCS55</x:t>
        </x:is>
      </x:c>
      <x:c r="E116" s="6" t="inlineStr">
        <x:is>
          <x:t xml:space="preserve">Non-income (indirect) taxes</x:t>
        </x:is>
      </x:c>
      <x:c r="F116" s="6" t="n"/>
      <x:c r="G116" s="6" t="inlineStr">
        <x:is>
          <x:t xml:space="preserve"/>
        </x:is>
      </x:c>
      <x:c r="H116" s="7" t="inlineStr">
        <x:is>
          <x:t xml:space="preserve">Operating Effectiveness</x:t>
        </x:is>
      </x:c>
      <x:c r="I116" s="7" t="inlineStr">
        <x:is>
          <x:t xml:space="preserve"/>
        </x:is>
      </x:c>
      <x:c r="J116" s="8" t="n">
        <x:v>46068</x:v>
      </x:c>
      <x:c r="K116" s="7" t="inlineStr">
        <x:is>
          <x:t xml:space="preserve">Not Started</x:t>
        </x:is>
      </x:c>
      <x:c r="L116" s="7" t="inlineStr">
        <x:is>
          <x:t xml:space="preserve"/>
        </x:is>
      </x:c>
      <x:c r="M116" s="6" t="inlineStr">
        <x:is>
          <x:t xml:space="preserve"/>
        </x:is>
      </x:c>
    </x:row>
    <x:row r="117" ht="35" customHeight="1">
      <x:c r="A117" s="7" t="inlineStr">
        <x:is>
          <x:t xml:space="preserve">P202602-0116</x:t>
        </x:is>
      </x:c>
      <x:c r="B117" s="7" t="n">
        <x:v>2026</x:v>
      </x:c>
      <x:c r="C117" s="7" t="inlineStr">
        <x:is>
          <x:t xml:space="preserve">Feb</x:t>
        </x:is>
      </x:c>
      <x:c r="D117" s="7" t="inlineStr">
        <x:is>
          <x:t xml:space="preserve">MCS56</x:t>
        </x:is>
      </x:c>
      <x:c r="E117" s="6" t="inlineStr">
        <x:is>
          <x:t xml:space="preserve">Bank relations</x:t>
        </x:is>
      </x:c>
      <x:c r="F117" s="6" t="n"/>
      <x:c r="G117" s="6" t="inlineStr">
        <x:is>
          <x:t xml:space="preserve"/>
        </x:is>
      </x:c>
      <x:c r="H117" s="7" t="inlineStr">
        <x:is>
          <x:t xml:space="preserve">Operating Effectiveness</x:t>
        </x:is>
      </x:c>
      <x:c r="I117" s="7" t="inlineStr">
        <x:is>
          <x:t xml:space="preserve"/>
        </x:is>
      </x:c>
      <x:c r="J117" s="8" t="n">
        <x:v>46068</x:v>
      </x:c>
      <x:c r="K117" s="7" t="inlineStr">
        <x:is>
          <x:t xml:space="preserve">Not Started</x:t>
        </x:is>
      </x:c>
      <x:c r="L117" s="7" t="inlineStr">
        <x:is>
          <x:t xml:space="preserve"/>
        </x:is>
      </x:c>
      <x:c r="M117" s="6" t="inlineStr">
        <x:is>
          <x:t xml:space="preserve"/>
        </x:is>
      </x:c>
    </x:row>
    <x:row r="118" ht="35" customHeight="1">
      <x:c r="A118" s="7" t="inlineStr">
        <x:is>
          <x:t xml:space="preserve">P202602-0117</x:t>
        </x:is>
      </x:c>
      <x:c r="B118" s="7" t="n">
        <x:v>2026</x:v>
      </x:c>
      <x:c r="C118" s="7" t="inlineStr">
        <x:is>
          <x:t xml:space="preserve">Feb</x:t>
        </x:is>
      </x:c>
      <x:c r="D118" s="7" t="inlineStr">
        <x:is>
          <x:t xml:space="preserve">MCS57</x:t>
        </x:is>
      </x:c>
      <x:c r="E118" s="6" t="inlineStr">
        <x:is>
          <x:t xml:space="preserve">Cash transactions are not permitted without Regional Controller approval</x:t>
        </x:is>
      </x:c>
      <x:c r="F118" s="6" t="n"/>
      <x:c r="G118" s="6" t="inlineStr">
        <x:is>
          <x:t xml:space="preserve"/>
        </x:is>
      </x:c>
      <x:c r="H118" s="7" t="inlineStr">
        <x:is>
          <x:t xml:space="preserve">Operating Effectiveness</x:t>
        </x:is>
      </x:c>
      <x:c r="I118" s="7" t="inlineStr">
        <x:is>
          <x:t xml:space="preserve"/>
        </x:is>
      </x:c>
      <x:c r="J118" s="8" t="n">
        <x:v>46068</x:v>
      </x:c>
      <x:c r="K118" s="7" t="inlineStr">
        <x:is>
          <x:t xml:space="preserve">Not Started</x:t>
        </x:is>
      </x:c>
      <x:c r="L118" s="7" t="inlineStr">
        <x:is>
          <x:t xml:space="preserve"/>
        </x:is>
      </x:c>
      <x:c r="M118" s="6" t="inlineStr">
        <x:is>
          <x:t xml:space="preserve"/>
        </x:is>
      </x:c>
    </x:row>
    <x:row r="119" ht="35" customHeight="1">
      <x:c r="A119" s="7" t="inlineStr">
        <x:is>
          <x:t xml:space="preserve">P202602-0118</x:t>
        </x:is>
      </x:c>
      <x:c r="B119" s="7" t="n">
        <x:v>2026</x:v>
      </x:c>
      <x:c r="C119" s="7" t="inlineStr">
        <x:is>
          <x:t xml:space="preserve">Feb</x:t>
        </x:is>
      </x:c>
      <x:c r="D119" s="7" t="inlineStr">
        <x:is>
          <x:t xml:space="preserve">MCS58</x:t>
        </x:is>
      </x:c>
      <x:c r="E119" s="6" t="inlineStr">
        <x:is>
          <x:t xml:space="preserve">Secure payment means</x:t>
        </x:is>
      </x:c>
      <x:c r="F119" s="6" t="n"/>
      <x:c r="G119" s="6" t="inlineStr">
        <x:is>
          <x:t xml:space="preserve"/>
        </x:is>
      </x:c>
      <x:c r="H119" s="7" t="inlineStr">
        <x:is>
          <x:t xml:space="preserve">Operating Effectiveness</x:t>
        </x:is>
      </x:c>
      <x:c r="I119" s="7" t="inlineStr">
        <x:is>
          <x:t xml:space="preserve"/>
        </x:is>
      </x:c>
      <x:c r="J119" s="8" t="n">
        <x:v>46068</x:v>
      </x:c>
      <x:c r="K119" s="7" t="inlineStr">
        <x:is>
          <x:t xml:space="preserve">Not Started</x:t>
        </x:is>
      </x:c>
      <x:c r="L119" s="7" t="inlineStr">
        <x:is>
          <x:t xml:space="preserve"/>
        </x:is>
      </x:c>
      <x:c r="M119" s="6" t="inlineStr">
        <x:is>
          <x:t xml:space="preserve"/>
        </x:is>
      </x:c>
    </x:row>
    <x:row r="120" ht="35" customHeight="1">
      <x:c r="A120" s="7" t="inlineStr">
        <x:is>
          <x:t xml:space="preserve">P202602-0119</x:t>
        </x:is>
      </x:c>
      <x:c r="B120" s="7" t="n">
        <x:v>2026</x:v>
      </x:c>
      <x:c r="C120" s="7" t="inlineStr">
        <x:is>
          <x:t xml:space="preserve">Feb</x:t>
        </x:is>
      </x:c>
      <x:c r="D120" s="7" t="inlineStr">
        <x:is>
          <x:t xml:space="preserve">MCS59</x:t>
        </x:is>
      </x:c>
      <x:c r="E120" s="6" t="inlineStr">
        <x:is>
          <x:t xml:space="preserve">Financial instruments, borrowings, commitments and working capital schemes</x:t>
        </x:is>
      </x:c>
      <x:c r="F120" s="6" t="n"/>
      <x:c r="G120" s="6" t="inlineStr">
        <x:is>
          <x:t xml:space="preserve"/>
        </x:is>
      </x:c>
      <x:c r="H120" s="7" t="inlineStr">
        <x:is>
          <x:t xml:space="preserve">Operating Effectiveness</x:t>
        </x:is>
      </x:c>
      <x:c r="I120" s="7" t="inlineStr">
        <x:is>
          <x:t xml:space="preserve"/>
        </x:is>
      </x:c>
      <x:c r="J120" s="8" t="n">
        <x:v>46068</x:v>
      </x:c>
      <x:c r="K120" s="7" t="inlineStr">
        <x:is>
          <x:t xml:space="preserve">Not Started</x:t>
        </x:is>
      </x:c>
      <x:c r="L120" s="7" t="inlineStr">
        <x:is>
          <x:t xml:space="preserve"/>
        </x:is>
      </x:c>
      <x:c r="M120" s="6" t="inlineStr">
        <x:is>
          <x:t xml:space="preserve"/>
        </x:is>
      </x:c>
    </x:row>
    <x:row r="121" ht="35" customHeight="1">
      <x:c r="A121" s="7" t="inlineStr">
        <x:is>
          <x:t xml:space="preserve">P202602-0120</x:t>
        </x:is>
      </x:c>
      <x:c r="B121" s="7" t="n">
        <x:v>2026</x:v>
      </x:c>
      <x:c r="C121" s="7" t="inlineStr">
        <x:is>
          <x:t xml:space="preserve">Feb</x:t>
        </x:is>
      </x:c>
      <x:c r="D121" s="7" t="inlineStr">
        <x:is>
          <x:t xml:space="preserve">MCS60</x:t>
        </x:is>
      </x:c>
      <x:c r="E121" s="6" t="inlineStr">
        <x:is>
          <x:t xml:space="preserve">Forex, interest rate, commodities risks monitoring and hedging</x:t>
        </x:is>
      </x:c>
      <x:c r="F121" s="6" t="n"/>
      <x:c r="G121" s="6" t="inlineStr">
        <x:is>
          <x:t xml:space="preserve"/>
        </x:is>
      </x:c>
      <x:c r="H121" s="7" t="inlineStr">
        <x:is>
          <x:t xml:space="preserve">Operating Effectiveness</x:t>
        </x:is>
      </x:c>
      <x:c r="I121" s="7" t="inlineStr">
        <x:is>
          <x:t xml:space="preserve"/>
        </x:is>
      </x:c>
      <x:c r="J121" s="8" t="n">
        <x:v>46068</x:v>
      </x:c>
      <x:c r="K121" s="7" t="inlineStr">
        <x:is>
          <x:t xml:space="preserve">Not Started</x:t>
        </x:is>
      </x:c>
      <x:c r="L121" s="7" t="inlineStr">
        <x:is>
          <x:t xml:space="preserve"/>
        </x:is>
      </x:c>
      <x:c r="M121" s="6" t="inlineStr">
        <x:is>
          <x:t xml:space="preserve"/>
        </x:is>
      </x:c>
    </x:row>
    <x:row r="122" ht="35" customHeight="1">
      <x:c r="A122" s="7" t="inlineStr">
        <x:is>
          <x:t xml:space="preserve">P202603-0121</x:t>
        </x:is>
      </x:c>
      <x:c r="B122" s="7" t="n">
        <x:v>2026</x:v>
      </x:c>
      <x:c r="C122" s="7" t="inlineStr">
        <x:is>
          <x:t xml:space="preserve">Mar</x:t>
        </x:is>
      </x:c>
      <x:c r="D122" s="7" t="inlineStr">
        <x:is>
          <x:t xml:space="preserve">MCS01</x:t>
        </x:is>
      </x:c>
      <x:c r="E122" s="6" t="inlineStr">
        <x:is>
          <x:t xml:space="preserve">Communication and promotion of the Code of Business Conduct and speak-up culture</x:t>
        </x:is>
      </x:c>
      <x:c r="F122" s="6" t="inlineStr">
        <x:is>
          <x:t xml:space="preserve">Omoyemi Tuga Olamide Ayo-Ogunlade </x:t>
        </x:is>
      </x:c>
      <x:c r="G122" s="6" t="inlineStr">
        <x:is>
          <x:t xml:space="preserve"/>
        </x:is>
      </x:c>
      <x:c r="H122" s="7" t="inlineStr">
        <x:is>
          <x:t xml:space="preserve">Operating Effectiveness</x:t>
        </x:is>
      </x:c>
      <x:c r="I122" s="7" t="inlineStr">
        <x:is>
          <x:t xml:space="preserve"/>
        </x:is>
      </x:c>
      <x:c r="J122" s="8" t="n">
        <x:v>46096</x:v>
      </x:c>
      <x:c r="K122" s="7" t="inlineStr">
        <x:is>
          <x:t xml:space="preserve">Not Started</x:t>
        </x:is>
      </x:c>
      <x:c r="L122" s="7" t="inlineStr">
        <x:is>
          <x:t xml:space="preserve"/>
        </x:is>
      </x:c>
      <x:c r="M122" s="6" t="inlineStr">
        <x:is>
          <x:t xml:space="preserve"/>
        </x:is>
      </x:c>
    </x:row>
    <x:row r="123" ht="35" customHeight="1">
      <x:c r="A123" s="7" t="inlineStr">
        <x:is>
          <x:t xml:space="preserve">P202603-0122</x:t>
        </x:is>
      </x:c>
      <x:c r="B123" s="7" t="n">
        <x:v>2026</x:v>
      </x:c>
      <x:c r="C123" s="7" t="inlineStr">
        <x:is>
          <x:t xml:space="preserve">Mar</x:t>
        </x:is>
      </x:c>
      <x:c r="D123" s="7" t="inlineStr">
        <x:is>
          <x:t xml:space="preserve">MCS02</x:t>
        </x:is>
      </x:c>
      <x:c r="E123" s="6" t="inlineStr">
        <x:is>
          <x:t xml:space="preserve">Compliance with Fair Competition laws and requirements</x:t>
        </x:is>
      </x:c>
      <x:c r="F123" s="6" t="inlineStr">
        <x:is>
          <x:t xml:space="preserve">Mary Waititu</x:t>
        </x:is>
      </x:c>
      <x:c r="G123" s="6" t="inlineStr">
        <x:is>
          <x:t xml:space="preserve"/>
        </x:is>
      </x:c>
      <x:c r="H123" s="7" t="inlineStr">
        <x:is>
          <x:t xml:space="preserve">Operating Effectiveness</x:t>
        </x:is>
      </x:c>
      <x:c r="I123" s="7" t="inlineStr">
        <x:is>
          <x:t xml:space="preserve"/>
        </x:is>
      </x:c>
      <x:c r="J123" s="8" t="n">
        <x:v>46096</x:v>
      </x:c>
      <x:c r="K123" s="7" t="inlineStr">
        <x:is>
          <x:t xml:space="preserve">Not Started</x:t>
        </x:is>
      </x:c>
      <x:c r="L123" s="7" t="inlineStr">
        <x:is>
          <x:t xml:space="preserve"/>
        </x:is>
      </x:c>
      <x:c r="M123" s="6" t="inlineStr">
        <x:is>
          <x:t xml:space="preserve"/>
        </x:is>
      </x:c>
    </x:row>
    <x:row r="124" ht="35" customHeight="1">
      <x:c r="A124" s="7" t="inlineStr">
        <x:is>
          <x:t xml:space="preserve">P202603-0123</x:t>
        </x:is>
      </x:c>
      <x:c r="B124" s="7" t="n">
        <x:v>2026</x:v>
      </x:c>
      <x:c r="C124" s="7" t="inlineStr">
        <x:is>
          <x:t xml:space="preserve">Mar</x:t>
        </x:is>
      </x:c>
      <x:c r="D124" s="7" t="inlineStr">
        <x:is>
          <x:t xml:space="preserve">MCS03</x:t>
        </x:is>
      </x:c>
      <x:c r="E124" s="6" t="inlineStr">
        <x:is>
          <x:t xml:space="preserve">Related party transactions and conflict of interests</x:t>
        </x:is>
      </x:c>
      <x:c r="F124" s="6" t="inlineStr">
        <x:is>
          <x:t xml:space="preserve">Mary Waititu Godson Iwuozo</x:t>
        </x:is>
      </x:c>
      <x:c r="G124" s="6" t="inlineStr">
        <x:is>
          <x:t xml:space="preserve"/>
        </x:is>
      </x:c>
      <x:c r="H124" s="7" t="inlineStr">
        <x:is>
          <x:t xml:space="preserve">Operating Effectiveness</x:t>
        </x:is>
      </x:c>
      <x:c r="I124" s="7" t="inlineStr">
        <x:is>
          <x:t xml:space="preserve"/>
        </x:is>
      </x:c>
      <x:c r="J124" s="8" t="n">
        <x:v>46096</x:v>
      </x:c>
      <x:c r="K124" s="7" t="inlineStr">
        <x:is>
          <x:t xml:space="preserve">Not Started</x:t>
        </x:is>
      </x:c>
      <x:c r="L124" s="7" t="inlineStr">
        <x:is>
          <x:t xml:space="preserve"/>
        </x:is>
      </x:c>
      <x:c r="M124" s="6" t="inlineStr">
        <x:is>
          <x:t xml:space="preserve"/>
        </x:is>
      </x:c>
    </x:row>
    <x:row r="125" ht="35" customHeight="1">
      <x:c r="A125" s="7" t="inlineStr">
        <x:is>
          <x:t xml:space="preserve">P202603-0124</x:t>
        </x:is>
      </x:c>
      <x:c r="B125" s="7" t="n">
        <x:v>2026</x:v>
      </x:c>
      <x:c r="C125" s="7" t="inlineStr">
        <x:is>
          <x:t xml:space="preserve">Mar</x:t>
        </x:is>
      </x:c>
      <x:c r="D125" s="7" t="inlineStr">
        <x:is>
          <x:t xml:space="preserve">MCS04</x:t>
        </x:is>
      </x:c>
      <x:c r="E125" s="6" t="inlineStr">
        <x:is>
          <x:t xml:space="preserve">Board of Directors secretarial requirements</x:t>
        </x:is>
      </x:c>
      <x:c r="F125" s="6" t="inlineStr">
        <x:is>
          <x:t xml:space="preserve">Mary Waititu Godson Iwuozo</x:t>
        </x:is>
      </x:c>
      <x:c r="G125" s="6" t="inlineStr">
        <x:is>
          <x:t xml:space="preserve"/>
        </x:is>
      </x:c>
      <x:c r="H125" s="7" t="inlineStr">
        <x:is>
          <x:t xml:space="preserve">Operating Effectiveness</x:t>
        </x:is>
      </x:c>
      <x:c r="I125" s="7" t="inlineStr">
        <x:is>
          <x:t xml:space="preserve"/>
        </x:is>
      </x:c>
      <x:c r="J125" s="8" t="n">
        <x:v>46096</x:v>
      </x:c>
      <x:c r="K125" s="7" t="inlineStr">
        <x:is>
          <x:t xml:space="preserve">Not Started</x:t>
        </x:is>
      </x:c>
      <x:c r="L125" s="7" t="inlineStr">
        <x:is>
          <x:t xml:space="preserve"/>
        </x:is>
      </x:c>
      <x:c r="M125" s="6" t="inlineStr">
        <x:is>
          <x:t xml:space="preserve"/>
        </x:is>
      </x:c>
    </x:row>
    <x:row r="126" ht="35" customHeight="1">
      <x:c r="A126" s="7" t="inlineStr">
        <x:is>
          <x:t xml:space="preserve">P202603-0125</x:t>
        </x:is>
      </x:c>
      <x:c r="B126" s="7" t="n">
        <x:v>2026</x:v>
      </x:c>
      <x:c r="C126" s="7" t="inlineStr">
        <x:is>
          <x:t xml:space="preserve">Mar</x:t>
        </x:is>
      </x:c>
      <x:c r="D126" s="7" t="inlineStr">
        <x:is>
          <x:t xml:space="preserve">MCS05</x:t>
        </x:is>
      </x:c>
      <x:c r="E126" s="6" t="inlineStr">
        <x:is>
          <x:t xml:space="preserve">Health, Safety &amp; Environment</x:t>
        </x:is>
      </x:c>
      <x:c r="F126" s="6" t="inlineStr">
        <x:is>
          <x:t xml:space="preserve">Omoyemi Tuga Yomi Jegede</x:t>
        </x:is>
      </x:c>
      <x:c r="G126" s="6" t="inlineStr">
        <x:is>
          <x:t xml:space="preserve"/>
        </x:is>
      </x:c>
      <x:c r="H126" s="7" t="inlineStr">
        <x:is>
          <x:t xml:space="preserve">Operating Effectiveness</x:t>
        </x:is>
      </x:c>
      <x:c r="I126" s="7" t="inlineStr">
        <x:is>
          <x:t xml:space="preserve"/>
        </x:is>
      </x:c>
      <x:c r="J126" s="8" t="n">
        <x:v>46096</x:v>
      </x:c>
      <x:c r="K126" s="7" t="inlineStr">
        <x:is>
          <x:t xml:space="preserve">Not Started</x:t>
        </x:is>
      </x:c>
      <x:c r="L126" s="7" t="inlineStr">
        <x:is>
          <x:t xml:space="preserve"/>
        </x:is>
      </x:c>
      <x:c r="M126" s="6" t="inlineStr">
        <x:is>
          <x:t xml:space="preserve"/>
        </x:is>
      </x:c>
    </x:row>
    <x:row r="127" ht="35" customHeight="1">
      <x:c r="A127" s="7" t="inlineStr">
        <x:is>
          <x:t xml:space="preserve">P202603-0126</x:t>
        </x:is>
      </x:c>
      <x:c r="B127" s="7" t="n">
        <x:v>2026</x:v>
      </x:c>
      <x:c r="C127" s="7" t="inlineStr">
        <x:is>
          <x:t xml:space="preserve">Mar</x:t>
        </x:is>
      </x:c>
      <x:c r="D127" s="7" t="inlineStr">
        <x:is>
          <x:t xml:space="preserve">MCS06</x:t>
        </x:is>
      </x:c>
      <x:c r="E127" s="6" t="inlineStr">
        <x:is>
          <x:t xml:space="preserve">Risk assessment</x:t>
        </x:is>
      </x:c>
      <x:c r="F127" s="6" t="inlineStr">
        <x:is>
          <x:t xml:space="preserve">Oluwaseun Oyedepo</x:t>
        </x:is>
      </x:c>
      <x:c r="G127" s="6" t="inlineStr">
        <x:is>
          <x:t xml:space="preserve"/>
        </x:is>
      </x:c>
      <x:c r="H127" s="7" t="inlineStr">
        <x:is>
          <x:t xml:space="preserve">Operating Effectiveness</x:t>
        </x:is>
      </x:c>
      <x:c r="I127" s="7" t="inlineStr">
        <x:is>
          <x:t xml:space="preserve"/>
        </x:is>
      </x:c>
      <x:c r="J127" s="8" t="n">
        <x:v>46096</x:v>
      </x:c>
      <x:c r="K127" s="7" t="inlineStr">
        <x:is>
          <x:t xml:space="preserve">Not Started</x:t>
        </x:is>
      </x:c>
      <x:c r="L127" s="7" t="inlineStr">
        <x:is>
          <x:t xml:space="preserve"/>
        </x:is>
      </x:c>
      <x:c r="M127" s="6" t="inlineStr">
        <x:is>
          <x:t xml:space="preserve"/>
        </x:is>
      </x:c>
    </x:row>
    <x:row r="128" ht="35" customHeight="1">
      <x:c r="A128" s="7" t="inlineStr">
        <x:is>
          <x:t xml:space="preserve">P202603-0127</x:t>
        </x:is>
      </x:c>
      <x:c r="B128" s="7" t="n">
        <x:v>2026</x:v>
      </x:c>
      <x:c r="C128" s="7" t="inlineStr">
        <x:is>
          <x:t xml:space="preserve">Mar</x:t>
        </x:is>
      </x:c>
      <x:c r="D128" s="7" t="inlineStr">
        <x:is>
          <x:t xml:space="preserve">MCS07</x:t>
        </x:is>
      </x:c>
      <x:c r="E128" s="6" t="inlineStr">
        <x:is>
          <x:t xml:space="preserve">Mitigation of business risks - Security</x:t>
        </x:is>
      </x:c>
      <x:c r="F128" s="6" t="inlineStr">
        <x:is>
          <x:t xml:space="preserve">Olamide Ayo-Ogunlade Obinna Ojimba</x:t>
        </x:is>
      </x:c>
      <x:c r="G128" s="6" t="inlineStr">
        <x:is>
          <x:t xml:space="preserve"/>
        </x:is>
      </x:c>
      <x:c r="H128" s="7" t="inlineStr">
        <x:is>
          <x:t xml:space="preserve">Operating Effectiveness</x:t>
        </x:is>
      </x:c>
      <x:c r="I128" s="7" t="inlineStr">
        <x:is>
          <x:t xml:space="preserve"/>
        </x:is>
      </x:c>
      <x:c r="J128" s="8" t="n">
        <x:v>46096</x:v>
      </x:c>
      <x:c r="K128" s="7" t="inlineStr">
        <x:is>
          <x:t xml:space="preserve">Not Started</x:t>
        </x:is>
      </x:c>
      <x:c r="L128" s="7" t="inlineStr">
        <x:is>
          <x:t xml:space="preserve"/>
        </x:is>
      </x:c>
      <x:c r="M128" s="6" t="inlineStr">
        <x:is>
          <x:t xml:space="preserve"/>
        </x:is>
      </x:c>
    </x:row>
    <x:row r="129" ht="35" customHeight="1">
      <x:c r="A129" s="7" t="inlineStr">
        <x:is>
          <x:t xml:space="preserve">P202603-0128</x:t>
        </x:is>
      </x:c>
      <x:c r="B129" s="7" t="n">
        <x:v>2026</x:v>
      </x:c>
      <x:c r="C129" s="7" t="inlineStr">
        <x:is>
          <x:t xml:space="preserve">Mar</x:t>
        </x:is>
      </x:c>
      <x:c r="D129" s="7" t="inlineStr">
        <x:is>
          <x:t xml:space="preserve">MCS08</x:t>
        </x:is>
      </x:c>
      <x:c r="E129" s="6" t="inlineStr">
        <x:is>
          <x:t xml:space="preserve">Mitigation of business risks - Group insurance</x:t>
        </x:is>
      </x:c>
      <x:c r="F129" s="6" t="inlineStr">
        <x:is>
          <x:t xml:space="preserve">Victory Olumuyiwa</x:t>
        </x:is>
      </x:c>
      <x:c r="G129" s="6" t="inlineStr">
        <x:is>
          <x:t xml:space="preserve"/>
        </x:is>
      </x:c>
      <x:c r="H129" s="7" t="inlineStr">
        <x:is>
          <x:t xml:space="preserve">Operating Effectiveness</x:t>
        </x:is>
      </x:c>
      <x:c r="I129" s="7" t="inlineStr">
        <x:is>
          <x:t xml:space="preserve"/>
        </x:is>
      </x:c>
      <x:c r="J129" s="8" t="n">
        <x:v>46096</x:v>
      </x:c>
      <x:c r="K129" s="7" t="inlineStr">
        <x:is>
          <x:t xml:space="preserve">Not Started</x:t>
        </x:is>
      </x:c>
      <x:c r="L129" s="7" t="inlineStr">
        <x:is>
          <x:t xml:space="preserve"/>
        </x:is>
      </x:c>
      <x:c r="M129" s="6" t="inlineStr">
        <x:is>
          <x:t xml:space="preserve"/>
        </x:is>
      </x:c>
    </x:row>
    <x:row r="130" ht="35" customHeight="1">
      <x:c r="A130" s="7" t="inlineStr">
        <x:is>
          <x:t xml:space="preserve">P202603-0129</x:t>
        </x:is>
      </x:c>
      <x:c r="B130" s="7" t="n">
        <x:v>2026</x:v>
      </x:c>
      <x:c r="C130" s="7" t="inlineStr">
        <x:is>
          <x:t xml:space="preserve">Mar</x:t>
        </x:is>
      </x:c>
      <x:c r="D130" s="7" t="inlineStr">
        <x:is>
          <x:t xml:space="preserve">MCS09</x:t>
        </x:is>
      </x:c>
      <x:c r="E130" s="6" t="inlineStr">
        <x:is>
          <x:t xml:space="preserve">Mitigation of business risks - Business Resilience System</x:t>
        </x:is>
      </x:c>
      <x:c r="F130" s="6" t="inlineStr">
        <x:is>
          <x:t xml:space="preserve">Oluwaseun Oyedepo</x:t>
        </x:is>
      </x:c>
      <x:c r="G130" s="6" t="inlineStr">
        <x:is>
          <x:t xml:space="preserve"/>
        </x:is>
      </x:c>
      <x:c r="H130" s="7" t="inlineStr">
        <x:is>
          <x:t xml:space="preserve">Operating Effectiveness</x:t>
        </x:is>
      </x:c>
      <x:c r="I130" s="7" t="inlineStr">
        <x:is>
          <x:t xml:space="preserve"/>
        </x:is>
      </x:c>
      <x:c r="J130" s="8" t="n">
        <x:v>46096</x:v>
      </x:c>
      <x:c r="K130" s="7" t="inlineStr">
        <x:is>
          <x:t xml:space="preserve">Not Started</x:t>
        </x:is>
      </x:c>
      <x:c r="L130" s="7" t="inlineStr">
        <x:is>
          <x:t xml:space="preserve"/>
        </x:is>
      </x:c>
      <x:c r="M130" s="6" t="inlineStr">
        <x:is>
          <x:t xml:space="preserve"/>
        </x:is>
      </x:c>
    </x:row>
    <x:row r="131" ht="35" customHeight="1">
      <x:c r="A131" s="7" t="inlineStr">
        <x:is>
          <x:t xml:space="preserve">P202603-0130</x:t>
        </x:is>
      </x:c>
      <x:c r="B131" s="7" t="n">
        <x:v>2026</x:v>
      </x:c>
      <x:c r="C131" s="7" t="inlineStr">
        <x:is>
          <x:t xml:space="preserve">Mar</x:t>
        </x:is>
      </x:c>
      <x:c r="D131" s="7" t="inlineStr">
        <x:is>
          <x:t xml:space="preserve">MCS10</x:t>
        </x:is>
      </x:c>
      <x:c r="E131" s="6" t="inlineStr">
        <x:is>
          <x:t xml:space="preserve">Mitigation of business risks - Remediation of deficiencies and non-compliance with MCS</x:t>
        </x:is>
      </x:c>
      <x:c r="F131" s="6" t="inlineStr">
        <x:is>
          <x:t xml:space="preserve">Oluwaseun Oyedepo</x:t>
        </x:is>
      </x:c>
      <x:c r="G131" s="6" t="inlineStr">
        <x:is>
          <x:t xml:space="preserve"/>
        </x:is>
      </x:c>
      <x:c r="H131" s="7" t="inlineStr">
        <x:is>
          <x:t xml:space="preserve">Operating Effectiveness</x:t>
        </x:is>
      </x:c>
      <x:c r="I131" s="7" t="inlineStr">
        <x:is>
          <x:t xml:space="preserve"/>
        </x:is>
      </x:c>
      <x:c r="J131" s="8" t="n">
        <x:v>46096</x:v>
      </x:c>
      <x:c r="K131" s="7" t="inlineStr">
        <x:is>
          <x:t xml:space="preserve">Not Started</x:t>
        </x:is>
      </x:c>
      <x:c r="L131" s="7" t="inlineStr">
        <x:is>
          <x:t xml:space="preserve"/>
        </x:is>
      </x:c>
      <x:c r="M131" s="6" t="inlineStr">
        <x:is>
          <x:t xml:space="preserve"/>
        </x:is>
      </x:c>
    </x:row>
    <x:row r="132" ht="35" customHeight="1">
      <x:c r="A132" s="7" t="inlineStr">
        <x:is>
          <x:t xml:space="preserve">P202603-0131</x:t>
        </x:is>
      </x:c>
      <x:c r="B132" s="7" t="n">
        <x:v>2026</x:v>
      </x:c>
      <x:c r="C132" s="7" t="inlineStr">
        <x:is>
          <x:t xml:space="preserve">Mar</x:t>
        </x:is>
      </x:c>
      <x:c r="D132" s="7" t="inlineStr">
        <x:is>
          <x:t xml:space="preserve">MCS11</x:t>
        </x:is>
      </x:c>
      <x:c r="E132" s="6" t="inlineStr">
        <x:is>
          <x:t xml:space="preserve">Personal data protection</x:t>
        </x:is>
      </x:c>
      <x:c r="F132" s="6" t="inlineStr">
        <x:is>
          <x:t xml:space="preserve">Olamide Ayo-Ogunlade @</x:t>
        </x:is>
      </x:c>
      <x:c r="G132" s="6" t="inlineStr">
        <x:is>
          <x:t xml:space="preserve"/>
        </x:is>
      </x:c>
      <x:c r="H132" s="7" t="inlineStr">
        <x:is>
          <x:t xml:space="preserve">Operating Effectiveness</x:t>
        </x:is>
      </x:c>
      <x:c r="I132" s="7" t="inlineStr">
        <x:is>
          <x:t xml:space="preserve"/>
        </x:is>
      </x:c>
      <x:c r="J132" s="8" t="n">
        <x:v>46096</x:v>
      </x:c>
      <x:c r="K132" s="7" t="inlineStr">
        <x:is>
          <x:t xml:space="preserve">Not Started</x:t>
        </x:is>
      </x:c>
      <x:c r="L132" s="7" t="inlineStr">
        <x:is>
          <x:t xml:space="preserve"/>
        </x:is>
      </x:c>
      <x:c r="M132" s="6" t="inlineStr">
        <x:is>
          <x:t xml:space="preserve"/>
        </x:is>
      </x:c>
    </x:row>
    <x:row r="133" ht="35" customHeight="1">
      <x:c r="A133" s="7" t="inlineStr">
        <x:is>
          <x:t xml:space="preserve">P202603-0132</x:t>
        </x:is>
      </x:c>
      <x:c r="B133" s="7" t="n">
        <x:v>2026</x:v>
      </x:c>
      <x:c r="C133" s="7" t="inlineStr">
        <x:is>
          <x:t xml:space="preserve">Mar</x:t>
        </x:is>
      </x:c>
      <x:c r="D133" s="7" t="inlineStr">
        <x:is>
          <x:t xml:space="preserve">MCS12</x:t>
        </x:is>
      </x:c>
      <x:c r="E133" s="6" t="inlineStr">
        <x:is>
          <x:t xml:space="preserve">Segregation of duties and user access review</x:t>
        </x:is>
      </x:c>
      <x:c r="F133" s="6" t="inlineStr">
        <x:is>
          <x:t xml:space="preserve">Theophilus Okolie</x:t>
        </x:is>
      </x:c>
      <x:c r="G133" s="6" t="inlineStr">
        <x:is>
          <x:t xml:space="preserve"/>
        </x:is>
      </x:c>
      <x:c r="H133" s="7" t="inlineStr">
        <x:is>
          <x:t xml:space="preserve">Operating Effectiveness</x:t>
        </x:is>
      </x:c>
      <x:c r="I133" s="7" t="inlineStr">
        <x:is>
          <x:t xml:space="preserve"/>
        </x:is>
      </x:c>
      <x:c r="J133" s="8" t="n">
        <x:v>46096</x:v>
      </x:c>
      <x:c r="K133" s="7" t="inlineStr">
        <x:is>
          <x:t xml:space="preserve">Not Started</x:t>
        </x:is>
      </x:c>
      <x:c r="L133" s="7" t="inlineStr">
        <x:is>
          <x:t xml:space="preserve"/>
        </x:is>
      </x:c>
      <x:c r="M133" s="6" t="inlineStr">
        <x:is>
          <x:t xml:space="preserve"/>
        </x:is>
      </x:c>
    </x:row>
    <x:row r="134" ht="35" customHeight="1">
      <x:c r="A134" s="7" t="inlineStr">
        <x:is>
          <x:t xml:space="preserve">P202603-0133</x:t>
        </x:is>
      </x:c>
      <x:c r="B134" s="7" t="n">
        <x:v>2026</x:v>
      </x:c>
      <x:c r="C134" s="7" t="inlineStr">
        <x:is>
          <x:t xml:space="preserve">Mar</x:t>
        </x:is>
      </x:c>
      <x:c r="D134" s="7" t="inlineStr">
        <x:is>
          <x:t xml:space="preserve">MCS13</x:t>
        </x:is>
      </x:c>
      <x:c r="E134" s="6" t="inlineStr">
        <x:is>
          <x:t xml:space="preserve">Delegation of authorities and approval workflows</x:t>
        </x:is>
      </x:c>
      <x:c r="F134" s="6" t="inlineStr">
        <x:is>
          <x:t xml:space="preserve">Ramakant Patil</x:t>
        </x:is>
      </x:c>
      <x:c r="G134" s="6" t="inlineStr">
        <x:is>
          <x:t xml:space="preserve"/>
        </x:is>
      </x:c>
      <x:c r="H134" s="7" t="inlineStr">
        <x:is>
          <x:t xml:space="preserve">Operating Effectiveness</x:t>
        </x:is>
      </x:c>
      <x:c r="I134" s="7" t="inlineStr">
        <x:is>
          <x:t xml:space="preserve"/>
        </x:is>
      </x:c>
      <x:c r="J134" s="8" t="n">
        <x:v>46096</x:v>
      </x:c>
      <x:c r="K134" s="7" t="inlineStr">
        <x:is>
          <x:t xml:space="preserve">Not Started</x:t>
        </x:is>
      </x:c>
      <x:c r="L134" s="7" t="inlineStr">
        <x:is>
          <x:t xml:space="preserve"/>
        </x:is>
      </x:c>
      <x:c r="M134" s="6" t="inlineStr">
        <x:is>
          <x:t xml:space="preserve"/>
        </x:is>
      </x:c>
    </x:row>
    <x:row r="135" ht="35" customHeight="1">
      <x:c r="A135" s="7" t="inlineStr">
        <x:is>
          <x:t xml:space="preserve">P202603-0134</x:t>
        </x:is>
      </x:c>
      <x:c r="B135" s="7" t="n">
        <x:v>2026</x:v>
      </x:c>
      <x:c r="C135" s="7" t="inlineStr">
        <x:is>
          <x:t xml:space="preserve">Mar</x:t>
        </x:is>
      </x:c>
      <x:c r="D135" s="7" t="inlineStr">
        <x:is>
          <x:t xml:space="preserve">MCS14</x:t>
        </x:is>
      </x:c>
      <x:c r="E135" s="6" t="inlineStr">
        <x:is>
          <x:t xml:space="preserve">Litigation disputes</x:t>
        </x:is>
      </x:c>
      <x:c r="F135" s="6" t="inlineStr">
        <x:is>
          <x:t xml:space="preserve">Mary Waititu</x:t>
        </x:is>
      </x:c>
      <x:c r="G135" s="6" t="inlineStr">
        <x:is>
          <x:t xml:space="preserve"/>
        </x:is>
      </x:c>
      <x:c r="H135" s="7" t="inlineStr">
        <x:is>
          <x:t xml:space="preserve">Operating Effectiveness</x:t>
        </x:is>
      </x:c>
      <x:c r="I135" s="7" t="inlineStr">
        <x:is>
          <x:t xml:space="preserve"/>
        </x:is>
      </x:c>
      <x:c r="J135" s="8" t="n">
        <x:v>46096</x:v>
      </x:c>
      <x:c r="K135" s="7" t="inlineStr">
        <x:is>
          <x:t xml:space="preserve">Not Started</x:t>
        </x:is>
      </x:c>
      <x:c r="L135" s="7" t="inlineStr">
        <x:is>
          <x:t xml:space="preserve"/>
        </x:is>
      </x:c>
      <x:c r="M135" s="6" t="inlineStr">
        <x:is>
          <x:t xml:space="preserve"/>
        </x:is>
      </x:c>
    </x:row>
    <x:row r="136" ht="35" customHeight="1">
      <x:c r="A136" s="7" t="inlineStr">
        <x:is>
          <x:t xml:space="preserve">P202603-0135</x:t>
        </x:is>
      </x:c>
      <x:c r="B136" s="7" t="n">
        <x:v>2026</x:v>
      </x:c>
      <x:c r="C136" s="7" t="inlineStr">
        <x:is>
          <x:t xml:space="preserve">Mar</x:t>
        </x:is>
      </x:c>
      <x:c r="D136" s="7" t="inlineStr">
        <x:is>
          <x:t xml:space="preserve">MCS15</x:t>
        </x:is>
      </x:c>
      <x:c r="E136" s="6" t="inlineStr">
        <x:is>
          <x:t xml:space="preserve">Review of contracts by finance</x:t>
        </x:is>
      </x:c>
      <x:c r="F136" s="6" t="inlineStr">
        <x:is>
          <x:t xml:space="preserve">Ovie Itie</x:t>
        </x:is>
      </x:c>
      <x:c r="G136" s="6" t="inlineStr">
        <x:is>
          <x:t xml:space="preserve"/>
        </x:is>
      </x:c>
      <x:c r="H136" s="7" t="inlineStr">
        <x:is>
          <x:t xml:space="preserve">Operating Effectiveness</x:t>
        </x:is>
      </x:c>
      <x:c r="I136" s="7" t="inlineStr">
        <x:is>
          <x:t xml:space="preserve"/>
        </x:is>
      </x:c>
      <x:c r="J136" s="8" t="n">
        <x:v>46096</x:v>
      </x:c>
      <x:c r="K136" s="7" t="inlineStr">
        <x:is>
          <x:t xml:space="preserve">Not Started</x:t>
        </x:is>
      </x:c>
      <x:c r="L136" s="7" t="inlineStr">
        <x:is>
          <x:t xml:space="preserve"/>
        </x:is>
      </x:c>
      <x:c r="M136" s="6" t="inlineStr">
        <x:is>
          <x:t xml:space="preserve"/>
        </x:is>
      </x:c>
    </x:row>
    <x:row r="137" ht="35" customHeight="1">
      <x:c r="A137" s="7" t="inlineStr">
        <x:is>
          <x:t xml:space="preserve">P202603-0136</x:t>
        </x:is>
      </x:c>
      <x:c r="B137" s="7" t="n">
        <x:v>2026</x:v>
      </x:c>
      <x:c r="C137" s="7" t="inlineStr">
        <x:is>
          <x:t xml:space="preserve">Mar</x:t>
        </x:is>
      </x:c>
      <x:c r="D137" s="7" t="inlineStr">
        <x:is>
          <x:t xml:space="preserve">MCS16</x:t>
        </x:is>
      </x:c>
      <x:c r="E137" s="6" t="inlineStr">
        <x:is>
          <x:t xml:space="preserve">Management of titles and permits</x:t>
        </x:is>
      </x:c>
      <x:c r="F137" s="6" t="n"/>
      <x:c r="G137" s="6" t="inlineStr">
        <x:is>
          <x:t xml:space="preserve"/>
        </x:is>
      </x:c>
      <x:c r="H137" s="7" t="inlineStr">
        <x:is>
          <x:t xml:space="preserve">Operating Effectiveness</x:t>
        </x:is>
      </x:c>
      <x:c r="I137" s="7" t="inlineStr">
        <x:is>
          <x:t xml:space="preserve"/>
        </x:is>
      </x:c>
      <x:c r="J137" s="8" t="n">
        <x:v>46096</x:v>
      </x:c>
      <x:c r="K137" s="7" t="inlineStr">
        <x:is>
          <x:t xml:space="preserve">Not Started</x:t>
        </x:is>
      </x:c>
      <x:c r="L137" s="7" t="inlineStr">
        <x:is>
          <x:t xml:space="preserve"/>
        </x:is>
      </x:c>
      <x:c r="M137" s="6" t="inlineStr">
        <x:is>
          <x:t xml:space="preserve"/>
        </x:is>
      </x:c>
    </x:row>
    <x:row r="138" ht="35" customHeight="1">
      <x:c r="A138" s="7" t="inlineStr">
        <x:is>
          <x:t xml:space="preserve">P202603-0137</x:t>
        </x:is>
      </x:c>
      <x:c r="B138" s="7" t="n">
        <x:v>2026</x:v>
      </x:c>
      <x:c r="C138" s="7" t="inlineStr">
        <x:is>
          <x:t xml:space="preserve">Mar</x:t>
        </x:is>
      </x:c>
      <x:c r="D138" s="7" t="inlineStr">
        <x:is>
          <x:t xml:space="preserve">MCS18</x:t>
        </x:is>
      </x:c>
      <x:c r="E138" s="6" t="inlineStr">
        <x:is>
          <x:t xml:space="preserve">Classification and depreciation of property, plant &amp; equipment</x:t>
        </x:is>
      </x:c>
      <x:c r="F138" s="6" t="n"/>
      <x:c r="G138" s="6" t="inlineStr">
        <x:is>
          <x:t xml:space="preserve"/>
        </x:is>
      </x:c>
      <x:c r="H138" s="7" t="inlineStr">
        <x:is>
          <x:t xml:space="preserve">Operating Effectiveness</x:t>
        </x:is>
      </x:c>
      <x:c r="I138" s="7" t="inlineStr">
        <x:is>
          <x:t xml:space="preserve"/>
        </x:is>
      </x:c>
      <x:c r="J138" s="8" t="n">
        <x:v>46096</x:v>
      </x:c>
      <x:c r="K138" s="7" t="inlineStr">
        <x:is>
          <x:t xml:space="preserve">Not Started</x:t>
        </x:is>
      </x:c>
      <x:c r="L138" s="7" t="inlineStr">
        <x:is>
          <x:t xml:space="preserve"/>
        </x:is>
      </x:c>
      <x:c r="M138" s="6" t="inlineStr">
        <x:is>
          <x:t xml:space="preserve"/>
        </x:is>
      </x:c>
    </x:row>
    <x:row r="139" ht="35" customHeight="1">
      <x:c r="A139" s="7" t="inlineStr">
        <x:is>
          <x:t xml:space="preserve">P202603-0138</x:t>
        </x:is>
      </x:c>
      <x:c r="B139" s="7" t="n">
        <x:v>2026</x:v>
      </x:c>
      <x:c r="C139" s="7" t="inlineStr">
        <x:is>
          <x:t xml:space="preserve">Mar</x:t>
        </x:is>
      </x:c>
      <x:c r="D139" s="7" t="inlineStr">
        <x:is>
          <x:t xml:space="preserve">MCS19</x:t>
        </x:is>
      </x:c>
      <x:c r="E139" s="6" t="inlineStr">
        <x:is>
          <x:t xml:space="preserve">Physical verification of Fixed Asset</x:t>
        </x:is>
      </x:c>
      <x:c r="F139" s="6" t="n"/>
      <x:c r="G139" s="6" t="inlineStr">
        <x:is>
          <x:t xml:space="preserve"/>
        </x:is>
      </x:c>
      <x:c r="H139" s="7" t="inlineStr">
        <x:is>
          <x:t xml:space="preserve">Operating Effectiveness</x:t>
        </x:is>
      </x:c>
      <x:c r="I139" s="7" t="inlineStr">
        <x:is>
          <x:t xml:space="preserve"/>
        </x:is>
      </x:c>
      <x:c r="J139" s="8" t="n">
        <x:v>46096</x:v>
      </x:c>
      <x:c r="K139" s="7" t="inlineStr">
        <x:is>
          <x:t xml:space="preserve">Not Started</x:t>
        </x:is>
      </x:c>
      <x:c r="L139" s="7" t="inlineStr">
        <x:is>
          <x:t xml:space="preserve"/>
        </x:is>
      </x:c>
      <x:c r="M139" s="6" t="inlineStr">
        <x:is>
          <x:t xml:space="preserve"/>
        </x:is>
      </x:c>
    </x:row>
    <x:row r="140" ht="35" customHeight="1">
      <x:c r="A140" s="7" t="inlineStr">
        <x:is>
          <x:t xml:space="preserve">P202603-0139</x:t>
        </x:is>
      </x:c>
      <x:c r="B140" s="7" t="n">
        <x:v>2026</x:v>
      </x:c>
      <x:c r="C140" s="7" t="inlineStr">
        <x:is>
          <x:t xml:space="preserve">Mar</x:t>
        </x:is>
      </x:c>
      <x:c r="D140" s="7" t="inlineStr">
        <x:is>
          <x:t xml:space="preserve">MCS20</x:t>
        </x:is>
      </x:c>
      <x:c r="E140" s="6" t="inlineStr">
        <x:is>
          <x:t xml:space="preserve">Management of customer and inventory master data</x:t>
        </x:is>
      </x:c>
      <x:c r="F140" s="6" t="inlineStr">
        <x:is>
          <x:t xml:space="preserve">Yomi Jegede</x:t>
        </x:is>
      </x:c>
      <x:c r="G140" s="6" t="inlineStr">
        <x:is>
          <x:t xml:space="preserve"/>
        </x:is>
      </x:c>
      <x:c r="H140" s="7" t="inlineStr">
        <x:is>
          <x:t xml:space="preserve">Operating Effectiveness</x:t>
        </x:is>
      </x:c>
      <x:c r="I140" s="7" t="inlineStr">
        <x:is>
          <x:t xml:space="preserve"/>
        </x:is>
      </x:c>
      <x:c r="J140" s="8" t="n">
        <x:v>46096</x:v>
      </x:c>
      <x:c r="K140" s="7" t="inlineStr">
        <x:is>
          <x:t xml:space="preserve">Not Started</x:t>
        </x:is>
      </x:c>
      <x:c r="L140" s="7" t="inlineStr">
        <x:is>
          <x:t xml:space="preserve"/>
        </x:is>
      </x:c>
      <x:c r="M140" s="6" t="inlineStr">
        <x:is>
          <x:t xml:space="preserve"/>
        </x:is>
      </x:c>
    </x:row>
    <x:row r="141" ht="35" customHeight="1">
      <x:c r="A141" s="7" t="inlineStr">
        <x:is>
          <x:t xml:space="preserve">P202603-0140</x:t>
        </x:is>
      </x:c>
      <x:c r="B141" s="7" t="n">
        <x:v>2026</x:v>
      </x:c>
      <x:c r="C141" s="7" t="inlineStr">
        <x:is>
          <x:t xml:space="preserve">Mar</x:t>
        </x:is>
      </x:c>
      <x:c r="D141" s="7" t="inlineStr">
        <x:is>
          <x:t xml:space="preserve">MCS21</x:t>
        </x:is>
      </x:c>
      <x:c r="E141" s="6" t="inlineStr">
        <x:is>
          <x:t xml:space="preserve">Price management</x:t>
        </x:is>
      </x:c>
      <x:c r="F141" s="6" t="n"/>
      <x:c r="G141" s="6" t="inlineStr">
        <x:is>
          <x:t xml:space="preserve"/>
        </x:is>
      </x:c>
      <x:c r="H141" s="7" t="inlineStr">
        <x:is>
          <x:t xml:space="preserve">Operating Effectiveness</x:t>
        </x:is>
      </x:c>
      <x:c r="I141" s="7" t="inlineStr">
        <x:is>
          <x:t xml:space="preserve"/>
        </x:is>
      </x:c>
      <x:c r="J141" s="8" t="n">
        <x:v>46096</x:v>
      </x:c>
      <x:c r="K141" s="7" t="inlineStr">
        <x:is>
          <x:t xml:space="preserve">Not Started</x:t>
        </x:is>
      </x:c>
      <x:c r="L141" s="7" t="inlineStr">
        <x:is>
          <x:t xml:space="preserve"/>
        </x:is>
      </x:c>
      <x:c r="M141" s="6" t="inlineStr">
        <x:is>
          <x:t xml:space="preserve"/>
        </x:is>
      </x:c>
    </x:row>
    <x:row r="142" ht="35" customHeight="1">
      <x:c r="A142" s="7" t="inlineStr">
        <x:is>
          <x:t xml:space="preserve">P202603-0141</x:t>
        </x:is>
      </x:c>
      <x:c r="B142" s="7" t="n">
        <x:v>2026</x:v>
      </x:c>
      <x:c r="C142" s="7" t="inlineStr">
        <x:is>
          <x:t xml:space="preserve">Mar</x:t>
        </x:is>
      </x:c>
      <x:c r="D142" s="7" t="inlineStr">
        <x:is>
          <x:t xml:space="preserve">MCS22.1</x:t>
        </x:is>
      </x:c>
      <x:c r="E142" s="6" t="inlineStr">
        <x:is>
          <x:t xml:space="preserve">Control of customer credit limits - Easybuy</x:t>
        </x:is>
      </x:c>
      <x:c r="F142" s="6" t="inlineStr">
        <x:is>
          <x:t xml:space="preserve">Omoyemi Tuga Ogunsanmi Opeyemi Listbon</x:t>
        </x:is>
      </x:c>
      <x:c r="G142" s="6" t="inlineStr">
        <x:is>
          <x:t xml:space="preserve"/>
        </x:is>
      </x:c>
      <x:c r="H142" s="7" t="inlineStr">
        <x:is>
          <x:t xml:space="preserve">Operating Effectiveness</x:t>
        </x:is>
      </x:c>
      <x:c r="I142" s="7" t="inlineStr">
        <x:is>
          <x:t xml:space="preserve"/>
        </x:is>
      </x:c>
      <x:c r="J142" s="8" t="n">
        <x:v>46096</x:v>
      </x:c>
      <x:c r="K142" s="7" t="inlineStr">
        <x:is>
          <x:t xml:space="preserve">Not Started</x:t>
        </x:is>
      </x:c>
      <x:c r="L142" s="7" t="inlineStr">
        <x:is>
          <x:t xml:space="preserve"/>
        </x:is>
      </x:c>
      <x:c r="M142" s="6" t="inlineStr">
        <x:is>
          <x:t xml:space="preserve"/>
        </x:is>
      </x:c>
    </x:row>
    <x:row r="143" ht="35" customHeight="1">
      <x:c r="A143" s="7" t="inlineStr">
        <x:is>
          <x:t xml:space="preserve">P202603-0142</x:t>
        </x:is>
      </x:c>
      <x:c r="B143" s="7" t="n">
        <x:v>2026</x:v>
      </x:c>
      <x:c r="C143" s="7" t="inlineStr">
        <x:is>
          <x:t xml:space="preserve">Mar</x:t>
        </x:is>
      </x:c>
      <x:c r="D143" s="7" t="inlineStr">
        <x:is>
          <x:t xml:space="preserve">MCS22.2</x:t>
        </x:is>
      </x:c>
      <x:c r="E143" s="6" t="inlineStr">
        <x:is>
          <x:t xml:space="preserve">Control of customer credit limits - Partnership</x:t>
        </x:is>
      </x:c>
      <x:c r="F143" s="6" t="inlineStr">
        <x:is>
          <x:t xml:space="preserve">Eno Umoh Ameh Bright Agbo</x:t>
        </x:is>
      </x:c>
      <x:c r="G143" s="6" t="inlineStr">
        <x:is>
          <x:t xml:space="preserve"/>
        </x:is>
      </x:c>
      <x:c r="H143" s="7" t="inlineStr">
        <x:is>
          <x:t xml:space="preserve">Operating Effectiveness</x:t>
        </x:is>
      </x:c>
      <x:c r="I143" s="7" t="inlineStr">
        <x:is>
          <x:t xml:space="preserve"/>
        </x:is>
      </x:c>
      <x:c r="J143" s="8" t="n">
        <x:v>46096</x:v>
      </x:c>
      <x:c r="K143" s="7" t="inlineStr">
        <x:is>
          <x:t xml:space="preserve">Not Started</x:t>
        </x:is>
      </x:c>
      <x:c r="L143" s="7" t="inlineStr">
        <x:is>
          <x:t xml:space="preserve"/>
        </x:is>
      </x:c>
      <x:c r="M143" s="6" t="inlineStr">
        <x:is>
          <x:t xml:space="preserve"/>
        </x:is>
      </x:c>
    </x:row>
    <x:row r="144" ht="35" customHeight="1">
      <x:c r="A144" s="7" t="inlineStr">
        <x:is>
          <x:t xml:space="preserve">P202603-0143</x:t>
        </x:is>
      </x:c>
      <x:c r="B144" s="7" t="n">
        <x:v>2026</x:v>
      </x:c>
      <x:c r="C144" s="7" t="inlineStr">
        <x:is>
          <x:t xml:space="preserve">Mar</x:t>
        </x:is>
      </x:c>
      <x:c r="D144" s="7" t="inlineStr">
        <x:is>
          <x:t xml:space="preserve">MCS23</x:t>
        </x:is>
      </x:c>
      <x:c r="E144" s="6" t="inlineStr">
        <x:is>
          <x:t xml:space="preserve">Invoicing </x:t>
        </x:is>
      </x:c>
      <x:c r="F144" s="6" t="inlineStr">
        <x:is>
          <x:t xml:space="preserve">Ramakant Patil</x:t>
        </x:is>
      </x:c>
      <x:c r="G144" s="6" t="inlineStr">
        <x:is>
          <x:t xml:space="preserve"/>
        </x:is>
      </x:c>
      <x:c r="H144" s="7" t="inlineStr">
        <x:is>
          <x:t xml:space="preserve">Operating Effectiveness</x:t>
        </x:is>
      </x:c>
      <x:c r="I144" s="7" t="inlineStr">
        <x:is>
          <x:t xml:space="preserve"/>
        </x:is>
      </x:c>
      <x:c r="J144" s="8" t="n">
        <x:v>46096</x:v>
      </x:c>
      <x:c r="K144" s="7" t="inlineStr">
        <x:is>
          <x:t xml:space="preserve">Not Started</x:t>
        </x:is>
      </x:c>
      <x:c r="L144" s="7" t="inlineStr">
        <x:is>
          <x:t xml:space="preserve"/>
        </x:is>
      </x:c>
      <x:c r="M144" s="6" t="inlineStr">
        <x:is>
          <x:t xml:space="preserve"/>
        </x:is>
      </x:c>
    </x:row>
    <x:row r="145" ht="35" customHeight="1">
      <x:c r="A145" s="7" t="inlineStr">
        <x:is>
          <x:t xml:space="preserve">P202603-0144</x:t>
        </x:is>
      </x:c>
      <x:c r="B145" s="7" t="n">
        <x:v>2026</x:v>
      </x:c>
      <x:c r="C145" s="7" t="inlineStr">
        <x:is>
          <x:t xml:space="preserve">Mar</x:t>
        </x:is>
      </x:c>
      <x:c r="D145" s="7" t="inlineStr">
        <x:is>
          <x:t xml:space="preserve">MCS24</x:t>
        </x:is>
      </x:c>
      <x:c r="E145" s="6" t="inlineStr">
        <x:is>
          <x:t xml:space="preserve">Accounts receivable valuation</x:t>
        </x:is>
      </x:c>
      <x:c r="F145" s="6" t="inlineStr">
        <x:is>
          <x:t xml:space="preserve">Zainab Yunusah Saadu</x:t>
        </x:is>
      </x:c>
      <x:c r="G145" s="6" t="inlineStr">
        <x:is>
          <x:t xml:space="preserve"/>
        </x:is>
      </x:c>
      <x:c r="H145" s="7" t="inlineStr">
        <x:is>
          <x:t xml:space="preserve">Operating Effectiveness</x:t>
        </x:is>
      </x:c>
      <x:c r="I145" s="7" t="inlineStr">
        <x:is>
          <x:t xml:space="preserve"/>
        </x:is>
      </x:c>
      <x:c r="J145" s="8" t="n">
        <x:v>46096</x:v>
      </x:c>
      <x:c r="K145" s="7" t="inlineStr">
        <x:is>
          <x:t xml:space="preserve">Not Started</x:t>
        </x:is>
      </x:c>
      <x:c r="L145" s="7" t="inlineStr">
        <x:is>
          <x:t xml:space="preserve"/>
        </x:is>
      </x:c>
      <x:c r="M145" s="6" t="inlineStr">
        <x:is>
          <x:t xml:space="preserve"/>
        </x:is>
      </x:c>
    </x:row>
    <x:row r="146" ht="35" customHeight="1">
      <x:c r="A146" s="7" t="inlineStr">
        <x:is>
          <x:t xml:space="preserve">P202603-0145</x:t>
        </x:is>
      </x:c>
      <x:c r="B146" s="7" t="n">
        <x:v>2026</x:v>
      </x:c>
      <x:c r="C146" s="7" t="inlineStr">
        <x:is>
          <x:t xml:space="preserve">Mar</x:t>
        </x:is>
      </x:c>
      <x:c r="D146" s="7" t="inlineStr">
        <x:is>
          <x:t xml:space="preserve">MCS25</x:t>
        </x:is>
      </x:c>
      <x:c r="E146" s="6" t="inlineStr">
        <x:is>
          <x:t xml:space="preserve">Execution of onboarding, offboarding, master data management and transfers of workers</x:t>
        </x:is>
      </x:c>
      <x:c r="F146" s="6" t="n"/>
      <x:c r="G146" s="6" t="inlineStr">
        <x:is>
          <x:t xml:space="preserve"/>
        </x:is>
      </x:c>
      <x:c r="H146" s="7" t="inlineStr">
        <x:is>
          <x:t xml:space="preserve">Operating Effectiveness</x:t>
        </x:is>
      </x:c>
      <x:c r="I146" s="7" t="inlineStr">
        <x:is>
          <x:t xml:space="preserve"/>
        </x:is>
      </x:c>
      <x:c r="J146" s="8" t="n">
        <x:v>46096</x:v>
      </x:c>
      <x:c r="K146" s="7" t="inlineStr">
        <x:is>
          <x:t xml:space="preserve">Not Started</x:t>
        </x:is>
      </x:c>
      <x:c r="L146" s="7" t="inlineStr">
        <x:is>
          <x:t xml:space="preserve"/>
        </x:is>
      </x:c>
      <x:c r="M146" s="6" t="inlineStr">
        <x:is>
          <x:t xml:space="preserve"/>
        </x:is>
      </x:c>
    </x:row>
    <x:row r="147" ht="35" customHeight="1">
      <x:c r="A147" s="7" t="inlineStr">
        <x:is>
          <x:t xml:space="preserve">P202603-0146</x:t>
        </x:is>
      </x:c>
      <x:c r="B147" s="7" t="n">
        <x:v>2026</x:v>
      </x:c>
      <x:c r="C147" s="7" t="inlineStr">
        <x:is>
          <x:t xml:space="preserve">Mar</x:t>
        </x:is>
      </x:c>
      <x:c r="D147" s="7" t="inlineStr">
        <x:is>
          <x:t xml:space="preserve">MCS26</x:t>
        </x:is>
      </x:c>
      <x:c r="E147" s="6" t="inlineStr">
        <x:is>
          <x:t xml:space="preserve">Payroll</x:t>
        </x:is>
      </x:c>
      <x:c r="F147" s="6" t="inlineStr">
        <x:is>
          <x:t xml:space="preserve">Olamide Ayo-Ogunlade Oluwatosin Ogunsekan</x:t>
        </x:is>
      </x:c>
      <x:c r="G147" s="6" t="inlineStr">
        <x:is>
          <x:t xml:space="preserve"/>
        </x:is>
      </x:c>
      <x:c r="H147" s="7" t="inlineStr">
        <x:is>
          <x:t xml:space="preserve">Operating Effectiveness</x:t>
        </x:is>
      </x:c>
      <x:c r="I147" s="7" t="inlineStr">
        <x:is>
          <x:t xml:space="preserve"/>
        </x:is>
      </x:c>
      <x:c r="J147" s="8" t="n">
        <x:v>46096</x:v>
      </x:c>
      <x:c r="K147" s="7" t="inlineStr">
        <x:is>
          <x:t xml:space="preserve">Not Started</x:t>
        </x:is>
      </x:c>
      <x:c r="L147" s="7" t="inlineStr">
        <x:is>
          <x:t xml:space="preserve"/>
        </x:is>
      </x:c>
      <x:c r="M147" s="6" t="inlineStr">
        <x:is>
          <x:t xml:space="preserve"/>
        </x:is>
      </x:c>
    </x:row>
    <x:row r="148" ht="35" customHeight="1">
      <x:c r="A148" s="7" t="inlineStr">
        <x:is>
          <x:t xml:space="preserve">P202603-0147</x:t>
        </x:is>
      </x:c>
      <x:c r="B148" s="7" t="n">
        <x:v>2026</x:v>
      </x:c>
      <x:c r="C148" s="7" t="inlineStr">
        <x:is>
          <x:t xml:space="preserve">Mar</x:t>
        </x:is>
      </x:c>
      <x:c r="D148" s="7" t="inlineStr">
        <x:is>
          <x:t xml:space="preserve">MCS27</x:t>
        </x:is>
      </x:c>
      <x:c r="E148" s="6" t="inlineStr">
        <x:is>
          <x:t xml:space="preserve">Compliance with Labour law</x:t>
        </x:is>
      </x:c>
      <x:c r="F148" s="6" t="inlineStr">
        <x:is>
          <x:t xml:space="preserve">Olamide Ayo-Ogunlade Oluwatosin Ogunsekan</x:t>
        </x:is>
      </x:c>
      <x:c r="G148" s="6" t="inlineStr">
        <x:is>
          <x:t xml:space="preserve"/>
        </x:is>
      </x:c>
      <x:c r="H148" s="7" t="inlineStr">
        <x:is>
          <x:t xml:space="preserve">Operating Effectiveness</x:t>
        </x:is>
      </x:c>
      <x:c r="I148" s="7" t="inlineStr">
        <x:is>
          <x:t xml:space="preserve"/>
        </x:is>
      </x:c>
      <x:c r="J148" s="8" t="n">
        <x:v>46096</x:v>
      </x:c>
      <x:c r="K148" s="7" t="inlineStr">
        <x:is>
          <x:t xml:space="preserve">Not Started</x:t>
        </x:is>
      </x:c>
      <x:c r="L148" s="7" t="inlineStr">
        <x:is>
          <x:t xml:space="preserve"/>
        </x:is>
      </x:c>
      <x:c r="M148" s="6" t="inlineStr">
        <x:is>
          <x:t xml:space="preserve"/>
        </x:is>
      </x:c>
    </x:row>
    <x:row r="149" ht="35" customHeight="1">
      <x:c r="A149" s="7" t="inlineStr">
        <x:is>
          <x:t xml:space="preserve">P202603-0148</x:t>
        </x:is>
      </x:c>
      <x:c r="B149" s="7" t="n">
        <x:v>2026</x:v>
      </x:c>
      <x:c r="C149" s="7" t="inlineStr">
        <x:is>
          <x:t xml:space="preserve">Mar</x:t>
        </x:is>
      </x:c>
      <x:c r="D149" s="7" t="inlineStr">
        <x:is>
          <x:t xml:space="preserve">MCS28</x:t>
        </x:is>
      </x:c>
      <x:c r="E149" s="6" t="inlineStr">
        <x:is>
          <x:t xml:space="preserve">Employee pension and benefit plan</x:t>
        </x:is>
      </x:c>
      <x:c r="F149" s="6" t="inlineStr">
        <x:is>
          <x:t xml:space="preserve">Olamide Ayo-Ogunlade Oluwatosin Ogunsekan</x:t>
        </x:is>
      </x:c>
      <x:c r="G149" s="6" t="inlineStr">
        <x:is>
          <x:t xml:space="preserve"/>
        </x:is>
      </x:c>
      <x:c r="H149" s="7" t="inlineStr">
        <x:is>
          <x:t xml:space="preserve">Operating Effectiveness</x:t>
        </x:is>
      </x:c>
      <x:c r="I149" s="7" t="inlineStr">
        <x:is>
          <x:t xml:space="preserve"/>
        </x:is>
      </x:c>
      <x:c r="J149" s="8" t="n">
        <x:v>46096</x:v>
      </x:c>
      <x:c r="K149" s="7" t="inlineStr">
        <x:is>
          <x:t xml:space="preserve">Not Started</x:t>
        </x:is>
      </x:c>
      <x:c r="L149" s="7" t="inlineStr">
        <x:is>
          <x:t xml:space="preserve"/>
        </x:is>
      </x:c>
      <x:c r="M149" s="6" t="inlineStr">
        <x:is>
          <x:t xml:space="preserve"/>
        </x:is>
      </x:c>
    </x:row>
    <x:row r="150" ht="35" customHeight="1">
      <x:c r="A150" s="7" t="inlineStr">
        <x:is>
          <x:t xml:space="preserve">P202603-0149</x:t>
        </x:is>
      </x:c>
      <x:c r="B150" s="7" t="n">
        <x:v>2026</x:v>
      </x:c>
      <x:c r="C150" s="7" t="inlineStr">
        <x:is>
          <x:t xml:space="preserve">Mar</x:t>
        </x:is>
      </x:c>
      <x:c r="D150" s="7" t="inlineStr">
        <x:is>
          <x:t xml:space="preserve">MCS 29</x:t>
        </x:is>
      </x:c>
      <x:c r="E150" s="6" t="inlineStr">
        <x:is>
          <x:t xml:space="preserve">Management of supplier master data</x:t>
        </x:is>
      </x:c>
      <x:c r="F150" s="6" t="inlineStr">
        <x:is>
          <x:t xml:space="preserve">Ramakant Patil Zainab Yunusah Saadu</x:t>
        </x:is>
      </x:c>
      <x:c r="G150" s="6" t="inlineStr">
        <x:is>
          <x:t xml:space="preserve"/>
        </x:is>
      </x:c>
      <x:c r="H150" s="7" t="inlineStr">
        <x:is>
          <x:t xml:space="preserve">Operating Effectiveness</x:t>
        </x:is>
      </x:c>
      <x:c r="I150" s="7" t="inlineStr">
        <x:is>
          <x:t xml:space="preserve"/>
        </x:is>
      </x:c>
      <x:c r="J150" s="8" t="n">
        <x:v>46096</x:v>
      </x:c>
      <x:c r="K150" s="7" t="inlineStr">
        <x:is>
          <x:t xml:space="preserve">Not Started</x:t>
        </x:is>
      </x:c>
      <x:c r="L150" s="7" t="inlineStr">
        <x:is>
          <x:t xml:space="preserve"/>
        </x:is>
      </x:c>
      <x:c r="M150" s="6" t="inlineStr">
        <x:is>
          <x:t xml:space="preserve"/>
        </x:is>
      </x:c>
    </x:row>
    <x:row r="151" ht="35" customHeight="1">
      <x:c r="A151" s="7" t="inlineStr">
        <x:is>
          <x:t xml:space="preserve">P202603-0150</x:t>
        </x:is>
      </x:c>
      <x:c r="B151" s="7" t="n">
        <x:v>2026</x:v>
      </x:c>
      <x:c r="C151" s="7" t="inlineStr">
        <x:is>
          <x:t xml:space="preserve">Mar</x:t>
        </x:is>
      </x:c>
      <x:c r="D151" s="7" t="inlineStr">
        <x:is>
          <x:t xml:space="preserve">MCS30</x:t>
        </x:is>
      </x:c>
      <x:c r="E151" s="6" t="inlineStr">
        <x:is>
          <x:t xml:space="preserve">Vendor Registration and Performance Management</x:t>
        </x:is>
      </x:c>
      <x:c r="F151" s="6" t="inlineStr">
        <x:is>
          <x:t xml:space="preserve">Ramakant Patil Zainab Yunusah Saadu</x:t>
        </x:is>
      </x:c>
      <x:c r="G151" s="6" t="inlineStr">
        <x:is>
          <x:t xml:space="preserve"/>
        </x:is>
      </x:c>
      <x:c r="H151" s="7" t="inlineStr">
        <x:is>
          <x:t xml:space="preserve">Operating Effectiveness</x:t>
        </x:is>
      </x:c>
      <x:c r="I151" s="7" t="inlineStr">
        <x:is>
          <x:t xml:space="preserve"/>
        </x:is>
      </x:c>
      <x:c r="J151" s="8" t="n">
        <x:v>46096</x:v>
      </x:c>
      <x:c r="K151" s="7" t="inlineStr">
        <x:is>
          <x:t xml:space="preserve">Not Started</x:t>
        </x:is>
      </x:c>
      <x:c r="L151" s="7" t="inlineStr">
        <x:is>
          <x:t xml:space="preserve"/>
        </x:is>
      </x:c>
      <x:c r="M151" s="6" t="inlineStr">
        <x:is>
          <x:t xml:space="preserve"/>
        </x:is>
      </x:c>
    </x:row>
    <x:row r="152" ht="35" customHeight="1">
      <x:c r="A152" s="7" t="inlineStr">
        <x:is>
          <x:t xml:space="preserve">P202603-0151</x:t>
        </x:is>
      </x:c>
      <x:c r="B152" s="7" t="n">
        <x:v>2026</x:v>
      </x:c>
      <x:c r="C152" s="7" t="inlineStr">
        <x:is>
          <x:t xml:space="preserve">Mar</x:t>
        </x:is>
      </x:c>
      <x:c r="D152" s="7" t="inlineStr">
        <x:is>
          <x:t xml:space="preserve">MCS31</x:t>
        </x:is>
      </x:c>
      <x:c r="E152" s="6" t="inlineStr">
        <x:is>
          <x:t xml:space="preserve">Three-way match, two way match and direct vendor invoices</x:t>
        </x:is>
      </x:c>
      <x:c r="F152" s="6" t="inlineStr">
        <x:is>
          <x:t xml:space="preserve">Ramakant Patil Zainab Yunusah Saadu</x:t>
        </x:is>
      </x:c>
      <x:c r="G152" s="6" t="inlineStr">
        <x:is>
          <x:t xml:space="preserve"/>
        </x:is>
      </x:c>
      <x:c r="H152" s="7" t="inlineStr">
        <x:is>
          <x:t xml:space="preserve">Operating Effectiveness</x:t>
        </x:is>
      </x:c>
      <x:c r="I152" s="7" t="inlineStr">
        <x:is>
          <x:t xml:space="preserve"/>
        </x:is>
      </x:c>
      <x:c r="J152" s="8" t="n">
        <x:v>46096</x:v>
      </x:c>
      <x:c r="K152" s="7" t="inlineStr">
        <x:is>
          <x:t xml:space="preserve">Not Started</x:t>
        </x:is>
      </x:c>
      <x:c r="L152" s="7" t="inlineStr">
        <x:is>
          <x:t xml:space="preserve"/>
        </x:is>
      </x:c>
      <x:c r="M152" s="6" t="inlineStr">
        <x:is>
          <x:t xml:space="preserve"/>
        </x:is>
      </x:c>
    </x:row>
    <x:row r="153" ht="35" customHeight="1">
      <x:c r="A153" s="7" t="inlineStr">
        <x:is>
          <x:t xml:space="preserve">P202603-0152</x:t>
        </x:is>
      </x:c>
      <x:c r="B153" s="7" t="n">
        <x:v>2026</x:v>
      </x:c>
      <x:c r="C153" s="7" t="inlineStr">
        <x:is>
          <x:t xml:space="preserve">Mar</x:t>
        </x:is>
      </x:c>
      <x:c r="D153" s="7" t="inlineStr">
        <x:is>
          <x:t xml:space="preserve">MCS32</x:t>
        </x:is>
      </x:c>
      <x:c r="E153" s="6" t="inlineStr">
        <x:is>
          <x:t xml:space="preserve">Payment processing</x:t>
        </x:is>
      </x:c>
      <x:c r="F153" s="6" t="inlineStr">
        <x:is>
          <x:t xml:space="preserve">Ramakant Patil Zainab Yunusah Saadu</x:t>
        </x:is>
      </x:c>
      <x:c r="G153" s="6" t="inlineStr">
        <x:is>
          <x:t xml:space="preserve"/>
        </x:is>
      </x:c>
      <x:c r="H153" s="7" t="inlineStr">
        <x:is>
          <x:t xml:space="preserve">Operating Effectiveness</x:t>
        </x:is>
      </x:c>
      <x:c r="I153" s="7" t="inlineStr">
        <x:is>
          <x:t xml:space="preserve"/>
        </x:is>
      </x:c>
      <x:c r="J153" s="8" t="n">
        <x:v>46096</x:v>
      </x:c>
      <x:c r="K153" s="7" t="inlineStr">
        <x:is>
          <x:t xml:space="preserve">Not Started</x:t>
        </x:is>
      </x:c>
      <x:c r="L153" s="7" t="inlineStr">
        <x:is>
          <x:t xml:space="preserve"/>
        </x:is>
      </x:c>
      <x:c r="M153" s="6" t="inlineStr">
        <x:is>
          <x:t xml:space="preserve"/>
        </x:is>
      </x:c>
    </x:row>
    <x:row r="154" ht="35" customHeight="1">
      <x:c r="A154" s="7" t="inlineStr">
        <x:is>
          <x:t xml:space="preserve">P202603-0153</x:t>
        </x:is>
      </x:c>
      <x:c r="B154" s="7" t="n">
        <x:v>2026</x:v>
      </x:c>
      <x:c r="C154" s="7" t="inlineStr">
        <x:is>
          <x:t xml:space="preserve">Mar</x:t>
        </x:is>
      </x:c>
      <x:c r="D154" s="7" t="inlineStr">
        <x:is>
          <x:t xml:space="preserve">MCS33</x:t>
        </x:is>
      </x:c>
      <x:c r="E154" s="6" t="inlineStr">
        <x:is>
          <x:t xml:space="preserve">3 Accruals for expenditures not invoiced</x:t>
        </x:is>
      </x:c>
      <x:c r="F154" s="6" t="inlineStr">
        <x:is>
          <x:t xml:space="preserve">Ramakant Patil Zainab Yunusah Saadu</x:t>
        </x:is>
      </x:c>
      <x:c r="G154" s="6" t="inlineStr">
        <x:is>
          <x:t xml:space="preserve"/>
        </x:is>
      </x:c>
      <x:c r="H154" s="7" t="inlineStr">
        <x:is>
          <x:t xml:space="preserve">Operating Effectiveness</x:t>
        </x:is>
      </x:c>
      <x:c r="I154" s="7" t="inlineStr">
        <x:is>
          <x:t xml:space="preserve"/>
        </x:is>
      </x:c>
      <x:c r="J154" s="8" t="n">
        <x:v>46096</x:v>
      </x:c>
      <x:c r="K154" s="7" t="inlineStr">
        <x:is>
          <x:t xml:space="preserve">Not Started</x:t>
        </x:is>
      </x:c>
      <x:c r="L154" s="7" t="inlineStr">
        <x:is>
          <x:t xml:space="preserve"/>
        </x:is>
      </x:c>
      <x:c r="M154" s="6" t="inlineStr">
        <x:is>
          <x:t xml:space="preserve"/>
        </x:is>
      </x:c>
    </x:row>
    <x:row r="155" ht="35" customHeight="1">
      <x:c r="A155" s="7" t="inlineStr">
        <x:is>
          <x:t xml:space="preserve">P202603-0154</x:t>
        </x:is>
      </x:c>
      <x:c r="B155" s="7" t="n">
        <x:v>2026</x:v>
      </x:c>
      <x:c r="C155" s="7" t="inlineStr">
        <x:is>
          <x:t xml:space="preserve">Mar</x:t>
        </x:is>
      </x:c>
      <x:c r="D155" s="7" t="inlineStr">
        <x:is>
          <x:t xml:space="preserve">MCS34</x:t>
        </x:is>
      </x:c>
      <x:c r="E155" s="6" t="inlineStr">
        <x:is>
          <x:t xml:space="preserve">Physical Stock Count ,Reconciliation &amp; Valuation</x:t>
        </x:is>
      </x:c>
      <x:c r="F155" s="6" t="inlineStr">
        <x:is>
          <x:t xml:space="preserve">Yomi Jegede Zainab Yunusah Saadu</x:t>
        </x:is>
      </x:c>
      <x:c r="G155" s="6" t="inlineStr">
        <x:is>
          <x:t xml:space="preserve"/>
        </x:is>
      </x:c>
      <x:c r="H155" s="7" t="inlineStr">
        <x:is>
          <x:t xml:space="preserve">Operating Effectiveness</x:t>
        </x:is>
      </x:c>
      <x:c r="I155" s="7" t="inlineStr">
        <x:is>
          <x:t xml:space="preserve"/>
        </x:is>
      </x:c>
      <x:c r="J155" s="8" t="n">
        <x:v>46096</x:v>
      </x:c>
      <x:c r="K155" s="7" t="inlineStr">
        <x:is>
          <x:t xml:space="preserve">Not Started</x:t>
        </x:is>
      </x:c>
      <x:c r="L155" s="7" t="inlineStr">
        <x:is>
          <x:t xml:space="preserve"/>
        </x:is>
      </x:c>
      <x:c r="M155" s="6" t="inlineStr">
        <x:is>
          <x:t xml:space="preserve"/>
        </x:is>
      </x:c>
    </x:row>
    <x:row r="156" ht="35" customHeight="1">
      <x:c r="A156" s="7" t="inlineStr">
        <x:is>
          <x:t xml:space="preserve">P202603-0155</x:t>
        </x:is>
      </x:c>
      <x:c r="B156" s="7" t="n">
        <x:v>2026</x:v>
      </x:c>
      <x:c r="C156" s="7" t="inlineStr">
        <x:is>
          <x:t xml:space="preserve">Mar</x:t>
        </x:is>
      </x:c>
      <x:c r="D156" s="7" t="inlineStr">
        <x:is>
          <x:t xml:space="preserve">MCS35</x:t>
        </x:is>
      </x:c>
      <x:c r="E156" s="6" t="inlineStr">
        <x:is>
          <x:t xml:space="preserve">Inventory Documentation (IMPEX)</x:t>
        </x:is>
      </x:c>
      <x:c r="F156" s="6" t="inlineStr">
        <x:is>
          <x:t xml:space="preserve">Yomi Jegede Zainab Yunusah Saadu</x:t>
        </x:is>
      </x:c>
      <x:c r="G156" s="6" t="inlineStr">
        <x:is>
          <x:t xml:space="preserve"/>
        </x:is>
      </x:c>
      <x:c r="H156" s="7" t="inlineStr">
        <x:is>
          <x:t xml:space="preserve">Operating Effectiveness</x:t>
        </x:is>
      </x:c>
      <x:c r="I156" s="7" t="inlineStr">
        <x:is>
          <x:t xml:space="preserve"/>
        </x:is>
      </x:c>
      <x:c r="J156" s="8" t="n">
        <x:v>46096</x:v>
      </x:c>
      <x:c r="K156" s="7" t="inlineStr">
        <x:is>
          <x:t xml:space="preserve">Not Started</x:t>
        </x:is>
      </x:c>
      <x:c r="L156" s="7" t="inlineStr">
        <x:is>
          <x:t xml:space="preserve"/>
        </x:is>
      </x:c>
      <x:c r="M156" s="6" t="inlineStr">
        <x:is>
          <x:t xml:space="preserve"/>
        </x:is>
      </x:c>
    </x:row>
    <x:row r="157" ht="35" customHeight="1">
      <x:c r="A157" s="7" t="inlineStr">
        <x:is>
          <x:t xml:space="preserve">P202603-0156</x:t>
        </x:is>
      </x:c>
      <x:c r="B157" s="7" t="n">
        <x:v>2026</x:v>
      </x:c>
      <x:c r="C157" s="7" t="inlineStr">
        <x:is>
          <x:t xml:space="preserve">Mar</x:t>
        </x:is>
      </x:c>
      <x:c r="D157" s="7" t="inlineStr">
        <x:is>
          <x:t xml:space="preserve">MCS36</x:t>
        </x:is>
      </x:c>
      <x:c r="E157" s="6" t="inlineStr">
        <x:is>
          <x:t xml:space="preserve">Management of access to IT systems</x:t>
        </x:is>
      </x:c>
      <x:c r="F157" s="6" t="inlineStr">
        <x:is>
          <x:t xml:space="preserve">Theophilus Okolie </x:t>
        </x:is>
      </x:c>
      <x:c r="G157" s="6" t="inlineStr">
        <x:is>
          <x:t xml:space="preserve"/>
        </x:is>
      </x:c>
      <x:c r="H157" s="7" t="inlineStr">
        <x:is>
          <x:t xml:space="preserve">Operating Effectiveness</x:t>
        </x:is>
      </x:c>
      <x:c r="I157" s="7" t="inlineStr">
        <x:is>
          <x:t xml:space="preserve"/>
        </x:is>
      </x:c>
      <x:c r="J157" s="8" t="n">
        <x:v>46096</x:v>
      </x:c>
      <x:c r="K157" s="7" t="inlineStr">
        <x:is>
          <x:t xml:space="preserve">Not Started</x:t>
        </x:is>
      </x:c>
      <x:c r="L157" s="7" t="inlineStr">
        <x:is>
          <x:t xml:space="preserve"/>
        </x:is>
      </x:c>
      <x:c r="M157" s="6" t="inlineStr">
        <x:is>
          <x:t xml:space="preserve"/>
        </x:is>
      </x:c>
    </x:row>
    <x:row r="158" ht="35" customHeight="1">
      <x:c r="A158" s="7" t="inlineStr">
        <x:is>
          <x:t xml:space="preserve">P202603-0157</x:t>
        </x:is>
      </x:c>
      <x:c r="B158" s="7" t="n">
        <x:v>2026</x:v>
      </x:c>
      <x:c r="C158" s="7" t="inlineStr">
        <x:is>
          <x:t xml:space="preserve">Mar</x:t>
        </x:is>
      </x:c>
      <x:c r="D158" s="7" t="inlineStr">
        <x:is>
          <x:t xml:space="preserve">MCS37</x:t>
        </x:is>
      </x:c>
      <x:c r="E158" s="6" t="inlineStr">
        <x:is>
          <x:t xml:space="preserve">Review of IT user access rights to production IT systems</x:t>
        </x:is>
      </x:c>
      <x:c r="F158" s="6" t="inlineStr">
        <x:is>
          <x:t xml:space="preserve">Theophilus Okolie </x:t>
        </x:is>
      </x:c>
      <x:c r="G158" s="6" t="inlineStr">
        <x:is>
          <x:t xml:space="preserve"/>
        </x:is>
      </x:c>
      <x:c r="H158" s="7" t="inlineStr">
        <x:is>
          <x:t xml:space="preserve">Operating Effectiveness</x:t>
        </x:is>
      </x:c>
      <x:c r="I158" s="7" t="inlineStr">
        <x:is>
          <x:t xml:space="preserve"/>
        </x:is>
      </x:c>
      <x:c r="J158" s="8" t="n">
        <x:v>46096</x:v>
      </x:c>
      <x:c r="K158" s="7" t="inlineStr">
        <x:is>
          <x:t xml:space="preserve">Not Started</x:t>
        </x:is>
      </x:c>
      <x:c r="L158" s="7" t="inlineStr">
        <x:is>
          <x:t xml:space="preserve"/>
        </x:is>
      </x:c>
      <x:c r="M158" s="6" t="inlineStr">
        <x:is>
          <x:t xml:space="preserve"/>
        </x:is>
      </x:c>
    </x:row>
    <x:row r="159" ht="35" customHeight="1">
      <x:c r="A159" s="7" t="inlineStr">
        <x:is>
          <x:t xml:space="preserve">P202603-0158</x:t>
        </x:is>
      </x:c>
      <x:c r="B159" s="7" t="n">
        <x:v>2026</x:v>
      </x:c>
      <x:c r="C159" s="7" t="inlineStr">
        <x:is>
          <x:t xml:space="preserve">Mar</x:t>
        </x:is>
      </x:c>
      <x:c r="D159" s="7" t="inlineStr">
        <x:is>
          <x:t xml:space="preserve">MCS38</x:t>
        </x:is>
      </x:c>
      <x:c r="E159" s="6" t="inlineStr">
        <x:is>
          <x:t xml:space="preserve">Security configuration settings and batch job management</x:t>
        </x:is>
      </x:c>
      <x:c r="F159" s="6" t="inlineStr">
        <x:is>
          <x:t xml:space="preserve">Theophilus Okolie </x:t>
        </x:is>
      </x:c>
      <x:c r="G159" s="6" t="inlineStr">
        <x:is>
          <x:t xml:space="preserve"/>
        </x:is>
      </x:c>
      <x:c r="H159" s="7" t="inlineStr">
        <x:is>
          <x:t xml:space="preserve">Operating Effectiveness</x:t>
        </x:is>
      </x:c>
      <x:c r="I159" s="7" t="inlineStr">
        <x:is>
          <x:t xml:space="preserve"/>
        </x:is>
      </x:c>
      <x:c r="J159" s="8" t="n">
        <x:v>46096</x:v>
      </x:c>
      <x:c r="K159" s="7" t="inlineStr">
        <x:is>
          <x:t xml:space="preserve">Not Started</x:t>
        </x:is>
      </x:c>
      <x:c r="L159" s="7" t="inlineStr">
        <x:is>
          <x:t xml:space="preserve"/>
        </x:is>
      </x:c>
      <x:c r="M159" s="6" t="inlineStr">
        <x:is>
          <x:t xml:space="preserve"/>
        </x:is>
      </x:c>
    </x:row>
    <x:row r="160" ht="35" customHeight="1">
      <x:c r="A160" s="7" t="inlineStr">
        <x:is>
          <x:t xml:space="preserve">P202603-0159</x:t>
        </x:is>
      </x:c>
      <x:c r="B160" s="7" t="n">
        <x:v>2026</x:v>
      </x:c>
      <x:c r="C160" s="7" t="inlineStr">
        <x:is>
          <x:t xml:space="preserve">Mar</x:t>
        </x:is>
      </x:c>
      <x:c r="D160" s="7" t="inlineStr">
        <x:is>
          <x:t xml:space="preserve">MCS39</x:t>
        </x:is>
      </x:c>
      <x:c r="E160" s="6" t="inlineStr">
        <x:is>
          <x:t xml:space="preserve">Data backup, storage and restoration process</x:t>
        </x:is>
      </x:c>
      <x:c r="F160" s="6" t="inlineStr">
        <x:is>
          <x:t xml:space="preserve">Theophilus Okolie </x:t>
        </x:is>
      </x:c>
      <x:c r="G160" s="6" t="inlineStr">
        <x:is>
          <x:t xml:space="preserve"/>
        </x:is>
      </x:c>
      <x:c r="H160" s="7" t="inlineStr">
        <x:is>
          <x:t xml:space="preserve">Operating Effectiveness</x:t>
        </x:is>
      </x:c>
      <x:c r="I160" s="7" t="inlineStr">
        <x:is>
          <x:t xml:space="preserve"/>
        </x:is>
      </x:c>
      <x:c r="J160" s="8" t="n">
        <x:v>46096</x:v>
      </x:c>
      <x:c r="K160" s="7" t="inlineStr">
        <x:is>
          <x:t xml:space="preserve">Not Started</x:t>
        </x:is>
      </x:c>
      <x:c r="L160" s="7" t="inlineStr">
        <x:is>
          <x:t xml:space="preserve"/>
        </x:is>
      </x:c>
      <x:c r="M160" s="6" t="inlineStr">
        <x:is>
          <x:t xml:space="preserve"/>
        </x:is>
      </x:c>
    </x:row>
    <x:row r="161" ht="35" customHeight="1">
      <x:c r="A161" s="7" t="inlineStr">
        <x:is>
          <x:t xml:space="preserve">P202603-0160</x:t>
        </x:is>
      </x:c>
      <x:c r="B161" s="7" t="n">
        <x:v>2026</x:v>
      </x:c>
      <x:c r="C161" s="7" t="inlineStr">
        <x:is>
          <x:t xml:space="preserve">Mar</x:t>
        </x:is>
      </x:c>
      <x:c r="D161" s="7" t="inlineStr">
        <x:is>
          <x:t xml:space="preserve">MCS40</x:t>
        </x:is>
      </x:c>
      <x:c r="E161" s="6" t="inlineStr">
        <x:is>
          <x:t xml:space="preserve">Managing changes to IT systems</x:t>
        </x:is>
      </x:c>
      <x:c r="F161" s="6" t="inlineStr">
        <x:is>
          <x:t xml:space="preserve">Theophilus Okolie </x:t>
        </x:is>
      </x:c>
      <x:c r="G161" s="6" t="inlineStr">
        <x:is>
          <x:t xml:space="preserve"/>
        </x:is>
      </x:c>
      <x:c r="H161" s="7" t="inlineStr">
        <x:is>
          <x:t xml:space="preserve">Operating Effectiveness</x:t>
        </x:is>
      </x:c>
      <x:c r="I161" s="7" t="inlineStr">
        <x:is>
          <x:t xml:space="preserve"/>
        </x:is>
      </x:c>
      <x:c r="J161" s="8" t="n">
        <x:v>46096</x:v>
      </x:c>
      <x:c r="K161" s="7" t="inlineStr">
        <x:is>
          <x:t xml:space="preserve">Not Started</x:t>
        </x:is>
      </x:c>
      <x:c r="L161" s="7" t="inlineStr">
        <x:is>
          <x:t xml:space="preserve"/>
        </x:is>
      </x:c>
      <x:c r="M161" s="6" t="inlineStr">
        <x:is>
          <x:t xml:space="preserve"/>
        </x:is>
      </x:c>
    </x:row>
    <x:row r="162" ht="35" customHeight="1">
      <x:c r="A162" s="7" t="inlineStr">
        <x:is>
          <x:t xml:space="preserve">P202603-0161</x:t>
        </x:is>
      </x:c>
      <x:c r="B162" s="7" t="n">
        <x:v>2026</x:v>
      </x:c>
      <x:c r="C162" s="7" t="inlineStr">
        <x:is>
          <x:t xml:space="preserve">Mar</x:t>
        </x:is>
      </x:c>
      <x:c r="D162" s="7" t="inlineStr">
        <x:is>
          <x:t xml:space="preserve">MCS41</x:t>
        </x:is>
      </x:c>
      <x:c r="E162" s="6" t="inlineStr">
        <x:is>
          <x:t xml:space="preserve">Compliance with accounting and reporting standards</x:t>
        </x:is>
      </x:c>
      <x:c r="F162" s="6" t="inlineStr">
        <x:is>
          <x:t xml:space="preserve">Zainab Yunusah Saadu Daniel Banjo</x:t>
        </x:is>
      </x:c>
      <x:c r="G162" s="6" t="inlineStr">
        <x:is>
          <x:t xml:space="preserve"/>
        </x:is>
      </x:c>
      <x:c r="H162" s="7" t="inlineStr">
        <x:is>
          <x:t xml:space="preserve">Operating Effectiveness</x:t>
        </x:is>
      </x:c>
      <x:c r="I162" s="7" t="inlineStr">
        <x:is>
          <x:t xml:space="preserve"/>
        </x:is>
      </x:c>
      <x:c r="J162" s="8" t="n">
        <x:v>46096</x:v>
      </x:c>
      <x:c r="K162" s="7" t="inlineStr">
        <x:is>
          <x:t xml:space="preserve">Not Started</x:t>
        </x:is>
      </x:c>
      <x:c r="L162" s="7" t="inlineStr">
        <x:is>
          <x:t xml:space="preserve"/>
        </x:is>
      </x:c>
      <x:c r="M162" s="6" t="inlineStr">
        <x:is>
          <x:t xml:space="preserve"/>
        </x:is>
      </x:c>
    </x:row>
    <x:row r="163" ht="35" customHeight="1">
      <x:c r="A163" s="7" t="inlineStr">
        <x:is>
          <x:t xml:space="preserve">P202603-0162</x:t>
        </x:is>
      </x:c>
      <x:c r="B163" s="7" t="n">
        <x:v>2026</x:v>
      </x:c>
      <x:c r="C163" s="7" t="inlineStr">
        <x:is>
          <x:t xml:space="preserve">Mar</x:t>
        </x:is>
      </x:c>
      <x:c r="D163" s="7" t="inlineStr">
        <x:is>
          <x:t xml:space="preserve">MCS42</x:t>
        </x:is>
      </x:c>
      <x:c r="E163" s="6" t="inlineStr">
        <x:is>
          <x:t xml:space="preserve">Reconciliation of general ledger accounts</x:t>
        </x:is>
      </x:c>
      <x:c r="F163" s="6" t="inlineStr">
        <x:is>
          <x:t xml:space="preserve">Zainab Yunusah Saadu Daniel Banjo</x:t>
        </x:is>
      </x:c>
      <x:c r="G163" s="6" t="inlineStr">
        <x:is>
          <x:t xml:space="preserve"/>
        </x:is>
      </x:c>
      <x:c r="H163" s="7" t="inlineStr">
        <x:is>
          <x:t xml:space="preserve">Operating Effectiveness</x:t>
        </x:is>
      </x:c>
      <x:c r="I163" s="7" t="inlineStr">
        <x:is>
          <x:t xml:space="preserve"/>
        </x:is>
      </x:c>
      <x:c r="J163" s="8" t="n">
        <x:v>46096</x:v>
      </x:c>
      <x:c r="K163" s="7" t="inlineStr">
        <x:is>
          <x:t xml:space="preserve">Not Started</x:t>
        </x:is>
      </x:c>
      <x:c r="L163" s="7" t="inlineStr">
        <x:is>
          <x:t xml:space="preserve"/>
        </x:is>
      </x:c>
      <x:c r="M163" s="6" t="inlineStr">
        <x:is>
          <x:t xml:space="preserve"/>
        </x:is>
      </x:c>
    </x:row>
    <x:row r="164" ht="35" customHeight="1">
      <x:c r="A164" s="7" t="inlineStr">
        <x:is>
          <x:t xml:space="preserve">P202603-0163</x:t>
        </x:is>
      </x:c>
      <x:c r="B164" s="7" t="n">
        <x:v>2026</x:v>
      </x:c>
      <x:c r="C164" s="7" t="inlineStr">
        <x:is>
          <x:t xml:space="preserve">Mar</x:t>
        </x:is>
      </x:c>
      <x:c r="D164" s="7" t="inlineStr">
        <x:is>
          <x:t xml:space="preserve">MCS43</x:t>
        </x:is>
      </x:c>
      <x:c r="E164" s="6" t="inlineStr">
        <x:is>
          <x:t xml:space="preserve">Reconciliation of bank accounts</x:t>
        </x:is>
      </x:c>
      <x:c r="F164" s="6" t="inlineStr">
        <x:is>
          <x:t xml:space="preserve">Zainab Yunusah Saadu Daniel Banjo</x:t>
        </x:is>
      </x:c>
      <x:c r="G164" s="6" t="inlineStr">
        <x:is>
          <x:t xml:space="preserve"/>
        </x:is>
      </x:c>
      <x:c r="H164" s="7" t="inlineStr">
        <x:is>
          <x:t xml:space="preserve">Operating Effectiveness</x:t>
        </x:is>
      </x:c>
      <x:c r="I164" s="7" t="inlineStr">
        <x:is>
          <x:t xml:space="preserve"/>
        </x:is>
      </x:c>
      <x:c r="J164" s="8" t="n">
        <x:v>46096</x:v>
      </x:c>
      <x:c r="K164" s="7" t="inlineStr">
        <x:is>
          <x:t xml:space="preserve">Not Started</x:t>
        </x:is>
      </x:c>
      <x:c r="L164" s="7" t="inlineStr">
        <x:is>
          <x:t xml:space="preserve"/>
        </x:is>
      </x:c>
      <x:c r="M164" s="6" t="inlineStr">
        <x:is>
          <x:t xml:space="preserve"/>
        </x:is>
      </x:c>
    </x:row>
    <x:row r="165" ht="35" customHeight="1">
      <x:c r="A165" s="7" t="inlineStr">
        <x:is>
          <x:t xml:space="preserve">P202603-0164</x:t>
        </x:is>
      </x:c>
      <x:c r="B165" s="7" t="n">
        <x:v>2026</x:v>
      </x:c>
      <x:c r="C165" s="7" t="inlineStr">
        <x:is>
          <x:t xml:space="preserve">Mar</x:t>
        </x:is>
      </x:c>
      <x:c r="D165" s="7" t="inlineStr">
        <x:is>
          <x:t xml:space="preserve">MCS44</x:t>
        </x:is>
      </x:c>
      <x:c r="E165" s="6" t="inlineStr">
        <x:is>
          <x:t xml:space="preserve">Reconciliation of intercompany balances</x:t>
        </x:is>
      </x:c>
      <x:c r="F165" s="6" t="inlineStr">
        <x:is>
          <x:t xml:space="preserve">Zainab Yunusah Saadu Daniel Banjo</x:t>
        </x:is>
      </x:c>
      <x:c r="G165" s="6" t="inlineStr">
        <x:is>
          <x:t xml:space="preserve"/>
        </x:is>
      </x:c>
      <x:c r="H165" s="7" t="inlineStr">
        <x:is>
          <x:t xml:space="preserve">Operating Effectiveness</x:t>
        </x:is>
      </x:c>
      <x:c r="I165" s="7" t="inlineStr">
        <x:is>
          <x:t xml:space="preserve"/>
        </x:is>
      </x:c>
      <x:c r="J165" s="8" t="n">
        <x:v>46096</x:v>
      </x:c>
      <x:c r="K165" s="7" t="inlineStr">
        <x:is>
          <x:t xml:space="preserve">Not Started</x:t>
        </x:is>
      </x:c>
      <x:c r="L165" s="7" t="inlineStr">
        <x:is>
          <x:t xml:space="preserve"/>
        </x:is>
      </x:c>
      <x:c r="M165" s="6" t="inlineStr">
        <x:is>
          <x:t xml:space="preserve"/>
        </x:is>
      </x:c>
    </x:row>
    <x:row r="166" ht="35" customHeight="1">
      <x:c r="A166" s="7" t="inlineStr">
        <x:is>
          <x:t xml:space="preserve">P202603-0165</x:t>
        </x:is>
      </x:c>
      <x:c r="B166" s="7" t="n">
        <x:v>2026</x:v>
      </x:c>
      <x:c r="C166" s="7" t="inlineStr">
        <x:is>
          <x:t xml:space="preserve">Mar</x:t>
        </x:is>
      </x:c>
      <x:c r="D166" s="7" t="inlineStr">
        <x:is>
          <x:t xml:space="preserve">MCS45</x:t>
        </x:is>
      </x:c>
      <x:c r="E166" s="6" t="inlineStr">
        <x:is>
          <x:t xml:space="preserve">Manual journal entries</x:t>
        </x:is>
      </x:c>
      <x:c r="F166" s="6" t="inlineStr">
        <x:is>
          <x:t xml:space="preserve">Zainab Yunusah Saadu Daniel Banjo</x:t>
        </x:is>
      </x:c>
      <x:c r="G166" s="6" t="inlineStr">
        <x:is>
          <x:t xml:space="preserve"/>
        </x:is>
      </x:c>
      <x:c r="H166" s="7" t="inlineStr">
        <x:is>
          <x:t xml:space="preserve">Operating Effectiveness</x:t>
        </x:is>
      </x:c>
      <x:c r="I166" s="7" t="inlineStr">
        <x:is>
          <x:t xml:space="preserve"/>
        </x:is>
      </x:c>
      <x:c r="J166" s="8" t="n">
        <x:v>46096</x:v>
      </x:c>
      <x:c r="K166" s="7" t="inlineStr">
        <x:is>
          <x:t xml:space="preserve">Not Started</x:t>
        </x:is>
      </x:c>
      <x:c r="L166" s="7" t="inlineStr">
        <x:is>
          <x:t xml:space="preserve"/>
        </x:is>
      </x:c>
      <x:c r="M166" s="6" t="inlineStr">
        <x:is>
          <x:t xml:space="preserve"/>
        </x:is>
      </x:c>
    </x:row>
    <x:row r="167" ht="35" customHeight="1">
      <x:c r="A167" s="7" t="inlineStr">
        <x:is>
          <x:t xml:space="preserve">P202603-0166</x:t>
        </x:is>
      </x:c>
      <x:c r="B167" s="7" t="n">
        <x:v>2026</x:v>
      </x:c>
      <x:c r="C167" s="7" t="inlineStr">
        <x:is>
          <x:t xml:space="preserve">Mar</x:t>
        </x:is>
      </x:c>
      <x:c r="D167" s="7" t="inlineStr">
        <x:is>
          <x:t xml:space="preserve">MCS46</x:t>
        </x:is>
      </x:c>
      <x:c r="E167" s="6" t="inlineStr">
        <x:is>
          <x:t xml:space="preserve">Impairment of goodwill, intangible assets and tangible assets</x:t>
        </x:is>
      </x:c>
      <x:c r="F167" s="6" t="inlineStr">
        <x:is>
          <x:t xml:space="preserve">Zainab Yunusah Saadu Daniel Banjo</x:t>
        </x:is>
      </x:c>
      <x:c r="G167" s="6" t="inlineStr">
        <x:is>
          <x:t xml:space="preserve"/>
        </x:is>
      </x:c>
      <x:c r="H167" s="7" t="inlineStr">
        <x:is>
          <x:t xml:space="preserve">Operating Effectiveness</x:t>
        </x:is>
      </x:c>
      <x:c r="I167" s="7" t="inlineStr">
        <x:is>
          <x:t xml:space="preserve"/>
        </x:is>
      </x:c>
      <x:c r="J167" s="8" t="n">
        <x:v>46096</x:v>
      </x:c>
      <x:c r="K167" s="7" t="inlineStr">
        <x:is>
          <x:t xml:space="preserve">Not Started</x:t>
        </x:is>
      </x:c>
      <x:c r="L167" s="7" t="inlineStr">
        <x:is>
          <x:t xml:space="preserve"/>
        </x:is>
      </x:c>
      <x:c r="M167" s="6" t="inlineStr">
        <x:is>
          <x:t xml:space="preserve"/>
        </x:is>
      </x:c>
    </x:row>
    <x:row r="168" ht="35" customHeight="1">
      <x:c r="A168" s="7" t="inlineStr">
        <x:is>
          <x:t xml:space="preserve">P202603-0167</x:t>
        </x:is>
      </x:c>
      <x:c r="B168" s="7" t="n">
        <x:v>2026</x:v>
      </x:c>
      <x:c r="C168" s="7" t="inlineStr">
        <x:is>
          <x:t xml:space="preserve">Mar</x:t>
        </x:is>
      </x:c>
      <x:c r="D168" s="7" t="inlineStr">
        <x:is>
          <x:t xml:space="preserve">MCS47</x:t>
        </x:is>
      </x:c>
      <x:c r="E168" s="6" t="inlineStr">
        <x:is>
          <x:t xml:space="preserve">Transactions in a foreign currency</x:t>
        </x:is>
      </x:c>
      <x:c r="F168" s="6" t="inlineStr">
        <x:is>
          <x:t xml:space="preserve">Zainab Yunusah Saadu Daniel Banjo</x:t>
        </x:is>
      </x:c>
      <x:c r="G168" s="6" t="inlineStr">
        <x:is>
          <x:t xml:space="preserve"/>
        </x:is>
      </x:c>
      <x:c r="H168" s="7" t="inlineStr">
        <x:is>
          <x:t xml:space="preserve">Operating Effectiveness</x:t>
        </x:is>
      </x:c>
      <x:c r="I168" s="7" t="inlineStr">
        <x:is>
          <x:t xml:space="preserve"/>
        </x:is>
      </x:c>
      <x:c r="J168" s="8" t="n">
        <x:v>46096</x:v>
      </x:c>
      <x:c r="K168" s="7" t="inlineStr">
        <x:is>
          <x:t xml:space="preserve">Not Started</x:t>
        </x:is>
      </x:c>
      <x:c r="L168" s="7" t="inlineStr">
        <x:is>
          <x:t xml:space="preserve"/>
        </x:is>
      </x:c>
      <x:c r="M168" s="6" t="inlineStr">
        <x:is>
          <x:t xml:space="preserve"/>
        </x:is>
      </x:c>
    </x:row>
    <x:row r="169" ht="35" customHeight="1">
      <x:c r="A169" s="7" t="inlineStr">
        <x:is>
          <x:t xml:space="preserve">P202603-0168</x:t>
        </x:is>
      </x:c>
      <x:c r="B169" s="7" t="n">
        <x:v>2026</x:v>
      </x:c>
      <x:c r="C169" s="7" t="inlineStr">
        <x:is>
          <x:t xml:space="preserve">Mar</x:t>
        </x:is>
      </x:c>
      <x:c r="D169" s="7" t="inlineStr">
        <x:is>
          <x:t xml:space="preserve">MCS48</x:t>
        </x:is>
      </x:c>
      <x:c r="E169" s="6" t="inlineStr">
        <x:is>
          <x:t xml:space="preserve">Management of legal structure and consolidation hierarchy</x:t>
        </x:is>
      </x:c>
      <x:c r="F169" s="6" t="inlineStr">
        <x:is>
          <x:t xml:space="preserve">Zainab Yunusah Saadu Daniel Banjo</x:t>
        </x:is>
      </x:c>
      <x:c r="G169" s="6" t="inlineStr">
        <x:is>
          <x:t xml:space="preserve"/>
        </x:is>
      </x:c>
      <x:c r="H169" s="7" t="inlineStr">
        <x:is>
          <x:t xml:space="preserve">Operating Effectiveness</x:t>
        </x:is>
      </x:c>
      <x:c r="I169" s="7" t="inlineStr">
        <x:is>
          <x:t xml:space="preserve"/>
        </x:is>
      </x:c>
      <x:c r="J169" s="8" t="n">
        <x:v>46096</x:v>
      </x:c>
      <x:c r="K169" s="7" t="inlineStr">
        <x:is>
          <x:t xml:space="preserve">Not Started</x:t>
        </x:is>
      </x:c>
      <x:c r="L169" s="7" t="inlineStr">
        <x:is>
          <x:t xml:space="preserve"/>
        </x:is>
      </x:c>
      <x:c r="M169" s="6" t="inlineStr">
        <x:is>
          <x:t xml:space="preserve"/>
        </x:is>
      </x:c>
    </x:row>
    <x:row r="170" ht="35" customHeight="1">
      <x:c r="A170" s="7" t="inlineStr">
        <x:is>
          <x:t xml:space="preserve">P202603-0169</x:t>
        </x:is>
      </x:c>
      <x:c r="B170" s="7" t="n">
        <x:v>2026</x:v>
      </x:c>
      <x:c r="C170" s="7" t="inlineStr">
        <x:is>
          <x:t xml:space="preserve">Mar</x:t>
        </x:is>
      </x:c>
      <x:c r="D170" s="7" t="inlineStr">
        <x:is>
          <x:t xml:space="preserve">MCS49</x:t>
        </x:is>
      </x:c>
      <x:c r="E170" s="6" t="inlineStr">
        <x:is>
          <x:t xml:space="preserve">Consolidation of financial statement</x:t>
        </x:is>
      </x:c>
      <x:c r="F170" s="6" t="inlineStr">
        <x:is>
          <x:t xml:space="preserve">Zainab Yunusah Saadu Daniel Banjo</x:t>
        </x:is>
      </x:c>
      <x:c r="G170" s="6" t="inlineStr">
        <x:is>
          <x:t xml:space="preserve"/>
        </x:is>
      </x:c>
      <x:c r="H170" s="7" t="inlineStr">
        <x:is>
          <x:t xml:space="preserve">Operating Effectiveness</x:t>
        </x:is>
      </x:c>
      <x:c r="I170" s="7" t="inlineStr">
        <x:is>
          <x:t xml:space="preserve"/>
        </x:is>
      </x:c>
      <x:c r="J170" s="8" t="n">
        <x:v>46096</x:v>
      </x:c>
      <x:c r="K170" s="7" t="inlineStr">
        <x:is>
          <x:t xml:space="preserve">Not Started</x:t>
        </x:is>
      </x:c>
      <x:c r="L170" s="7" t="inlineStr">
        <x:is>
          <x:t xml:space="preserve"/>
        </x:is>
      </x:c>
      <x:c r="M170" s="6" t="inlineStr">
        <x:is>
          <x:t xml:space="preserve"/>
        </x:is>
      </x:c>
    </x:row>
    <x:row r="171" ht="35" customHeight="1">
      <x:c r="A171" s="7" t="inlineStr">
        <x:is>
          <x:t xml:space="preserve">P202603-0170</x:t>
        </x:is>
      </x:c>
      <x:c r="B171" s="7" t="n">
        <x:v>2026</x:v>
      </x:c>
      <x:c r="C171" s="7" t="inlineStr">
        <x:is>
          <x:t xml:space="preserve">Mar</x:t>
        </x:is>
      </x:c>
      <x:c r="D171" s="7" t="inlineStr">
        <x:is>
          <x:t xml:space="preserve">MCS50</x:t>
        </x:is>
      </x:c>
      <x:c r="E171" s="6" t="inlineStr">
        <x:is>
          <x:t xml:space="preserve">Statutory financial statements</x:t>
        </x:is>
      </x:c>
      <x:c r="F171" s="6" t="inlineStr">
        <x:is>
          <x:t xml:space="preserve">Zainab Yunusah Saadu Daniel Banjo</x:t>
        </x:is>
      </x:c>
      <x:c r="G171" s="6" t="inlineStr">
        <x:is>
          <x:t xml:space="preserve"/>
        </x:is>
      </x:c>
      <x:c r="H171" s="7" t="inlineStr">
        <x:is>
          <x:t xml:space="preserve">Operating Effectiveness</x:t>
        </x:is>
      </x:c>
      <x:c r="I171" s="7" t="inlineStr">
        <x:is>
          <x:t xml:space="preserve"/>
        </x:is>
      </x:c>
      <x:c r="J171" s="8" t="n">
        <x:v>46096</x:v>
      </x:c>
      <x:c r="K171" s="7" t="inlineStr">
        <x:is>
          <x:t xml:space="preserve">Not Started</x:t>
        </x:is>
      </x:c>
      <x:c r="L171" s="7" t="inlineStr">
        <x:is>
          <x:t xml:space="preserve"/>
        </x:is>
      </x:c>
      <x:c r="M171" s="6" t="inlineStr">
        <x:is>
          <x:t xml:space="preserve"/>
        </x:is>
      </x:c>
    </x:row>
    <x:row r="172" ht="35" customHeight="1">
      <x:c r="A172" s="7" t="inlineStr">
        <x:is>
          <x:t xml:space="preserve">P202603-0171</x:t>
        </x:is>
      </x:c>
      <x:c r="B172" s="7" t="n">
        <x:v>2026</x:v>
      </x:c>
      <x:c r="C172" s="7" t="inlineStr">
        <x:is>
          <x:t xml:space="preserve">Mar</x:t>
        </x:is>
      </x:c>
      <x:c r="D172" s="7" t="inlineStr">
        <x:is>
          <x:t xml:space="preserve">MCS51</x:t>
        </x:is>
      </x:c>
      <x:c r="E172" s="6" t="inlineStr">
        <x:is>
          <x:t xml:space="preserve">Tax risk assessment and reporting</x:t>
        </x:is>
      </x:c>
      <x:c r="F172" s="6" t="n"/>
      <x:c r="G172" s="6" t="inlineStr">
        <x:is>
          <x:t xml:space="preserve"/>
        </x:is>
      </x:c>
      <x:c r="H172" s="7" t="inlineStr">
        <x:is>
          <x:t xml:space="preserve">Operating Effectiveness</x:t>
        </x:is>
      </x:c>
      <x:c r="I172" s="7" t="inlineStr">
        <x:is>
          <x:t xml:space="preserve"/>
        </x:is>
      </x:c>
      <x:c r="J172" s="8" t="n">
        <x:v>46096</x:v>
      </x:c>
      <x:c r="K172" s="7" t="inlineStr">
        <x:is>
          <x:t xml:space="preserve">Not Started</x:t>
        </x:is>
      </x:c>
      <x:c r="L172" s="7" t="inlineStr">
        <x:is>
          <x:t xml:space="preserve"/>
        </x:is>
      </x:c>
      <x:c r="M172" s="6" t="inlineStr">
        <x:is>
          <x:t xml:space="preserve"/>
        </x:is>
      </x:c>
    </x:row>
    <x:row r="173" ht="35" customHeight="1">
      <x:c r="A173" s="7" t="inlineStr">
        <x:is>
          <x:t xml:space="preserve">P202603-0172</x:t>
        </x:is>
      </x:c>
      <x:c r="B173" s="7" t="n">
        <x:v>2026</x:v>
      </x:c>
      <x:c r="C173" s="7" t="inlineStr">
        <x:is>
          <x:t xml:space="preserve">Mar</x:t>
        </x:is>
      </x:c>
      <x:c r="D173" s="7" t="inlineStr">
        <x:is>
          <x:t xml:space="preserve">MCS52</x:t>
        </x:is>
      </x:c>
      <x:c r="E173" s="6" t="inlineStr">
        <x:is>
          <x:t xml:space="preserve">Tax filings and payments</x:t>
        </x:is>
      </x:c>
      <x:c r="F173" s="6" t="n"/>
      <x:c r="G173" s="6" t="inlineStr">
        <x:is>
          <x:t xml:space="preserve"/>
        </x:is>
      </x:c>
      <x:c r="H173" s="7" t="inlineStr">
        <x:is>
          <x:t xml:space="preserve">Operating Effectiveness</x:t>
        </x:is>
      </x:c>
      <x:c r="I173" s="7" t="inlineStr">
        <x:is>
          <x:t xml:space="preserve"/>
        </x:is>
      </x:c>
      <x:c r="J173" s="8" t="n">
        <x:v>46096</x:v>
      </x:c>
      <x:c r="K173" s="7" t="inlineStr">
        <x:is>
          <x:t xml:space="preserve">Not Started</x:t>
        </x:is>
      </x:c>
      <x:c r="L173" s="7" t="inlineStr">
        <x:is>
          <x:t xml:space="preserve"/>
        </x:is>
      </x:c>
      <x:c r="M173" s="6" t="inlineStr">
        <x:is>
          <x:t xml:space="preserve"/>
        </x:is>
      </x:c>
    </x:row>
    <x:row r="174" ht="35" customHeight="1">
      <x:c r="A174" s="7" t="inlineStr">
        <x:is>
          <x:t xml:space="preserve">P202603-0173</x:t>
        </x:is>
      </x:c>
      <x:c r="B174" s="7" t="n">
        <x:v>2026</x:v>
      </x:c>
      <x:c r="C174" s="7" t="inlineStr">
        <x:is>
          <x:t xml:space="preserve">Mar</x:t>
        </x:is>
      </x:c>
      <x:c r="D174" s="7" t="inlineStr">
        <x:is>
          <x:t xml:space="preserve">MCS53</x:t>
        </x:is>
      </x:c>
      <x:c r="E174" s="6" t="inlineStr">
        <x:is>
          <x:t xml:space="preserve">Deferred and current income tax calculations</x:t>
        </x:is>
      </x:c>
      <x:c r="F174" s="6" t="n"/>
      <x:c r="G174" s="6" t="inlineStr">
        <x:is>
          <x:t xml:space="preserve"/>
        </x:is>
      </x:c>
      <x:c r="H174" s="7" t="inlineStr">
        <x:is>
          <x:t xml:space="preserve">Operating Effectiveness</x:t>
        </x:is>
      </x:c>
      <x:c r="I174" s="7" t="inlineStr">
        <x:is>
          <x:t xml:space="preserve"/>
        </x:is>
      </x:c>
      <x:c r="J174" s="8" t="n">
        <x:v>46096</x:v>
      </x:c>
      <x:c r="K174" s="7" t="inlineStr">
        <x:is>
          <x:t xml:space="preserve">Not Started</x:t>
        </x:is>
      </x:c>
      <x:c r="L174" s="7" t="inlineStr">
        <x:is>
          <x:t xml:space="preserve"/>
        </x:is>
      </x:c>
      <x:c r="M174" s="6" t="inlineStr">
        <x:is>
          <x:t xml:space="preserve"/>
        </x:is>
      </x:c>
    </x:row>
    <x:row r="175" ht="35" customHeight="1">
      <x:c r="A175" s="7" t="inlineStr">
        <x:is>
          <x:t xml:space="preserve">P202603-0174</x:t>
        </x:is>
      </x:c>
      <x:c r="B175" s="7" t="n">
        <x:v>2026</x:v>
      </x:c>
      <x:c r="C175" s="7" t="inlineStr">
        <x:is>
          <x:t xml:space="preserve">Mar</x:t>
        </x:is>
      </x:c>
      <x:c r="D175" s="7" t="inlineStr">
        <x:is>
          <x:t xml:space="preserve">MCS54</x:t>
        </x:is>
      </x:c>
      <x:c r="E175" s="6" t="inlineStr">
        <x:is>
          <x:t xml:space="preserve">Transfer pricing</x:t>
        </x:is>
      </x:c>
      <x:c r="F175" s="6" t="n"/>
      <x:c r="G175" s="6" t="inlineStr">
        <x:is>
          <x:t xml:space="preserve"/>
        </x:is>
      </x:c>
      <x:c r="H175" s="7" t="inlineStr">
        <x:is>
          <x:t xml:space="preserve">Operating Effectiveness</x:t>
        </x:is>
      </x:c>
      <x:c r="I175" s="7" t="inlineStr">
        <x:is>
          <x:t xml:space="preserve"/>
        </x:is>
      </x:c>
      <x:c r="J175" s="8" t="n">
        <x:v>46096</x:v>
      </x:c>
      <x:c r="K175" s="7" t="inlineStr">
        <x:is>
          <x:t xml:space="preserve">Not Started</x:t>
        </x:is>
      </x:c>
      <x:c r="L175" s="7" t="inlineStr">
        <x:is>
          <x:t xml:space="preserve"/>
        </x:is>
      </x:c>
      <x:c r="M175" s="6" t="inlineStr">
        <x:is>
          <x:t xml:space="preserve"/>
        </x:is>
      </x:c>
    </x:row>
    <x:row r="176" ht="35" customHeight="1">
      <x:c r="A176" s="7" t="inlineStr">
        <x:is>
          <x:t xml:space="preserve">P202603-0175</x:t>
        </x:is>
      </x:c>
      <x:c r="B176" s="7" t="n">
        <x:v>2026</x:v>
      </x:c>
      <x:c r="C176" s="7" t="inlineStr">
        <x:is>
          <x:t xml:space="preserve">Mar</x:t>
        </x:is>
      </x:c>
      <x:c r="D176" s="7" t="inlineStr">
        <x:is>
          <x:t xml:space="preserve">MCS55</x:t>
        </x:is>
      </x:c>
      <x:c r="E176" s="6" t="inlineStr">
        <x:is>
          <x:t xml:space="preserve">Non-income (indirect) taxes</x:t>
        </x:is>
      </x:c>
      <x:c r="F176" s="6" t="n"/>
      <x:c r="G176" s="6" t="inlineStr">
        <x:is>
          <x:t xml:space="preserve"/>
        </x:is>
      </x:c>
      <x:c r="H176" s="7" t="inlineStr">
        <x:is>
          <x:t xml:space="preserve">Operating Effectiveness</x:t>
        </x:is>
      </x:c>
      <x:c r="I176" s="7" t="inlineStr">
        <x:is>
          <x:t xml:space="preserve"/>
        </x:is>
      </x:c>
      <x:c r="J176" s="8" t="n">
        <x:v>46096</x:v>
      </x:c>
      <x:c r="K176" s="7" t="inlineStr">
        <x:is>
          <x:t xml:space="preserve">Not Started</x:t>
        </x:is>
      </x:c>
      <x:c r="L176" s="7" t="inlineStr">
        <x:is>
          <x:t xml:space="preserve"/>
        </x:is>
      </x:c>
      <x:c r="M176" s="6" t="inlineStr">
        <x:is>
          <x:t xml:space="preserve"/>
        </x:is>
      </x:c>
    </x:row>
    <x:row r="177" ht="35" customHeight="1">
      <x:c r="A177" s="7" t="inlineStr">
        <x:is>
          <x:t xml:space="preserve">P202603-0176</x:t>
        </x:is>
      </x:c>
      <x:c r="B177" s="7" t="n">
        <x:v>2026</x:v>
      </x:c>
      <x:c r="C177" s="7" t="inlineStr">
        <x:is>
          <x:t xml:space="preserve">Mar</x:t>
        </x:is>
      </x:c>
      <x:c r="D177" s="7" t="inlineStr">
        <x:is>
          <x:t xml:space="preserve">MCS56</x:t>
        </x:is>
      </x:c>
      <x:c r="E177" s="6" t="inlineStr">
        <x:is>
          <x:t xml:space="preserve">Bank relations</x:t>
        </x:is>
      </x:c>
      <x:c r="F177" s="6" t="n"/>
      <x:c r="G177" s="6" t="inlineStr">
        <x:is>
          <x:t xml:space="preserve"/>
        </x:is>
      </x:c>
      <x:c r="H177" s="7" t="inlineStr">
        <x:is>
          <x:t xml:space="preserve">Operating Effectiveness</x:t>
        </x:is>
      </x:c>
      <x:c r="I177" s="7" t="inlineStr">
        <x:is>
          <x:t xml:space="preserve"/>
        </x:is>
      </x:c>
      <x:c r="J177" s="8" t="n">
        <x:v>46096</x:v>
      </x:c>
      <x:c r="K177" s="7" t="inlineStr">
        <x:is>
          <x:t xml:space="preserve">Not Started</x:t>
        </x:is>
      </x:c>
      <x:c r="L177" s="7" t="inlineStr">
        <x:is>
          <x:t xml:space="preserve"/>
        </x:is>
      </x:c>
      <x:c r="M177" s="6" t="inlineStr">
        <x:is>
          <x:t xml:space="preserve"/>
        </x:is>
      </x:c>
    </x:row>
    <x:row r="178" ht="35" customHeight="1">
      <x:c r="A178" s="7" t="inlineStr">
        <x:is>
          <x:t xml:space="preserve">P202603-0177</x:t>
        </x:is>
      </x:c>
      <x:c r="B178" s="7" t="n">
        <x:v>2026</x:v>
      </x:c>
      <x:c r="C178" s="7" t="inlineStr">
        <x:is>
          <x:t xml:space="preserve">Mar</x:t>
        </x:is>
      </x:c>
      <x:c r="D178" s="7" t="inlineStr">
        <x:is>
          <x:t xml:space="preserve">MCS57</x:t>
        </x:is>
      </x:c>
      <x:c r="E178" s="6" t="inlineStr">
        <x:is>
          <x:t xml:space="preserve">Cash transactions are not permitted without Regional Controller approval</x:t>
        </x:is>
      </x:c>
      <x:c r="F178" s="6" t="n"/>
      <x:c r="G178" s="6" t="inlineStr">
        <x:is>
          <x:t xml:space="preserve"/>
        </x:is>
      </x:c>
      <x:c r="H178" s="7" t="inlineStr">
        <x:is>
          <x:t xml:space="preserve">Operating Effectiveness</x:t>
        </x:is>
      </x:c>
      <x:c r="I178" s="7" t="inlineStr">
        <x:is>
          <x:t xml:space="preserve"/>
        </x:is>
      </x:c>
      <x:c r="J178" s="8" t="n">
        <x:v>46096</x:v>
      </x:c>
      <x:c r="K178" s="7" t="inlineStr">
        <x:is>
          <x:t xml:space="preserve">Not Started</x:t>
        </x:is>
      </x:c>
      <x:c r="L178" s="7" t="inlineStr">
        <x:is>
          <x:t xml:space="preserve"/>
        </x:is>
      </x:c>
      <x:c r="M178" s="6" t="inlineStr">
        <x:is>
          <x:t xml:space="preserve"/>
        </x:is>
      </x:c>
    </x:row>
    <x:row r="179" ht="35" customHeight="1">
      <x:c r="A179" s="7" t="inlineStr">
        <x:is>
          <x:t xml:space="preserve">P202603-0178</x:t>
        </x:is>
      </x:c>
      <x:c r="B179" s="7" t="n">
        <x:v>2026</x:v>
      </x:c>
      <x:c r="C179" s="7" t="inlineStr">
        <x:is>
          <x:t xml:space="preserve">Mar</x:t>
        </x:is>
      </x:c>
      <x:c r="D179" s="7" t="inlineStr">
        <x:is>
          <x:t xml:space="preserve">MCS58</x:t>
        </x:is>
      </x:c>
      <x:c r="E179" s="6" t="inlineStr">
        <x:is>
          <x:t xml:space="preserve">Secure payment means</x:t>
        </x:is>
      </x:c>
      <x:c r="F179" s="6" t="n"/>
      <x:c r="G179" s="6" t="inlineStr">
        <x:is>
          <x:t xml:space="preserve"/>
        </x:is>
      </x:c>
      <x:c r="H179" s="7" t="inlineStr">
        <x:is>
          <x:t xml:space="preserve">Operating Effectiveness</x:t>
        </x:is>
      </x:c>
      <x:c r="I179" s="7" t="inlineStr">
        <x:is>
          <x:t xml:space="preserve"/>
        </x:is>
      </x:c>
      <x:c r="J179" s="8" t="n">
        <x:v>46096</x:v>
      </x:c>
      <x:c r="K179" s="7" t="inlineStr">
        <x:is>
          <x:t xml:space="preserve">Not Started</x:t>
        </x:is>
      </x:c>
      <x:c r="L179" s="7" t="inlineStr">
        <x:is>
          <x:t xml:space="preserve"/>
        </x:is>
      </x:c>
      <x:c r="M179" s="6" t="inlineStr">
        <x:is>
          <x:t xml:space="preserve"/>
        </x:is>
      </x:c>
    </x:row>
    <x:row r="180" ht="35" customHeight="1">
      <x:c r="A180" s="7" t="inlineStr">
        <x:is>
          <x:t xml:space="preserve">P202603-0179</x:t>
        </x:is>
      </x:c>
      <x:c r="B180" s="7" t="n">
        <x:v>2026</x:v>
      </x:c>
      <x:c r="C180" s="7" t="inlineStr">
        <x:is>
          <x:t xml:space="preserve">Mar</x:t>
        </x:is>
      </x:c>
      <x:c r="D180" s="7" t="inlineStr">
        <x:is>
          <x:t xml:space="preserve">MCS59</x:t>
        </x:is>
      </x:c>
      <x:c r="E180" s="6" t="inlineStr">
        <x:is>
          <x:t xml:space="preserve">Financial instruments, borrowings, commitments and working capital schemes</x:t>
        </x:is>
      </x:c>
      <x:c r="F180" s="6" t="n"/>
      <x:c r="G180" s="6" t="inlineStr">
        <x:is>
          <x:t xml:space="preserve"/>
        </x:is>
      </x:c>
      <x:c r="H180" s="7" t="inlineStr">
        <x:is>
          <x:t xml:space="preserve">Operating Effectiveness</x:t>
        </x:is>
      </x:c>
      <x:c r="I180" s="7" t="inlineStr">
        <x:is>
          <x:t xml:space="preserve"/>
        </x:is>
      </x:c>
      <x:c r="J180" s="8" t="n">
        <x:v>46096</x:v>
      </x:c>
      <x:c r="K180" s="7" t="inlineStr">
        <x:is>
          <x:t xml:space="preserve">Not Started</x:t>
        </x:is>
      </x:c>
      <x:c r="L180" s="7" t="inlineStr">
        <x:is>
          <x:t xml:space="preserve"/>
        </x:is>
      </x:c>
      <x:c r="M180" s="6" t="inlineStr">
        <x:is>
          <x:t xml:space="preserve"/>
        </x:is>
      </x:c>
    </x:row>
    <x:row r="181" ht="35" customHeight="1">
      <x:c r="A181" s="7" t="inlineStr">
        <x:is>
          <x:t xml:space="preserve">P202603-0180</x:t>
        </x:is>
      </x:c>
      <x:c r="B181" s="7" t="n">
        <x:v>2026</x:v>
      </x:c>
      <x:c r="C181" s="7" t="inlineStr">
        <x:is>
          <x:t xml:space="preserve">Mar</x:t>
        </x:is>
      </x:c>
      <x:c r="D181" s="7" t="inlineStr">
        <x:is>
          <x:t xml:space="preserve">MCS60</x:t>
        </x:is>
      </x:c>
      <x:c r="E181" s="6" t="inlineStr">
        <x:is>
          <x:t xml:space="preserve">Forex, interest rate, commodities risks monitoring and hedging</x:t>
        </x:is>
      </x:c>
      <x:c r="F181" s="6" t="n"/>
      <x:c r="G181" s="6" t="inlineStr">
        <x:is>
          <x:t xml:space="preserve"/>
        </x:is>
      </x:c>
      <x:c r="H181" s="7" t="inlineStr">
        <x:is>
          <x:t xml:space="preserve">Operating Effectiveness</x:t>
        </x:is>
      </x:c>
      <x:c r="I181" s="7" t="inlineStr">
        <x:is>
          <x:t xml:space="preserve"/>
        </x:is>
      </x:c>
      <x:c r="J181" s="8" t="n">
        <x:v>46096</x:v>
      </x:c>
      <x:c r="K181" s="7" t="inlineStr">
        <x:is>
          <x:t xml:space="preserve">Not Started</x:t>
        </x:is>
      </x:c>
      <x:c r="L181" s="7" t="inlineStr">
        <x:is>
          <x:t xml:space="preserve"/>
        </x:is>
      </x:c>
      <x:c r="M181" s="6" t="inlineStr">
        <x:is>
          <x:t xml:space="preserve"/>
        </x:is>
      </x:c>
    </x:row>
    <x:row r="182" ht="35" customHeight="1">
      <x:c r="A182" s="7" t="inlineStr">
        <x:is>
          <x:t xml:space="preserve">P202604-0181</x:t>
        </x:is>
      </x:c>
      <x:c r="B182" s="7" t="n">
        <x:v>2026</x:v>
      </x:c>
      <x:c r="C182" s="7" t="inlineStr">
        <x:is>
          <x:t xml:space="preserve">Apr</x:t>
        </x:is>
      </x:c>
      <x:c r="D182" s="7" t="inlineStr">
        <x:is>
          <x:t xml:space="preserve">MCS01</x:t>
        </x:is>
      </x:c>
      <x:c r="E182" s="6" t="inlineStr">
        <x:is>
          <x:t xml:space="preserve">Communication and promotion of the Code of Business Conduct and speak-up culture</x:t>
        </x:is>
      </x:c>
      <x:c r="F182" s="6" t="inlineStr">
        <x:is>
          <x:t xml:space="preserve">Omoyemi Tuga Olamide Ayo-Ogunlade </x:t>
        </x:is>
      </x:c>
      <x:c r="G182" s="6" t="inlineStr">
        <x:is>
          <x:t xml:space="preserve"/>
        </x:is>
      </x:c>
      <x:c r="H182" s="7" t="inlineStr">
        <x:is>
          <x:t xml:space="preserve">Operating Effectiveness</x:t>
        </x:is>
      </x:c>
      <x:c r="I182" s="7" t="inlineStr">
        <x:is>
          <x:t xml:space="preserve"/>
        </x:is>
      </x:c>
      <x:c r="J182" s="8" t="n">
        <x:v>46127</x:v>
      </x:c>
      <x:c r="K182" s="7" t="inlineStr">
        <x:is>
          <x:t xml:space="preserve">Not Started</x:t>
        </x:is>
      </x:c>
      <x:c r="L182" s="7" t="inlineStr">
        <x:is>
          <x:t xml:space="preserve"/>
        </x:is>
      </x:c>
      <x:c r="M182" s="6" t="inlineStr">
        <x:is>
          <x:t xml:space="preserve"/>
        </x:is>
      </x:c>
    </x:row>
    <x:row r="183" ht="35" customHeight="1">
      <x:c r="A183" s="7" t="inlineStr">
        <x:is>
          <x:t xml:space="preserve">P202604-0182</x:t>
        </x:is>
      </x:c>
      <x:c r="B183" s="7" t="n">
        <x:v>2026</x:v>
      </x:c>
      <x:c r="C183" s="7" t="inlineStr">
        <x:is>
          <x:t xml:space="preserve">Apr</x:t>
        </x:is>
      </x:c>
      <x:c r="D183" s="7" t="inlineStr">
        <x:is>
          <x:t xml:space="preserve">MCS02</x:t>
        </x:is>
      </x:c>
      <x:c r="E183" s="6" t="inlineStr">
        <x:is>
          <x:t xml:space="preserve">Compliance with Fair Competition laws and requirements</x:t>
        </x:is>
      </x:c>
      <x:c r="F183" s="6" t="inlineStr">
        <x:is>
          <x:t xml:space="preserve">Mary Waititu</x:t>
        </x:is>
      </x:c>
      <x:c r="G183" s="6" t="inlineStr">
        <x:is>
          <x:t xml:space="preserve"/>
        </x:is>
      </x:c>
      <x:c r="H183" s="7" t="inlineStr">
        <x:is>
          <x:t xml:space="preserve">Operating Effectiveness</x:t>
        </x:is>
      </x:c>
      <x:c r="I183" s="7" t="inlineStr">
        <x:is>
          <x:t xml:space="preserve"/>
        </x:is>
      </x:c>
      <x:c r="J183" s="8" t="n">
        <x:v>46127</x:v>
      </x:c>
      <x:c r="K183" s="7" t="inlineStr">
        <x:is>
          <x:t xml:space="preserve">Not Started</x:t>
        </x:is>
      </x:c>
      <x:c r="L183" s="7" t="inlineStr">
        <x:is>
          <x:t xml:space="preserve"/>
        </x:is>
      </x:c>
      <x:c r="M183" s="6" t="inlineStr">
        <x:is>
          <x:t xml:space="preserve"/>
        </x:is>
      </x:c>
    </x:row>
    <x:row r="184" ht="35" customHeight="1">
      <x:c r="A184" s="7" t="inlineStr">
        <x:is>
          <x:t xml:space="preserve">P202604-0183</x:t>
        </x:is>
      </x:c>
      <x:c r="B184" s="7" t="n">
        <x:v>2026</x:v>
      </x:c>
      <x:c r="C184" s="7" t="inlineStr">
        <x:is>
          <x:t xml:space="preserve">Apr</x:t>
        </x:is>
      </x:c>
      <x:c r="D184" s="7" t="inlineStr">
        <x:is>
          <x:t xml:space="preserve">MCS03</x:t>
        </x:is>
      </x:c>
      <x:c r="E184" s="6" t="inlineStr">
        <x:is>
          <x:t xml:space="preserve">Related party transactions and conflict of interests</x:t>
        </x:is>
      </x:c>
      <x:c r="F184" s="6" t="inlineStr">
        <x:is>
          <x:t xml:space="preserve">Mary Waititu Godson Iwuozo</x:t>
        </x:is>
      </x:c>
      <x:c r="G184" s="6" t="inlineStr">
        <x:is>
          <x:t xml:space="preserve"/>
        </x:is>
      </x:c>
      <x:c r="H184" s="7" t="inlineStr">
        <x:is>
          <x:t xml:space="preserve">Operating Effectiveness</x:t>
        </x:is>
      </x:c>
      <x:c r="I184" s="7" t="inlineStr">
        <x:is>
          <x:t xml:space="preserve"/>
        </x:is>
      </x:c>
      <x:c r="J184" s="8" t="n">
        <x:v>46127</x:v>
      </x:c>
      <x:c r="K184" s="7" t="inlineStr">
        <x:is>
          <x:t xml:space="preserve">Not Started</x:t>
        </x:is>
      </x:c>
      <x:c r="L184" s="7" t="inlineStr">
        <x:is>
          <x:t xml:space="preserve"/>
        </x:is>
      </x:c>
      <x:c r="M184" s="6" t="inlineStr">
        <x:is>
          <x:t xml:space="preserve"/>
        </x:is>
      </x:c>
    </x:row>
    <x:row r="185" ht="35" customHeight="1">
      <x:c r="A185" s="7" t="inlineStr">
        <x:is>
          <x:t xml:space="preserve">P202604-0184</x:t>
        </x:is>
      </x:c>
      <x:c r="B185" s="7" t="n">
        <x:v>2026</x:v>
      </x:c>
      <x:c r="C185" s="7" t="inlineStr">
        <x:is>
          <x:t xml:space="preserve">Apr</x:t>
        </x:is>
      </x:c>
      <x:c r="D185" s="7" t="inlineStr">
        <x:is>
          <x:t xml:space="preserve">MCS04</x:t>
        </x:is>
      </x:c>
      <x:c r="E185" s="6" t="inlineStr">
        <x:is>
          <x:t xml:space="preserve">Board of Directors secretarial requirements</x:t>
        </x:is>
      </x:c>
      <x:c r="F185" s="6" t="inlineStr">
        <x:is>
          <x:t xml:space="preserve">Mary Waititu Godson Iwuozo</x:t>
        </x:is>
      </x:c>
      <x:c r="G185" s="6" t="inlineStr">
        <x:is>
          <x:t xml:space="preserve"/>
        </x:is>
      </x:c>
      <x:c r="H185" s="7" t="inlineStr">
        <x:is>
          <x:t xml:space="preserve">Operating Effectiveness</x:t>
        </x:is>
      </x:c>
      <x:c r="I185" s="7" t="inlineStr">
        <x:is>
          <x:t xml:space="preserve"/>
        </x:is>
      </x:c>
      <x:c r="J185" s="8" t="n">
        <x:v>46127</x:v>
      </x:c>
      <x:c r="K185" s="7" t="inlineStr">
        <x:is>
          <x:t xml:space="preserve">Not Started</x:t>
        </x:is>
      </x:c>
      <x:c r="L185" s="7" t="inlineStr">
        <x:is>
          <x:t xml:space="preserve"/>
        </x:is>
      </x:c>
      <x:c r="M185" s="6" t="inlineStr">
        <x:is>
          <x:t xml:space="preserve"/>
        </x:is>
      </x:c>
    </x:row>
    <x:row r="186" ht="35" customHeight="1">
      <x:c r="A186" s="7" t="inlineStr">
        <x:is>
          <x:t xml:space="preserve">P202604-0185</x:t>
        </x:is>
      </x:c>
      <x:c r="B186" s="7" t="n">
        <x:v>2026</x:v>
      </x:c>
      <x:c r="C186" s="7" t="inlineStr">
        <x:is>
          <x:t xml:space="preserve">Apr</x:t>
        </x:is>
      </x:c>
      <x:c r="D186" s="7" t="inlineStr">
        <x:is>
          <x:t xml:space="preserve">MCS05</x:t>
        </x:is>
      </x:c>
      <x:c r="E186" s="6" t="inlineStr">
        <x:is>
          <x:t xml:space="preserve">Health, Safety &amp; Environment</x:t>
        </x:is>
      </x:c>
      <x:c r="F186" s="6" t="inlineStr">
        <x:is>
          <x:t xml:space="preserve">Omoyemi Tuga Yomi Jegede</x:t>
        </x:is>
      </x:c>
      <x:c r="G186" s="6" t="inlineStr">
        <x:is>
          <x:t xml:space="preserve"/>
        </x:is>
      </x:c>
      <x:c r="H186" s="7" t="inlineStr">
        <x:is>
          <x:t xml:space="preserve">Operating Effectiveness</x:t>
        </x:is>
      </x:c>
      <x:c r="I186" s="7" t="inlineStr">
        <x:is>
          <x:t xml:space="preserve"/>
        </x:is>
      </x:c>
      <x:c r="J186" s="8" t="n">
        <x:v>46127</x:v>
      </x:c>
      <x:c r="K186" s="7" t="inlineStr">
        <x:is>
          <x:t xml:space="preserve">Not Started</x:t>
        </x:is>
      </x:c>
      <x:c r="L186" s="7" t="inlineStr">
        <x:is>
          <x:t xml:space="preserve"/>
        </x:is>
      </x:c>
      <x:c r="M186" s="6" t="inlineStr">
        <x:is>
          <x:t xml:space="preserve"/>
        </x:is>
      </x:c>
    </x:row>
    <x:row r="187" ht="35" customHeight="1">
      <x:c r="A187" s="7" t="inlineStr">
        <x:is>
          <x:t xml:space="preserve">P202604-0186</x:t>
        </x:is>
      </x:c>
      <x:c r="B187" s="7" t="n">
        <x:v>2026</x:v>
      </x:c>
      <x:c r="C187" s="7" t="inlineStr">
        <x:is>
          <x:t xml:space="preserve">Apr</x:t>
        </x:is>
      </x:c>
      <x:c r="D187" s="7" t="inlineStr">
        <x:is>
          <x:t xml:space="preserve">MCS06</x:t>
        </x:is>
      </x:c>
      <x:c r="E187" s="6" t="inlineStr">
        <x:is>
          <x:t xml:space="preserve">Risk assessment</x:t>
        </x:is>
      </x:c>
      <x:c r="F187" s="6" t="inlineStr">
        <x:is>
          <x:t xml:space="preserve">Oluwaseun Oyedepo</x:t>
        </x:is>
      </x:c>
      <x:c r="G187" s="6" t="inlineStr">
        <x:is>
          <x:t xml:space="preserve"/>
        </x:is>
      </x:c>
      <x:c r="H187" s="7" t="inlineStr">
        <x:is>
          <x:t xml:space="preserve">Operating Effectiveness</x:t>
        </x:is>
      </x:c>
      <x:c r="I187" s="7" t="inlineStr">
        <x:is>
          <x:t xml:space="preserve"/>
        </x:is>
      </x:c>
      <x:c r="J187" s="8" t="n">
        <x:v>46127</x:v>
      </x:c>
      <x:c r="K187" s="7" t="inlineStr">
        <x:is>
          <x:t xml:space="preserve">Not Started</x:t>
        </x:is>
      </x:c>
      <x:c r="L187" s="7" t="inlineStr">
        <x:is>
          <x:t xml:space="preserve"/>
        </x:is>
      </x:c>
      <x:c r="M187" s="6" t="inlineStr">
        <x:is>
          <x:t xml:space="preserve"/>
        </x:is>
      </x:c>
    </x:row>
    <x:row r="188" ht="35" customHeight="1">
      <x:c r="A188" s="7" t="inlineStr">
        <x:is>
          <x:t xml:space="preserve">P202604-0187</x:t>
        </x:is>
      </x:c>
      <x:c r="B188" s="7" t="n">
        <x:v>2026</x:v>
      </x:c>
      <x:c r="C188" s="7" t="inlineStr">
        <x:is>
          <x:t xml:space="preserve">Apr</x:t>
        </x:is>
      </x:c>
      <x:c r="D188" s="7" t="inlineStr">
        <x:is>
          <x:t xml:space="preserve">MCS07</x:t>
        </x:is>
      </x:c>
      <x:c r="E188" s="6" t="inlineStr">
        <x:is>
          <x:t xml:space="preserve">Mitigation of business risks - Security</x:t>
        </x:is>
      </x:c>
      <x:c r="F188" s="6" t="inlineStr">
        <x:is>
          <x:t xml:space="preserve">Olamide Ayo-Ogunlade Obinna Ojimba</x:t>
        </x:is>
      </x:c>
      <x:c r="G188" s="6" t="inlineStr">
        <x:is>
          <x:t xml:space="preserve"/>
        </x:is>
      </x:c>
      <x:c r="H188" s="7" t="inlineStr">
        <x:is>
          <x:t xml:space="preserve">Operating Effectiveness</x:t>
        </x:is>
      </x:c>
      <x:c r="I188" s="7" t="inlineStr">
        <x:is>
          <x:t xml:space="preserve"/>
        </x:is>
      </x:c>
      <x:c r="J188" s="8" t="n">
        <x:v>46127</x:v>
      </x:c>
      <x:c r="K188" s="7" t="inlineStr">
        <x:is>
          <x:t xml:space="preserve">Not Started</x:t>
        </x:is>
      </x:c>
      <x:c r="L188" s="7" t="inlineStr">
        <x:is>
          <x:t xml:space="preserve"/>
        </x:is>
      </x:c>
      <x:c r="M188" s="6" t="inlineStr">
        <x:is>
          <x:t xml:space="preserve"/>
        </x:is>
      </x:c>
    </x:row>
    <x:row r="189" ht="35" customHeight="1">
      <x:c r="A189" s="7" t="inlineStr">
        <x:is>
          <x:t xml:space="preserve">P202604-0188</x:t>
        </x:is>
      </x:c>
      <x:c r="B189" s="7" t="n">
        <x:v>2026</x:v>
      </x:c>
      <x:c r="C189" s="7" t="inlineStr">
        <x:is>
          <x:t xml:space="preserve">Apr</x:t>
        </x:is>
      </x:c>
      <x:c r="D189" s="7" t="inlineStr">
        <x:is>
          <x:t xml:space="preserve">MCS08</x:t>
        </x:is>
      </x:c>
      <x:c r="E189" s="6" t="inlineStr">
        <x:is>
          <x:t xml:space="preserve">Mitigation of business risks - Group insurance</x:t>
        </x:is>
      </x:c>
      <x:c r="F189" s="6" t="inlineStr">
        <x:is>
          <x:t xml:space="preserve">Victory Olumuyiwa</x:t>
        </x:is>
      </x:c>
      <x:c r="G189" s="6" t="inlineStr">
        <x:is>
          <x:t xml:space="preserve"/>
        </x:is>
      </x:c>
      <x:c r="H189" s="7" t="inlineStr">
        <x:is>
          <x:t xml:space="preserve">Operating Effectiveness</x:t>
        </x:is>
      </x:c>
      <x:c r="I189" s="7" t="inlineStr">
        <x:is>
          <x:t xml:space="preserve"/>
        </x:is>
      </x:c>
      <x:c r="J189" s="8" t="n">
        <x:v>46127</x:v>
      </x:c>
      <x:c r="K189" s="7" t="inlineStr">
        <x:is>
          <x:t xml:space="preserve">Not Started</x:t>
        </x:is>
      </x:c>
      <x:c r="L189" s="7" t="inlineStr">
        <x:is>
          <x:t xml:space="preserve"/>
        </x:is>
      </x:c>
      <x:c r="M189" s="6" t="inlineStr">
        <x:is>
          <x:t xml:space="preserve"/>
        </x:is>
      </x:c>
    </x:row>
    <x:row r="190" ht="35" customHeight="1">
      <x:c r="A190" s="7" t="inlineStr">
        <x:is>
          <x:t xml:space="preserve">P202604-0189</x:t>
        </x:is>
      </x:c>
      <x:c r="B190" s="7" t="n">
        <x:v>2026</x:v>
      </x:c>
      <x:c r="C190" s="7" t="inlineStr">
        <x:is>
          <x:t xml:space="preserve">Apr</x:t>
        </x:is>
      </x:c>
      <x:c r="D190" s="7" t="inlineStr">
        <x:is>
          <x:t xml:space="preserve">MCS09</x:t>
        </x:is>
      </x:c>
      <x:c r="E190" s="6" t="inlineStr">
        <x:is>
          <x:t xml:space="preserve">Mitigation of business risks - Business Resilience System</x:t>
        </x:is>
      </x:c>
      <x:c r="F190" s="6" t="inlineStr">
        <x:is>
          <x:t xml:space="preserve">Oluwaseun Oyedepo</x:t>
        </x:is>
      </x:c>
      <x:c r="G190" s="6" t="inlineStr">
        <x:is>
          <x:t xml:space="preserve"/>
        </x:is>
      </x:c>
      <x:c r="H190" s="7" t="inlineStr">
        <x:is>
          <x:t xml:space="preserve">Operating Effectiveness</x:t>
        </x:is>
      </x:c>
      <x:c r="I190" s="7" t="inlineStr">
        <x:is>
          <x:t xml:space="preserve"/>
        </x:is>
      </x:c>
      <x:c r="J190" s="8" t="n">
        <x:v>46127</x:v>
      </x:c>
      <x:c r="K190" s="7" t="inlineStr">
        <x:is>
          <x:t xml:space="preserve">Not Started</x:t>
        </x:is>
      </x:c>
      <x:c r="L190" s="7" t="inlineStr">
        <x:is>
          <x:t xml:space="preserve"/>
        </x:is>
      </x:c>
      <x:c r="M190" s="6" t="inlineStr">
        <x:is>
          <x:t xml:space="preserve"/>
        </x:is>
      </x:c>
    </x:row>
    <x:row r="191" ht="35" customHeight="1">
      <x:c r="A191" s="7" t="inlineStr">
        <x:is>
          <x:t xml:space="preserve">P202604-0190</x:t>
        </x:is>
      </x:c>
      <x:c r="B191" s="7" t="n">
        <x:v>2026</x:v>
      </x:c>
      <x:c r="C191" s="7" t="inlineStr">
        <x:is>
          <x:t xml:space="preserve">Apr</x:t>
        </x:is>
      </x:c>
      <x:c r="D191" s="7" t="inlineStr">
        <x:is>
          <x:t xml:space="preserve">MCS10</x:t>
        </x:is>
      </x:c>
      <x:c r="E191" s="6" t="inlineStr">
        <x:is>
          <x:t xml:space="preserve">Mitigation of business risks - Remediation of deficiencies and non-compliance with MCS</x:t>
        </x:is>
      </x:c>
      <x:c r="F191" s="6" t="inlineStr">
        <x:is>
          <x:t xml:space="preserve">Oluwaseun Oyedepo</x:t>
        </x:is>
      </x:c>
      <x:c r="G191" s="6" t="inlineStr">
        <x:is>
          <x:t xml:space="preserve"/>
        </x:is>
      </x:c>
      <x:c r="H191" s="7" t="inlineStr">
        <x:is>
          <x:t xml:space="preserve">Operating Effectiveness</x:t>
        </x:is>
      </x:c>
      <x:c r="I191" s="7" t="inlineStr">
        <x:is>
          <x:t xml:space="preserve"/>
        </x:is>
      </x:c>
      <x:c r="J191" s="8" t="n">
        <x:v>46127</x:v>
      </x:c>
      <x:c r="K191" s="7" t="inlineStr">
        <x:is>
          <x:t xml:space="preserve">Not Started</x:t>
        </x:is>
      </x:c>
      <x:c r="L191" s="7" t="inlineStr">
        <x:is>
          <x:t xml:space="preserve"/>
        </x:is>
      </x:c>
      <x:c r="M191" s="6" t="inlineStr">
        <x:is>
          <x:t xml:space="preserve"/>
        </x:is>
      </x:c>
    </x:row>
    <x:row r="192" ht="35" customHeight="1">
      <x:c r="A192" s="7" t="inlineStr">
        <x:is>
          <x:t xml:space="preserve">P202604-0191</x:t>
        </x:is>
      </x:c>
      <x:c r="B192" s="7" t="n">
        <x:v>2026</x:v>
      </x:c>
      <x:c r="C192" s="7" t="inlineStr">
        <x:is>
          <x:t xml:space="preserve">Apr</x:t>
        </x:is>
      </x:c>
      <x:c r="D192" s="7" t="inlineStr">
        <x:is>
          <x:t xml:space="preserve">MCS11</x:t>
        </x:is>
      </x:c>
      <x:c r="E192" s="6" t="inlineStr">
        <x:is>
          <x:t xml:space="preserve">Personal data protection</x:t>
        </x:is>
      </x:c>
      <x:c r="F192" s="6" t="inlineStr">
        <x:is>
          <x:t xml:space="preserve">Olamide Ayo-Ogunlade @</x:t>
        </x:is>
      </x:c>
      <x:c r="G192" s="6" t="inlineStr">
        <x:is>
          <x:t xml:space="preserve"/>
        </x:is>
      </x:c>
      <x:c r="H192" s="7" t="inlineStr">
        <x:is>
          <x:t xml:space="preserve">Operating Effectiveness</x:t>
        </x:is>
      </x:c>
      <x:c r="I192" s="7" t="inlineStr">
        <x:is>
          <x:t xml:space="preserve"/>
        </x:is>
      </x:c>
      <x:c r="J192" s="8" t="n">
        <x:v>46127</x:v>
      </x:c>
      <x:c r="K192" s="7" t="inlineStr">
        <x:is>
          <x:t xml:space="preserve">Not Started</x:t>
        </x:is>
      </x:c>
      <x:c r="L192" s="7" t="inlineStr">
        <x:is>
          <x:t xml:space="preserve"/>
        </x:is>
      </x:c>
      <x:c r="M192" s="6" t="inlineStr">
        <x:is>
          <x:t xml:space="preserve"/>
        </x:is>
      </x:c>
    </x:row>
    <x:row r="193" ht="35" customHeight="1">
      <x:c r="A193" s="7" t="inlineStr">
        <x:is>
          <x:t xml:space="preserve">P202604-0192</x:t>
        </x:is>
      </x:c>
      <x:c r="B193" s="7" t="n">
        <x:v>2026</x:v>
      </x:c>
      <x:c r="C193" s="7" t="inlineStr">
        <x:is>
          <x:t xml:space="preserve">Apr</x:t>
        </x:is>
      </x:c>
      <x:c r="D193" s="7" t="inlineStr">
        <x:is>
          <x:t xml:space="preserve">MCS12</x:t>
        </x:is>
      </x:c>
      <x:c r="E193" s="6" t="inlineStr">
        <x:is>
          <x:t xml:space="preserve">Segregation of duties and user access review</x:t>
        </x:is>
      </x:c>
      <x:c r="F193" s="6" t="inlineStr">
        <x:is>
          <x:t xml:space="preserve">Theophilus Okolie</x:t>
        </x:is>
      </x:c>
      <x:c r="G193" s="6" t="inlineStr">
        <x:is>
          <x:t xml:space="preserve"/>
        </x:is>
      </x:c>
      <x:c r="H193" s="7" t="inlineStr">
        <x:is>
          <x:t xml:space="preserve">Operating Effectiveness</x:t>
        </x:is>
      </x:c>
      <x:c r="I193" s="7" t="inlineStr">
        <x:is>
          <x:t xml:space="preserve"/>
        </x:is>
      </x:c>
      <x:c r="J193" s="8" t="n">
        <x:v>46127</x:v>
      </x:c>
      <x:c r="K193" s="7" t="inlineStr">
        <x:is>
          <x:t xml:space="preserve">Not Started</x:t>
        </x:is>
      </x:c>
      <x:c r="L193" s="7" t="inlineStr">
        <x:is>
          <x:t xml:space="preserve"/>
        </x:is>
      </x:c>
      <x:c r="M193" s="6" t="inlineStr">
        <x:is>
          <x:t xml:space="preserve"/>
        </x:is>
      </x:c>
    </x:row>
    <x:row r="194" ht="35" customHeight="1">
      <x:c r="A194" s="7" t="inlineStr">
        <x:is>
          <x:t xml:space="preserve">P202604-0193</x:t>
        </x:is>
      </x:c>
      <x:c r="B194" s="7" t="n">
        <x:v>2026</x:v>
      </x:c>
      <x:c r="C194" s="7" t="inlineStr">
        <x:is>
          <x:t xml:space="preserve">Apr</x:t>
        </x:is>
      </x:c>
      <x:c r="D194" s="7" t="inlineStr">
        <x:is>
          <x:t xml:space="preserve">MCS13</x:t>
        </x:is>
      </x:c>
      <x:c r="E194" s="6" t="inlineStr">
        <x:is>
          <x:t xml:space="preserve">Delegation of authorities and approval workflows</x:t>
        </x:is>
      </x:c>
      <x:c r="F194" s="6" t="inlineStr">
        <x:is>
          <x:t xml:space="preserve">Ramakant Patil</x:t>
        </x:is>
      </x:c>
      <x:c r="G194" s="6" t="inlineStr">
        <x:is>
          <x:t xml:space="preserve"/>
        </x:is>
      </x:c>
      <x:c r="H194" s="7" t="inlineStr">
        <x:is>
          <x:t xml:space="preserve">Operating Effectiveness</x:t>
        </x:is>
      </x:c>
      <x:c r="I194" s="7" t="inlineStr">
        <x:is>
          <x:t xml:space="preserve"/>
        </x:is>
      </x:c>
      <x:c r="J194" s="8" t="n">
        <x:v>46127</x:v>
      </x:c>
      <x:c r="K194" s="7" t="inlineStr">
        <x:is>
          <x:t xml:space="preserve">Not Started</x:t>
        </x:is>
      </x:c>
      <x:c r="L194" s="7" t="inlineStr">
        <x:is>
          <x:t xml:space="preserve"/>
        </x:is>
      </x:c>
      <x:c r="M194" s="6" t="inlineStr">
        <x:is>
          <x:t xml:space="preserve"/>
        </x:is>
      </x:c>
    </x:row>
    <x:row r="195" ht="35" customHeight="1">
      <x:c r="A195" s="7" t="inlineStr">
        <x:is>
          <x:t xml:space="preserve">P202604-0194</x:t>
        </x:is>
      </x:c>
      <x:c r="B195" s="7" t="n">
        <x:v>2026</x:v>
      </x:c>
      <x:c r="C195" s="7" t="inlineStr">
        <x:is>
          <x:t xml:space="preserve">Apr</x:t>
        </x:is>
      </x:c>
      <x:c r="D195" s="7" t="inlineStr">
        <x:is>
          <x:t xml:space="preserve">MCS14</x:t>
        </x:is>
      </x:c>
      <x:c r="E195" s="6" t="inlineStr">
        <x:is>
          <x:t xml:space="preserve">Litigation disputes</x:t>
        </x:is>
      </x:c>
      <x:c r="F195" s="6" t="inlineStr">
        <x:is>
          <x:t xml:space="preserve">Mary Waititu</x:t>
        </x:is>
      </x:c>
      <x:c r="G195" s="6" t="inlineStr">
        <x:is>
          <x:t xml:space="preserve"/>
        </x:is>
      </x:c>
      <x:c r="H195" s="7" t="inlineStr">
        <x:is>
          <x:t xml:space="preserve">Operating Effectiveness</x:t>
        </x:is>
      </x:c>
      <x:c r="I195" s="7" t="inlineStr">
        <x:is>
          <x:t xml:space="preserve"/>
        </x:is>
      </x:c>
      <x:c r="J195" s="8" t="n">
        <x:v>46127</x:v>
      </x:c>
      <x:c r="K195" s="7" t="inlineStr">
        <x:is>
          <x:t xml:space="preserve">Not Started</x:t>
        </x:is>
      </x:c>
      <x:c r="L195" s="7" t="inlineStr">
        <x:is>
          <x:t xml:space="preserve"/>
        </x:is>
      </x:c>
      <x:c r="M195" s="6" t="inlineStr">
        <x:is>
          <x:t xml:space="preserve"/>
        </x:is>
      </x:c>
    </x:row>
    <x:row r="196" ht="35" customHeight="1">
      <x:c r="A196" s="7" t="inlineStr">
        <x:is>
          <x:t xml:space="preserve">P202604-0195</x:t>
        </x:is>
      </x:c>
      <x:c r="B196" s="7" t="n">
        <x:v>2026</x:v>
      </x:c>
      <x:c r="C196" s="7" t="inlineStr">
        <x:is>
          <x:t xml:space="preserve">Apr</x:t>
        </x:is>
      </x:c>
      <x:c r="D196" s="7" t="inlineStr">
        <x:is>
          <x:t xml:space="preserve">MCS15</x:t>
        </x:is>
      </x:c>
      <x:c r="E196" s="6" t="inlineStr">
        <x:is>
          <x:t xml:space="preserve">Review of contracts by finance</x:t>
        </x:is>
      </x:c>
      <x:c r="F196" s="6" t="inlineStr">
        <x:is>
          <x:t xml:space="preserve">Ovie Itie</x:t>
        </x:is>
      </x:c>
      <x:c r="G196" s="6" t="inlineStr">
        <x:is>
          <x:t xml:space="preserve"/>
        </x:is>
      </x:c>
      <x:c r="H196" s="7" t="inlineStr">
        <x:is>
          <x:t xml:space="preserve">Operating Effectiveness</x:t>
        </x:is>
      </x:c>
      <x:c r="I196" s="7" t="inlineStr">
        <x:is>
          <x:t xml:space="preserve"/>
        </x:is>
      </x:c>
      <x:c r="J196" s="8" t="n">
        <x:v>46127</x:v>
      </x:c>
      <x:c r="K196" s="7" t="inlineStr">
        <x:is>
          <x:t xml:space="preserve">Not Started</x:t>
        </x:is>
      </x:c>
      <x:c r="L196" s="7" t="inlineStr">
        <x:is>
          <x:t xml:space="preserve"/>
        </x:is>
      </x:c>
      <x:c r="M196" s="6" t="inlineStr">
        <x:is>
          <x:t xml:space="preserve"/>
        </x:is>
      </x:c>
    </x:row>
    <x:row r="197" ht="35" customHeight="1">
      <x:c r="A197" s="7" t="inlineStr">
        <x:is>
          <x:t xml:space="preserve">P202604-0196</x:t>
        </x:is>
      </x:c>
      <x:c r="B197" s="7" t="n">
        <x:v>2026</x:v>
      </x:c>
      <x:c r="C197" s="7" t="inlineStr">
        <x:is>
          <x:t xml:space="preserve">Apr</x:t>
        </x:is>
      </x:c>
      <x:c r="D197" s="7" t="inlineStr">
        <x:is>
          <x:t xml:space="preserve">MCS16</x:t>
        </x:is>
      </x:c>
      <x:c r="E197" s="6" t="inlineStr">
        <x:is>
          <x:t xml:space="preserve">Management of titles and permits</x:t>
        </x:is>
      </x:c>
      <x:c r="F197" s="6" t="n"/>
      <x:c r="G197" s="6" t="inlineStr">
        <x:is>
          <x:t xml:space="preserve"/>
        </x:is>
      </x:c>
      <x:c r="H197" s="7" t="inlineStr">
        <x:is>
          <x:t xml:space="preserve">Operating Effectiveness</x:t>
        </x:is>
      </x:c>
      <x:c r="I197" s="7" t="inlineStr">
        <x:is>
          <x:t xml:space="preserve"/>
        </x:is>
      </x:c>
      <x:c r="J197" s="8" t="n">
        <x:v>46127</x:v>
      </x:c>
      <x:c r="K197" s="7" t="inlineStr">
        <x:is>
          <x:t xml:space="preserve">Not Started</x:t>
        </x:is>
      </x:c>
      <x:c r="L197" s="7" t="inlineStr">
        <x:is>
          <x:t xml:space="preserve"/>
        </x:is>
      </x:c>
      <x:c r="M197" s="6" t="inlineStr">
        <x:is>
          <x:t xml:space="preserve"/>
        </x:is>
      </x:c>
    </x:row>
    <x:row r="198" ht="35" customHeight="1">
      <x:c r="A198" s="7" t="inlineStr">
        <x:is>
          <x:t xml:space="preserve">P202604-0197</x:t>
        </x:is>
      </x:c>
      <x:c r="B198" s="7" t="n">
        <x:v>2026</x:v>
      </x:c>
      <x:c r="C198" s="7" t="inlineStr">
        <x:is>
          <x:t xml:space="preserve">Apr</x:t>
        </x:is>
      </x:c>
      <x:c r="D198" s="7" t="inlineStr">
        <x:is>
          <x:t xml:space="preserve">MCS18</x:t>
        </x:is>
      </x:c>
      <x:c r="E198" s="6" t="inlineStr">
        <x:is>
          <x:t xml:space="preserve">Classification and depreciation of property, plant &amp; equipment</x:t>
        </x:is>
      </x:c>
      <x:c r="F198" s="6" t="n"/>
      <x:c r="G198" s="6" t="inlineStr">
        <x:is>
          <x:t xml:space="preserve"/>
        </x:is>
      </x:c>
      <x:c r="H198" s="7" t="inlineStr">
        <x:is>
          <x:t xml:space="preserve">Operating Effectiveness</x:t>
        </x:is>
      </x:c>
      <x:c r="I198" s="7" t="inlineStr">
        <x:is>
          <x:t xml:space="preserve"/>
        </x:is>
      </x:c>
      <x:c r="J198" s="8" t="n">
        <x:v>46127</x:v>
      </x:c>
      <x:c r="K198" s="7" t="inlineStr">
        <x:is>
          <x:t xml:space="preserve">Not Started</x:t>
        </x:is>
      </x:c>
      <x:c r="L198" s="7" t="inlineStr">
        <x:is>
          <x:t xml:space="preserve"/>
        </x:is>
      </x:c>
      <x:c r="M198" s="6" t="inlineStr">
        <x:is>
          <x:t xml:space="preserve"/>
        </x:is>
      </x:c>
    </x:row>
    <x:row r="199" ht="35" customHeight="1">
      <x:c r="A199" s="7" t="inlineStr">
        <x:is>
          <x:t xml:space="preserve">P202604-0198</x:t>
        </x:is>
      </x:c>
      <x:c r="B199" s="7" t="n">
        <x:v>2026</x:v>
      </x:c>
      <x:c r="C199" s="7" t="inlineStr">
        <x:is>
          <x:t xml:space="preserve">Apr</x:t>
        </x:is>
      </x:c>
      <x:c r="D199" s="7" t="inlineStr">
        <x:is>
          <x:t xml:space="preserve">MCS19</x:t>
        </x:is>
      </x:c>
      <x:c r="E199" s="6" t="inlineStr">
        <x:is>
          <x:t xml:space="preserve">Physical verification of Fixed Asset</x:t>
        </x:is>
      </x:c>
      <x:c r="F199" s="6" t="n"/>
      <x:c r="G199" s="6" t="inlineStr">
        <x:is>
          <x:t xml:space="preserve"/>
        </x:is>
      </x:c>
      <x:c r="H199" s="7" t="inlineStr">
        <x:is>
          <x:t xml:space="preserve">Operating Effectiveness</x:t>
        </x:is>
      </x:c>
      <x:c r="I199" s="7" t="inlineStr">
        <x:is>
          <x:t xml:space="preserve"/>
        </x:is>
      </x:c>
      <x:c r="J199" s="8" t="n">
        <x:v>46127</x:v>
      </x:c>
      <x:c r="K199" s="7" t="inlineStr">
        <x:is>
          <x:t xml:space="preserve">Not Started</x:t>
        </x:is>
      </x:c>
      <x:c r="L199" s="7" t="inlineStr">
        <x:is>
          <x:t xml:space="preserve"/>
        </x:is>
      </x:c>
      <x:c r="M199" s="6" t="inlineStr">
        <x:is>
          <x:t xml:space="preserve"/>
        </x:is>
      </x:c>
    </x:row>
    <x:row r="200" ht="35" customHeight="1">
      <x:c r="A200" s="7" t="inlineStr">
        <x:is>
          <x:t xml:space="preserve">P202604-0199</x:t>
        </x:is>
      </x:c>
      <x:c r="B200" s="7" t="n">
        <x:v>2026</x:v>
      </x:c>
      <x:c r="C200" s="7" t="inlineStr">
        <x:is>
          <x:t xml:space="preserve">Apr</x:t>
        </x:is>
      </x:c>
      <x:c r="D200" s="7" t="inlineStr">
        <x:is>
          <x:t xml:space="preserve">MCS20</x:t>
        </x:is>
      </x:c>
      <x:c r="E200" s="6" t="inlineStr">
        <x:is>
          <x:t xml:space="preserve">Management of customer and inventory master data</x:t>
        </x:is>
      </x:c>
      <x:c r="F200" s="6" t="inlineStr">
        <x:is>
          <x:t xml:space="preserve">Yomi Jegede</x:t>
        </x:is>
      </x:c>
      <x:c r="G200" s="6" t="inlineStr">
        <x:is>
          <x:t xml:space="preserve"/>
        </x:is>
      </x:c>
      <x:c r="H200" s="7" t="inlineStr">
        <x:is>
          <x:t xml:space="preserve">Operating Effectiveness</x:t>
        </x:is>
      </x:c>
      <x:c r="I200" s="7" t="inlineStr">
        <x:is>
          <x:t xml:space="preserve"/>
        </x:is>
      </x:c>
      <x:c r="J200" s="8" t="n">
        <x:v>46127</x:v>
      </x:c>
      <x:c r="K200" s="7" t="inlineStr">
        <x:is>
          <x:t xml:space="preserve">Not Started</x:t>
        </x:is>
      </x:c>
      <x:c r="L200" s="7" t="inlineStr">
        <x:is>
          <x:t xml:space="preserve"/>
        </x:is>
      </x:c>
      <x:c r="M200" s="6" t="inlineStr">
        <x:is>
          <x:t xml:space="preserve"/>
        </x:is>
      </x:c>
    </x:row>
    <x:row r="201" ht="35" customHeight="1">
      <x:c r="A201" s="7" t="inlineStr">
        <x:is>
          <x:t xml:space="preserve">P202604-0200</x:t>
        </x:is>
      </x:c>
      <x:c r="B201" s="7" t="n">
        <x:v>2026</x:v>
      </x:c>
      <x:c r="C201" s="7" t="inlineStr">
        <x:is>
          <x:t xml:space="preserve">Apr</x:t>
        </x:is>
      </x:c>
      <x:c r="D201" s="7" t="inlineStr">
        <x:is>
          <x:t xml:space="preserve">MCS21</x:t>
        </x:is>
      </x:c>
      <x:c r="E201" s="6" t="inlineStr">
        <x:is>
          <x:t xml:space="preserve">Price management</x:t>
        </x:is>
      </x:c>
      <x:c r="F201" s="6" t="n"/>
      <x:c r="G201" s="6" t="inlineStr">
        <x:is>
          <x:t xml:space="preserve"/>
        </x:is>
      </x:c>
      <x:c r="H201" s="7" t="inlineStr">
        <x:is>
          <x:t xml:space="preserve">Operating Effectiveness</x:t>
        </x:is>
      </x:c>
      <x:c r="I201" s="7" t="inlineStr">
        <x:is>
          <x:t xml:space="preserve"/>
        </x:is>
      </x:c>
      <x:c r="J201" s="8" t="n">
        <x:v>46127</x:v>
      </x:c>
      <x:c r="K201" s="7" t="inlineStr">
        <x:is>
          <x:t xml:space="preserve">Not Started</x:t>
        </x:is>
      </x:c>
      <x:c r="L201" s="7" t="inlineStr">
        <x:is>
          <x:t xml:space="preserve"/>
        </x:is>
      </x:c>
      <x:c r="M201" s="6" t="inlineStr">
        <x:is>
          <x:t xml:space="preserve"/>
        </x:is>
      </x:c>
    </x:row>
    <x:row r="202" ht="35" customHeight="1">
      <x:c r="A202" s="7" t="inlineStr">
        <x:is>
          <x:t xml:space="preserve">P202604-0201</x:t>
        </x:is>
      </x:c>
      <x:c r="B202" s="7" t="n">
        <x:v>2026</x:v>
      </x:c>
      <x:c r="C202" s="7" t="inlineStr">
        <x:is>
          <x:t xml:space="preserve">Apr</x:t>
        </x:is>
      </x:c>
      <x:c r="D202" s="7" t="inlineStr">
        <x:is>
          <x:t xml:space="preserve">MCS22.1</x:t>
        </x:is>
      </x:c>
      <x:c r="E202" s="6" t="inlineStr">
        <x:is>
          <x:t xml:space="preserve">Control of customer credit limits - Easybuy</x:t>
        </x:is>
      </x:c>
      <x:c r="F202" s="6" t="inlineStr">
        <x:is>
          <x:t xml:space="preserve">Omoyemi Tuga Ogunsanmi Opeyemi Listbon</x:t>
        </x:is>
      </x:c>
      <x:c r="G202" s="6" t="inlineStr">
        <x:is>
          <x:t xml:space="preserve"/>
        </x:is>
      </x:c>
      <x:c r="H202" s="7" t="inlineStr">
        <x:is>
          <x:t xml:space="preserve">Operating Effectiveness</x:t>
        </x:is>
      </x:c>
      <x:c r="I202" s="7" t="inlineStr">
        <x:is>
          <x:t xml:space="preserve"/>
        </x:is>
      </x:c>
      <x:c r="J202" s="8" t="n">
        <x:v>46127</x:v>
      </x:c>
      <x:c r="K202" s="7" t="inlineStr">
        <x:is>
          <x:t xml:space="preserve">Not Started</x:t>
        </x:is>
      </x:c>
      <x:c r="L202" s="7" t="inlineStr">
        <x:is>
          <x:t xml:space="preserve"/>
        </x:is>
      </x:c>
      <x:c r="M202" s="6" t="inlineStr">
        <x:is>
          <x:t xml:space="preserve"/>
        </x:is>
      </x:c>
    </x:row>
    <x:row r="203" ht="35" customHeight="1">
      <x:c r="A203" s="7" t="inlineStr">
        <x:is>
          <x:t xml:space="preserve">P202604-0202</x:t>
        </x:is>
      </x:c>
      <x:c r="B203" s="7" t="n">
        <x:v>2026</x:v>
      </x:c>
      <x:c r="C203" s="7" t="inlineStr">
        <x:is>
          <x:t xml:space="preserve">Apr</x:t>
        </x:is>
      </x:c>
      <x:c r="D203" s="7" t="inlineStr">
        <x:is>
          <x:t xml:space="preserve">MCS22.2</x:t>
        </x:is>
      </x:c>
      <x:c r="E203" s="6" t="inlineStr">
        <x:is>
          <x:t xml:space="preserve">Control of customer credit limits - Partnership</x:t>
        </x:is>
      </x:c>
      <x:c r="F203" s="6" t="inlineStr">
        <x:is>
          <x:t xml:space="preserve">Eno Umoh Ameh Bright Agbo</x:t>
        </x:is>
      </x:c>
      <x:c r="G203" s="6" t="inlineStr">
        <x:is>
          <x:t xml:space="preserve"/>
        </x:is>
      </x:c>
      <x:c r="H203" s="7" t="inlineStr">
        <x:is>
          <x:t xml:space="preserve">Operating Effectiveness</x:t>
        </x:is>
      </x:c>
      <x:c r="I203" s="7" t="inlineStr">
        <x:is>
          <x:t xml:space="preserve"/>
        </x:is>
      </x:c>
      <x:c r="J203" s="8" t="n">
        <x:v>46127</x:v>
      </x:c>
      <x:c r="K203" s="7" t="inlineStr">
        <x:is>
          <x:t xml:space="preserve">Not Started</x:t>
        </x:is>
      </x:c>
      <x:c r="L203" s="7" t="inlineStr">
        <x:is>
          <x:t xml:space="preserve"/>
        </x:is>
      </x:c>
      <x:c r="M203" s="6" t="inlineStr">
        <x:is>
          <x:t xml:space="preserve"/>
        </x:is>
      </x:c>
    </x:row>
    <x:row r="204" ht="35" customHeight="1">
      <x:c r="A204" s="7" t="inlineStr">
        <x:is>
          <x:t xml:space="preserve">P202604-0203</x:t>
        </x:is>
      </x:c>
      <x:c r="B204" s="7" t="n">
        <x:v>2026</x:v>
      </x:c>
      <x:c r="C204" s="7" t="inlineStr">
        <x:is>
          <x:t xml:space="preserve">Apr</x:t>
        </x:is>
      </x:c>
      <x:c r="D204" s="7" t="inlineStr">
        <x:is>
          <x:t xml:space="preserve">MCS23</x:t>
        </x:is>
      </x:c>
      <x:c r="E204" s="6" t="inlineStr">
        <x:is>
          <x:t xml:space="preserve">Invoicing </x:t>
        </x:is>
      </x:c>
      <x:c r="F204" s="6" t="inlineStr">
        <x:is>
          <x:t xml:space="preserve">Ramakant Patil</x:t>
        </x:is>
      </x:c>
      <x:c r="G204" s="6" t="inlineStr">
        <x:is>
          <x:t xml:space="preserve"/>
        </x:is>
      </x:c>
      <x:c r="H204" s="7" t="inlineStr">
        <x:is>
          <x:t xml:space="preserve">Operating Effectiveness</x:t>
        </x:is>
      </x:c>
      <x:c r="I204" s="7" t="inlineStr">
        <x:is>
          <x:t xml:space="preserve"/>
        </x:is>
      </x:c>
      <x:c r="J204" s="8" t="n">
        <x:v>46127</x:v>
      </x:c>
      <x:c r="K204" s="7" t="inlineStr">
        <x:is>
          <x:t xml:space="preserve">Not Started</x:t>
        </x:is>
      </x:c>
      <x:c r="L204" s="7" t="inlineStr">
        <x:is>
          <x:t xml:space="preserve"/>
        </x:is>
      </x:c>
      <x:c r="M204" s="6" t="inlineStr">
        <x:is>
          <x:t xml:space="preserve"/>
        </x:is>
      </x:c>
    </x:row>
    <x:row r="205" ht="35" customHeight="1">
      <x:c r="A205" s="7" t="inlineStr">
        <x:is>
          <x:t xml:space="preserve">P202604-0204</x:t>
        </x:is>
      </x:c>
      <x:c r="B205" s="7" t="n">
        <x:v>2026</x:v>
      </x:c>
      <x:c r="C205" s="7" t="inlineStr">
        <x:is>
          <x:t xml:space="preserve">Apr</x:t>
        </x:is>
      </x:c>
      <x:c r="D205" s="7" t="inlineStr">
        <x:is>
          <x:t xml:space="preserve">MCS24</x:t>
        </x:is>
      </x:c>
      <x:c r="E205" s="6" t="inlineStr">
        <x:is>
          <x:t xml:space="preserve">Accounts receivable valuation</x:t>
        </x:is>
      </x:c>
      <x:c r="F205" s="6" t="inlineStr">
        <x:is>
          <x:t xml:space="preserve">Zainab Yunusah Saadu</x:t>
        </x:is>
      </x:c>
      <x:c r="G205" s="6" t="inlineStr">
        <x:is>
          <x:t xml:space="preserve"/>
        </x:is>
      </x:c>
      <x:c r="H205" s="7" t="inlineStr">
        <x:is>
          <x:t xml:space="preserve">Operating Effectiveness</x:t>
        </x:is>
      </x:c>
      <x:c r="I205" s="7" t="inlineStr">
        <x:is>
          <x:t xml:space="preserve"/>
        </x:is>
      </x:c>
      <x:c r="J205" s="8" t="n">
        <x:v>46127</x:v>
      </x:c>
      <x:c r="K205" s="7" t="inlineStr">
        <x:is>
          <x:t xml:space="preserve">Not Started</x:t>
        </x:is>
      </x:c>
      <x:c r="L205" s="7" t="inlineStr">
        <x:is>
          <x:t xml:space="preserve"/>
        </x:is>
      </x:c>
      <x:c r="M205" s="6" t="inlineStr">
        <x:is>
          <x:t xml:space="preserve"/>
        </x:is>
      </x:c>
    </x:row>
    <x:row r="206" ht="35" customHeight="1">
      <x:c r="A206" s="7" t="inlineStr">
        <x:is>
          <x:t xml:space="preserve">P202604-0205</x:t>
        </x:is>
      </x:c>
      <x:c r="B206" s="7" t="n">
        <x:v>2026</x:v>
      </x:c>
      <x:c r="C206" s="7" t="inlineStr">
        <x:is>
          <x:t xml:space="preserve">Apr</x:t>
        </x:is>
      </x:c>
      <x:c r="D206" s="7" t="inlineStr">
        <x:is>
          <x:t xml:space="preserve">MCS25</x:t>
        </x:is>
      </x:c>
      <x:c r="E206" s="6" t="inlineStr">
        <x:is>
          <x:t xml:space="preserve">Execution of onboarding, offboarding, master data management and transfers of workers</x:t>
        </x:is>
      </x:c>
      <x:c r="F206" s="6" t="n"/>
      <x:c r="G206" s="6" t="inlineStr">
        <x:is>
          <x:t xml:space="preserve"/>
        </x:is>
      </x:c>
      <x:c r="H206" s="7" t="inlineStr">
        <x:is>
          <x:t xml:space="preserve">Operating Effectiveness</x:t>
        </x:is>
      </x:c>
      <x:c r="I206" s="7" t="inlineStr">
        <x:is>
          <x:t xml:space="preserve"/>
        </x:is>
      </x:c>
      <x:c r="J206" s="8" t="n">
        <x:v>46127</x:v>
      </x:c>
      <x:c r="K206" s="7" t="inlineStr">
        <x:is>
          <x:t xml:space="preserve">Not Started</x:t>
        </x:is>
      </x:c>
      <x:c r="L206" s="7" t="inlineStr">
        <x:is>
          <x:t xml:space="preserve"/>
        </x:is>
      </x:c>
      <x:c r="M206" s="6" t="inlineStr">
        <x:is>
          <x:t xml:space="preserve"/>
        </x:is>
      </x:c>
    </x:row>
    <x:row r="207" ht="35" customHeight="1">
      <x:c r="A207" s="7" t="inlineStr">
        <x:is>
          <x:t xml:space="preserve">P202604-0206</x:t>
        </x:is>
      </x:c>
      <x:c r="B207" s="7" t="n">
        <x:v>2026</x:v>
      </x:c>
      <x:c r="C207" s="7" t="inlineStr">
        <x:is>
          <x:t xml:space="preserve">Apr</x:t>
        </x:is>
      </x:c>
      <x:c r="D207" s="7" t="inlineStr">
        <x:is>
          <x:t xml:space="preserve">MCS26</x:t>
        </x:is>
      </x:c>
      <x:c r="E207" s="6" t="inlineStr">
        <x:is>
          <x:t xml:space="preserve">Payroll</x:t>
        </x:is>
      </x:c>
      <x:c r="F207" s="6" t="inlineStr">
        <x:is>
          <x:t xml:space="preserve">Olamide Ayo-Ogunlade Oluwatosin Ogunsekan</x:t>
        </x:is>
      </x:c>
      <x:c r="G207" s="6" t="inlineStr">
        <x:is>
          <x:t xml:space="preserve"/>
        </x:is>
      </x:c>
      <x:c r="H207" s="7" t="inlineStr">
        <x:is>
          <x:t xml:space="preserve">Operating Effectiveness</x:t>
        </x:is>
      </x:c>
      <x:c r="I207" s="7" t="inlineStr">
        <x:is>
          <x:t xml:space="preserve"/>
        </x:is>
      </x:c>
      <x:c r="J207" s="8" t="n">
        <x:v>46127</x:v>
      </x:c>
      <x:c r="K207" s="7" t="inlineStr">
        <x:is>
          <x:t xml:space="preserve">Not Started</x:t>
        </x:is>
      </x:c>
      <x:c r="L207" s="7" t="inlineStr">
        <x:is>
          <x:t xml:space="preserve"/>
        </x:is>
      </x:c>
      <x:c r="M207" s="6" t="inlineStr">
        <x:is>
          <x:t xml:space="preserve"/>
        </x:is>
      </x:c>
    </x:row>
    <x:row r="208" ht="35" customHeight="1">
      <x:c r="A208" s="7" t="inlineStr">
        <x:is>
          <x:t xml:space="preserve">P202604-0207</x:t>
        </x:is>
      </x:c>
      <x:c r="B208" s="7" t="n">
        <x:v>2026</x:v>
      </x:c>
      <x:c r="C208" s="7" t="inlineStr">
        <x:is>
          <x:t xml:space="preserve">Apr</x:t>
        </x:is>
      </x:c>
      <x:c r="D208" s="7" t="inlineStr">
        <x:is>
          <x:t xml:space="preserve">MCS27</x:t>
        </x:is>
      </x:c>
      <x:c r="E208" s="6" t="inlineStr">
        <x:is>
          <x:t xml:space="preserve">Compliance with Labour law</x:t>
        </x:is>
      </x:c>
      <x:c r="F208" s="6" t="inlineStr">
        <x:is>
          <x:t xml:space="preserve">Olamide Ayo-Ogunlade Oluwatosin Ogunsekan</x:t>
        </x:is>
      </x:c>
      <x:c r="G208" s="6" t="inlineStr">
        <x:is>
          <x:t xml:space="preserve"/>
        </x:is>
      </x:c>
      <x:c r="H208" s="7" t="inlineStr">
        <x:is>
          <x:t xml:space="preserve">Operating Effectiveness</x:t>
        </x:is>
      </x:c>
      <x:c r="I208" s="7" t="inlineStr">
        <x:is>
          <x:t xml:space="preserve"/>
        </x:is>
      </x:c>
      <x:c r="J208" s="8" t="n">
        <x:v>46127</x:v>
      </x:c>
      <x:c r="K208" s="7" t="inlineStr">
        <x:is>
          <x:t xml:space="preserve">Not Started</x:t>
        </x:is>
      </x:c>
      <x:c r="L208" s="7" t="inlineStr">
        <x:is>
          <x:t xml:space="preserve"/>
        </x:is>
      </x:c>
      <x:c r="M208" s="6" t="inlineStr">
        <x:is>
          <x:t xml:space="preserve"/>
        </x:is>
      </x:c>
    </x:row>
    <x:row r="209" ht="35" customHeight="1">
      <x:c r="A209" s="7" t="inlineStr">
        <x:is>
          <x:t xml:space="preserve">P202604-0208</x:t>
        </x:is>
      </x:c>
      <x:c r="B209" s="7" t="n">
        <x:v>2026</x:v>
      </x:c>
      <x:c r="C209" s="7" t="inlineStr">
        <x:is>
          <x:t xml:space="preserve">Apr</x:t>
        </x:is>
      </x:c>
      <x:c r="D209" s="7" t="inlineStr">
        <x:is>
          <x:t xml:space="preserve">MCS28</x:t>
        </x:is>
      </x:c>
      <x:c r="E209" s="6" t="inlineStr">
        <x:is>
          <x:t xml:space="preserve">Employee pension and benefit plan</x:t>
        </x:is>
      </x:c>
      <x:c r="F209" s="6" t="inlineStr">
        <x:is>
          <x:t xml:space="preserve">Olamide Ayo-Ogunlade Oluwatosin Ogunsekan</x:t>
        </x:is>
      </x:c>
      <x:c r="G209" s="6" t="inlineStr">
        <x:is>
          <x:t xml:space="preserve"/>
        </x:is>
      </x:c>
      <x:c r="H209" s="7" t="inlineStr">
        <x:is>
          <x:t xml:space="preserve">Operating Effectiveness</x:t>
        </x:is>
      </x:c>
      <x:c r="I209" s="7" t="inlineStr">
        <x:is>
          <x:t xml:space="preserve"/>
        </x:is>
      </x:c>
      <x:c r="J209" s="8" t="n">
        <x:v>46127</x:v>
      </x:c>
      <x:c r="K209" s="7" t="inlineStr">
        <x:is>
          <x:t xml:space="preserve">Not Started</x:t>
        </x:is>
      </x:c>
      <x:c r="L209" s="7" t="inlineStr">
        <x:is>
          <x:t xml:space="preserve"/>
        </x:is>
      </x:c>
      <x:c r="M209" s="6" t="inlineStr">
        <x:is>
          <x:t xml:space="preserve"/>
        </x:is>
      </x:c>
    </x:row>
    <x:row r="210" ht="35" customHeight="1">
      <x:c r="A210" s="7" t="inlineStr">
        <x:is>
          <x:t xml:space="preserve">P202604-0209</x:t>
        </x:is>
      </x:c>
      <x:c r="B210" s="7" t="n">
        <x:v>2026</x:v>
      </x:c>
      <x:c r="C210" s="7" t="inlineStr">
        <x:is>
          <x:t xml:space="preserve">Apr</x:t>
        </x:is>
      </x:c>
      <x:c r="D210" s="7" t="inlineStr">
        <x:is>
          <x:t xml:space="preserve">MCS 29</x:t>
        </x:is>
      </x:c>
      <x:c r="E210" s="6" t="inlineStr">
        <x:is>
          <x:t xml:space="preserve">Management of supplier master data</x:t>
        </x:is>
      </x:c>
      <x:c r="F210" s="6" t="inlineStr">
        <x:is>
          <x:t xml:space="preserve">Ramakant Patil Zainab Yunusah Saadu</x:t>
        </x:is>
      </x:c>
      <x:c r="G210" s="6" t="inlineStr">
        <x:is>
          <x:t xml:space="preserve"/>
        </x:is>
      </x:c>
      <x:c r="H210" s="7" t="inlineStr">
        <x:is>
          <x:t xml:space="preserve">Operating Effectiveness</x:t>
        </x:is>
      </x:c>
      <x:c r="I210" s="7" t="inlineStr">
        <x:is>
          <x:t xml:space="preserve"/>
        </x:is>
      </x:c>
      <x:c r="J210" s="8" t="n">
        <x:v>46127</x:v>
      </x:c>
      <x:c r="K210" s="7" t="inlineStr">
        <x:is>
          <x:t xml:space="preserve">Not Started</x:t>
        </x:is>
      </x:c>
      <x:c r="L210" s="7" t="inlineStr">
        <x:is>
          <x:t xml:space="preserve"/>
        </x:is>
      </x:c>
      <x:c r="M210" s="6" t="inlineStr">
        <x:is>
          <x:t xml:space="preserve"/>
        </x:is>
      </x:c>
    </x:row>
    <x:row r="211" ht="35" customHeight="1">
      <x:c r="A211" s="7" t="inlineStr">
        <x:is>
          <x:t xml:space="preserve">P202604-0210</x:t>
        </x:is>
      </x:c>
      <x:c r="B211" s="7" t="n">
        <x:v>2026</x:v>
      </x:c>
      <x:c r="C211" s="7" t="inlineStr">
        <x:is>
          <x:t xml:space="preserve">Apr</x:t>
        </x:is>
      </x:c>
      <x:c r="D211" s="7" t="inlineStr">
        <x:is>
          <x:t xml:space="preserve">MCS30</x:t>
        </x:is>
      </x:c>
      <x:c r="E211" s="6" t="inlineStr">
        <x:is>
          <x:t xml:space="preserve">Vendor Registration and Performance Management</x:t>
        </x:is>
      </x:c>
      <x:c r="F211" s="6" t="inlineStr">
        <x:is>
          <x:t xml:space="preserve">Ramakant Patil Zainab Yunusah Saadu</x:t>
        </x:is>
      </x:c>
      <x:c r="G211" s="6" t="inlineStr">
        <x:is>
          <x:t xml:space="preserve"/>
        </x:is>
      </x:c>
      <x:c r="H211" s="7" t="inlineStr">
        <x:is>
          <x:t xml:space="preserve">Operating Effectiveness</x:t>
        </x:is>
      </x:c>
      <x:c r="I211" s="7" t="inlineStr">
        <x:is>
          <x:t xml:space="preserve"/>
        </x:is>
      </x:c>
      <x:c r="J211" s="8" t="n">
        <x:v>46127</x:v>
      </x:c>
      <x:c r="K211" s="7" t="inlineStr">
        <x:is>
          <x:t xml:space="preserve">Not Started</x:t>
        </x:is>
      </x:c>
      <x:c r="L211" s="7" t="inlineStr">
        <x:is>
          <x:t xml:space="preserve"/>
        </x:is>
      </x:c>
      <x:c r="M211" s="6" t="inlineStr">
        <x:is>
          <x:t xml:space="preserve"/>
        </x:is>
      </x:c>
    </x:row>
    <x:row r="212" ht="35" customHeight="1">
      <x:c r="A212" s="7" t="inlineStr">
        <x:is>
          <x:t xml:space="preserve">P202604-0211</x:t>
        </x:is>
      </x:c>
      <x:c r="B212" s="7" t="n">
        <x:v>2026</x:v>
      </x:c>
      <x:c r="C212" s="7" t="inlineStr">
        <x:is>
          <x:t xml:space="preserve">Apr</x:t>
        </x:is>
      </x:c>
      <x:c r="D212" s="7" t="inlineStr">
        <x:is>
          <x:t xml:space="preserve">MCS31</x:t>
        </x:is>
      </x:c>
      <x:c r="E212" s="6" t="inlineStr">
        <x:is>
          <x:t xml:space="preserve">Three-way match, two way match and direct vendor invoices</x:t>
        </x:is>
      </x:c>
      <x:c r="F212" s="6" t="inlineStr">
        <x:is>
          <x:t xml:space="preserve">Ramakant Patil Zainab Yunusah Saadu</x:t>
        </x:is>
      </x:c>
      <x:c r="G212" s="6" t="inlineStr">
        <x:is>
          <x:t xml:space="preserve"/>
        </x:is>
      </x:c>
      <x:c r="H212" s="7" t="inlineStr">
        <x:is>
          <x:t xml:space="preserve">Operating Effectiveness</x:t>
        </x:is>
      </x:c>
      <x:c r="I212" s="7" t="inlineStr">
        <x:is>
          <x:t xml:space="preserve"/>
        </x:is>
      </x:c>
      <x:c r="J212" s="8" t="n">
        <x:v>46127</x:v>
      </x:c>
      <x:c r="K212" s="7" t="inlineStr">
        <x:is>
          <x:t xml:space="preserve">Not Started</x:t>
        </x:is>
      </x:c>
      <x:c r="L212" s="7" t="inlineStr">
        <x:is>
          <x:t xml:space="preserve"/>
        </x:is>
      </x:c>
      <x:c r="M212" s="6" t="inlineStr">
        <x:is>
          <x:t xml:space="preserve"/>
        </x:is>
      </x:c>
    </x:row>
    <x:row r="213" ht="35" customHeight="1">
      <x:c r="A213" s="7" t="inlineStr">
        <x:is>
          <x:t xml:space="preserve">P202604-0212</x:t>
        </x:is>
      </x:c>
      <x:c r="B213" s="7" t="n">
        <x:v>2026</x:v>
      </x:c>
      <x:c r="C213" s="7" t="inlineStr">
        <x:is>
          <x:t xml:space="preserve">Apr</x:t>
        </x:is>
      </x:c>
      <x:c r="D213" s="7" t="inlineStr">
        <x:is>
          <x:t xml:space="preserve">MCS32</x:t>
        </x:is>
      </x:c>
      <x:c r="E213" s="6" t="inlineStr">
        <x:is>
          <x:t xml:space="preserve">Payment processing</x:t>
        </x:is>
      </x:c>
      <x:c r="F213" s="6" t="inlineStr">
        <x:is>
          <x:t xml:space="preserve">Ramakant Patil Zainab Yunusah Saadu</x:t>
        </x:is>
      </x:c>
      <x:c r="G213" s="6" t="inlineStr">
        <x:is>
          <x:t xml:space="preserve"/>
        </x:is>
      </x:c>
      <x:c r="H213" s="7" t="inlineStr">
        <x:is>
          <x:t xml:space="preserve">Operating Effectiveness</x:t>
        </x:is>
      </x:c>
      <x:c r="I213" s="7" t="inlineStr">
        <x:is>
          <x:t xml:space="preserve"/>
        </x:is>
      </x:c>
      <x:c r="J213" s="8" t="n">
        <x:v>46127</x:v>
      </x:c>
      <x:c r="K213" s="7" t="inlineStr">
        <x:is>
          <x:t xml:space="preserve">Not Started</x:t>
        </x:is>
      </x:c>
      <x:c r="L213" s="7" t="inlineStr">
        <x:is>
          <x:t xml:space="preserve"/>
        </x:is>
      </x:c>
      <x:c r="M213" s="6" t="inlineStr">
        <x:is>
          <x:t xml:space="preserve"/>
        </x:is>
      </x:c>
    </x:row>
    <x:row r="214" ht="35" customHeight="1">
      <x:c r="A214" s="7" t="inlineStr">
        <x:is>
          <x:t xml:space="preserve">P202604-0213</x:t>
        </x:is>
      </x:c>
      <x:c r="B214" s="7" t="n">
        <x:v>2026</x:v>
      </x:c>
      <x:c r="C214" s="7" t="inlineStr">
        <x:is>
          <x:t xml:space="preserve">Apr</x:t>
        </x:is>
      </x:c>
      <x:c r="D214" s="7" t="inlineStr">
        <x:is>
          <x:t xml:space="preserve">MCS33</x:t>
        </x:is>
      </x:c>
      <x:c r="E214" s="6" t="inlineStr">
        <x:is>
          <x:t xml:space="preserve">3 Accruals for expenditures not invoiced</x:t>
        </x:is>
      </x:c>
      <x:c r="F214" s="6" t="inlineStr">
        <x:is>
          <x:t xml:space="preserve">Ramakant Patil Zainab Yunusah Saadu</x:t>
        </x:is>
      </x:c>
      <x:c r="G214" s="6" t="inlineStr">
        <x:is>
          <x:t xml:space="preserve"/>
        </x:is>
      </x:c>
      <x:c r="H214" s="7" t="inlineStr">
        <x:is>
          <x:t xml:space="preserve">Operating Effectiveness</x:t>
        </x:is>
      </x:c>
      <x:c r="I214" s="7" t="inlineStr">
        <x:is>
          <x:t xml:space="preserve"/>
        </x:is>
      </x:c>
      <x:c r="J214" s="8" t="n">
        <x:v>46127</x:v>
      </x:c>
      <x:c r="K214" s="7" t="inlineStr">
        <x:is>
          <x:t xml:space="preserve">Not Started</x:t>
        </x:is>
      </x:c>
      <x:c r="L214" s="7" t="inlineStr">
        <x:is>
          <x:t xml:space="preserve"/>
        </x:is>
      </x:c>
      <x:c r="M214" s="6" t="inlineStr">
        <x:is>
          <x:t xml:space="preserve"/>
        </x:is>
      </x:c>
    </x:row>
    <x:row r="215" ht="35" customHeight="1">
      <x:c r="A215" s="7" t="inlineStr">
        <x:is>
          <x:t xml:space="preserve">P202604-0214</x:t>
        </x:is>
      </x:c>
      <x:c r="B215" s="7" t="n">
        <x:v>2026</x:v>
      </x:c>
      <x:c r="C215" s="7" t="inlineStr">
        <x:is>
          <x:t xml:space="preserve">Apr</x:t>
        </x:is>
      </x:c>
      <x:c r="D215" s="7" t="inlineStr">
        <x:is>
          <x:t xml:space="preserve">MCS34</x:t>
        </x:is>
      </x:c>
      <x:c r="E215" s="6" t="inlineStr">
        <x:is>
          <x:t xml:space="preserve">Physical Stock Count ,Reconciliation &amp; Valuation</x:t>
        </x:is>
      </x:c>
      <x:c r="F215" s="6" t="inlineStr">
        <x:is>
          <x:t xml:space="preserve">Yomi Jegede Zainab Yunusah Saadu</x:t>
        </x:is>
      </x:c>
      <x:c r="G215" s="6" t="inlineStr">
        <x:is>
          <x:t xml:space="preserve"/>
        </x:is>
      </x:c>
      <x:c r="H215" s="7" t="inlineStr">
        <x:is>
          <x:t xml:space="preserve">Operating Effectiveness</x:t>
        </x:is>
      </x:c>
      <x:c r="I215" s="7" t="inlineStr">
        <x:is>
          <x:t xml:space="preserve"/>
        </x:is>
      </x:c>
      <x:c r="J215" s="8" t="n">
        <x:v>46127</x:v>
      </x:c>
      <x:c r="K215" s="7" t="inlineStr">
        <x:is>
          <x:t xml:space="preserve">Not Started</x:t>
        </x:is>
      </x:c>
      <x:c r="L215" s="7" t="inlineStr">
        <x:is>
          <x:t xml:space="preserve"/>
        </x:is>
      </x:c>
      <x:c r="M215" s="6" t="inlineStr">
        <x:is>
          <x:t xml:space="preserve"/>
        </x:is>
      </x:c>
    </x:row>
    <x:row r="216" ht="35" customHeight="1">
      <x:c r="A216" s="7" t="inlineStr">
        <x:is>
          <x:t xml:space="preserve">P202604-0215</x:t>
        </x:is>
      </x:c>
      <x:c r="B216" s="7" t="n">
        <x:v>2026</x:v>
      </x:c>
      <x:c r="C216" s="7" t="inlineStr">
        <x:is>
          <x:t xml:space="preserve">Apr</x:t>
        </x:is>
      </x:c>
      <x:c r="D216" s="7" t="inlineStr">
        <x:is>
          <x:t xml:space="preserve">MCS35</x:t>
        </x:is>
      </x:c>
      <x:c r="E216" s="6" t="inlineStr">
        <x:is>
          <x:t xml:space="preserve">Inventory Documentation (IMPEX)</x:t>
        </x:is>
      </x:c>
      <x:c r="F216" s="6" t="inlineStr">
        <x:is>
          <x:t xml:space="preserve">Yomi Jegede Zainab Yunusah Saadu</x:t>
        </x:is>
      </x:c>
      <x:c r="G216" s="6" t="inlineStr">
        <x:is>
          <x:t xml:space="preserve"/>
        </x:is>
      </x:c>
      <x:c r="H216" s="7" t="inlineStr">
        <x:is>
          <x:t xml:space="preserve">Operating Effectiveness</x:t>
        </x:is>
      </x:c>
      <x:c r="I216" s="7" t="inlineStr">
        <x:is>
          <x:t xml:space="preserve"/>
        </x:is>
      </x:c>
      <x:c r="J216" s="8" t="n">
        <x:v>46127</x:v>
      </x:c>
      <x:c r="K216" s="7" t="inlineStr">
        <x:is>
          <x:t xml:space="preserve">Not Started</x:t>
        </x:is>
      </x:c>
      <x:c r="L216" s="7" t="inlineStr">
        <x:is>
          <x:t xml:space="preserve"/>
        </x:is>
      </x:c>
      <x:c r="M216" s="6" t="inlineStr">
        <x:is>
          <x:t xml:space="preserve"/>
        </x:is>
      </x:c>
    </x:row>
    <x:row r="217" ht="35" customHeight="1">
      <x:c r="A217" s="7" t="inlineStr">
        <x:is>
          <x:t xml:space="preserve">P202604-0216</x:t>
        </x:is>
      </x:c>
      <x:c r="B217" s="7" t="n">
        <x:v>2026</x:v>
      </x:c>
      <x:c r="C217" s="7" t="inlineStr">
        <x:is>
          <x:t xml:space="preserve">Apr</x:t>
        </x:is>
      </x:c>
      <x:c r="D217" s="7" t="inlineStr">
        <x:is>
          <x:t xml:space="preserve">MCS36</x:t>
        </x:is>
      </x:c>
      <x:c r="E217" s="6" t="inlineStr">
        <x:is>
          <x:t xml:space="preserve">Management of access to IT systems</x:t>
        </x:is>
      </x:c>
      <x:c r="F217" s="6" t="inlineStr">
        <x:is>
          <x:t xml:space="preserve">Theophilus Okolie </x:t>
        </x:is>
      </x:c>
      <x:c r="G217" s="6" t="inlineStr">
        <x:is>
          <x:t xml:space="preserve"/>
        </x:is>
      </x:c>
      <x:c r="H217" s="7" t="inlineStr">
        <x:is>
          <x:t xml:space="preserve">Operating Effectiveness</x:t>
        </x:is>
      </x:c>
      <x:c r="I217" s="7" t="inlineStr">
        <x:is>
          <x:t xml:space="preserve"/>
        </x:is>
      </x:c>
      <x:c r="J217" s="8" t="n">
        <x:v>46127</x:v>
      </x:c>
      <x:c r="K217" s="7" t="inlineStr">
        <x:is>
          <x:t xml:space="preserve">Not Started</x:t>
        </x:is>
      </x:c>
      <x:c r="L217" s="7" t="inlineStr">
        <x:is>
          <x:t xml:space="preserve"/>
        </x:is>
      </x:c>
      <x:c r="M217" s="6" t="inlineStr">
        <x:is>
          <x:t xml:space="preserve"/>
        </x:is>
      </x:c>
    </x:row>
    <x:row r="218" ht="35" customHeight="1">
      <x:c r="A218" s="7" t="inlineStr">
        <x:is>
          <x:t xml:space="preserve">P202604-0217</x:t>
        </x:is>
      </x:c>
      <x:c r="B218" s="7" t="n">
        <x:v>2026</x:v>
      </x:c>
      <x:c r="C218" s="7" t="inlineStr">
        <x:is>
          <x:t xml:space="preserve">Apr</x:t>
        </x:is>
      </x:c>
      <x:c r="D218" s="7" t="inlineStr">
        <x:is>
          <x:t xml:space="preserve">MCS37</x:t>
        </x:is>
      </x:c>
      <x:c r="E218" s="6" t="inlineStr">
        <x:is>
          <x:t xml:space="preserve">Review of IT user access rights to production IT systems</x:t>
        </x:is>
      </x:c>
      <x:c r="F218" s="6" t="inlineStr">
        <x:is>
          <x:t xml:space="preserve">Theophilus Okolie </x:t>
        </x:is>
      </x:c>
      <x:c r="G218" s="6" t="inlineStr">
        <x:is>
          <x:t xml:space="preserve"/>
        </x:is>
      </x:c>
      <x:c r="H218" s="7" t="inlineStr">
        <x:is>
          <x:t xml:space="preserve">Operating Effectiveness</x:t>
        </x:is>
      </x:c>
      <x:c r="I218" s="7" t="inlineStr">
        <x:is>
          <x:t xml:space="preserve"/>
        </x:is>
      </x:c>
      <x:c r="J218" s="8" t="n">
        <x:v>46127</x:v>
      </x:c>
      <x:c r="K218" s="7" t="inlineStr">
        <x:is>
          <x:t xml:space="preserve">Not Started</x:t>
        </x:is>
      </x:c>
      <x:c r="L218" s="7" t="inlineStr">
        <x:is>
          <x:t xml:space="preserve"/>
        </x:is>
      </x:c>
      <x:c r="M218" s="6" t="inlineStr">
        <x:is>
          <x:t xml:space="preserve"/>
        </x:is>
      </x:c>
    </x:row>
    <x:row r="219" ht="35" customHeight="1">
      <x:c r="A219" s="7" t="inlineStr">
        <x:is>
          <x:t xml:space="preserve">P202604-0218</x:t>
        </x:is>
      </x:c>
      <x:c r="B219" s="7" t="n">
        <x:v>2026</x:v>
      </x:c>
      <x:c r="C219" s="7" t="inlineStr">
        <x:is>
          <x:t xml:space="preserve">Apr</x:t>
        </x:is>
      </x:c>
      <x:c r="D219" s="7" t="inlineStr">
        <x:is>
          <x:t xml:space="preserve">MCS38</x:t>
        </x:is>
      </x:c>
      <x:c r="E219" s="6" t="inlineStr">
        <x:is>
          <x:t xml:space="preserve">Security configuration settings and batch job management</x:t>
        </x:is>
      </x:c>
      <x:c r="F219" s="6" t="inlineStr">
        <x:is>
          <x:t xml:space="preserve">Theophilus Okolie </x:t>
        </x:is>
      </x:c>
      <x:c r="G219" s="6" t="inlineStr">
        <x:is>
          <x:t xml:space="preserve"/>
        </x:is>
      </x:c>
      <x:c r="H219" s="7" t="inlineStr">
        <x:is>
          <x:t xml:space="preserve">Operating Effectiveness</x:t>
        </x:is>
      </x:c>
      <x:c r="I219" s="7" t="inlineStr">
        <x:is>
          <x:t xml:space="preserve"/>
        </x:is>
      </x:c>
      <x:c r="J219" s="8" t="n">
        <x:v>46127</x:v>
      </x:c>
      <x:c r="K219" s="7" t="inlineStr">
        <x:is>
          <x:t xml:space="preserve">Not Started</x:t>
        </x:is>
      </x:c>
      <x:c r="L219" s="7" t="inlineStr">
        <x:is>
          <x:t xml:space="preserve"/>
        </x:is>
      </x:c>
      <x:c r="M219" s="6" t="inlineStr">
        <x:is>
          <x:t xml:space="preserve"/>
        </x:is>
      </x:c>
    </x:row>
    <x:row r="220" ht="35" customHeight="1">
      <x:c r="A220" s="7" t="inlineStr">
        <x:is>
          <x:t xml:space="preserve">P202604-0219</x:t>
        </x:is>
      </x:c>
      <x:c r="B220" s="7" t="n">
        <x:v>2026</x:v>
      </x:c>
      <x:c r="C220" s="7" t="inlineStr">
        <x:is>
          <x:t xml:space="preserve">Apr</x:t>
        </x:is>
      </x:c>
      <x:c r="D220" s="7" t="inlineStr">
        <x:is>
          <x:t xml:space="preserve">MCS39</x:t>
        </x:is>
      </x:c>
      <x:c r="E220" s="6" t="inlineStr">
        <x:is>
          <x:t xml:space="preserve">Data backup, storage and restoration process</x:t>
        </x:is>
      </x:c>
      <x:c r="F220" s="6" t="inlineStr">
        <x:is>
          <x:t xml:space="preserve">Theophilus Okolie </x:t>
        </x:is>
      </x:c>
      <x:c r="G220" s="6" t="inlineStr">
        <x:is>
          <x:t xml:space="preserve"/>
        </x:is>
      </x:c>
      <x:c r="H220" s="7" t="inlineStr">
        <x:is>
          <x:t xml:space="preserve">Operating Effectiveness</x:t>
        </x:is>
      </x:c>
      <x:c r="I220" s="7" t="inlineStr">
        <x:is>
          <x:t xml:space="preserve"/>
        </x:is>
      </x:c>
      <x:c r="J220" s="8" t="n">
        <x:v>46127</x:v>
      </x:c>
      <x:c r="K220" s="7" t="inlineStr">
        <x:is>
          <x:t xml:space="preserve">Not Started</x:t>
        </x:is>
      </x:c>
      <x:c r="L220" s="7" t="inlineStr">
        <x:is>
          <x:t xml:space="preserve"/>
        </x:is>
      </x:c>
      <x:c r="M220" s="6" t="inlineStr">
        <x:is>
          <x:t xml:space="preserve"/>
        </x:is>
      </x:c>
    </x:row>
    <x:row r="221" ht="35" customHeight="1">
      <x:c r="A221" s="7" t="inlineStr">
        <x:is>
          <x:t xml:space="preserve">P202604-0220</x:t>
        </x:is>
      </x:c>
      <x:c r="B221" s="7" t="n">
        <x:v>2026</x:v>
      </x:c>
      <x:c r="C221" s="7" t="inlineStr">
        <x:is>
          <x:t xml:space="preserve">Apr</x:t>
        </x:is>
      </x:c>
      <x:c r="D221" s="7" t="inlineStr">
        <x:is>
          <x:t xml:space="preserve">MCS40</x:t>
        </x:is>
      </x:c>
      <x:c r="E221" s="6" t="inlineStr">
        <x:is>
          <x:t xml:space="preserve">Managing changes to IT systems</x:t>
        </x:is>
      </x:c>
      <x:c r="F221" s="6" t="inlineStr">
        <x:is>
          <x:t xml:space="preserve">Theophilus Okolie </x:t>
        </x:is>
      </x:c>
      <x:c r="G221" s="6" t="inlineStr">
        <x:is>
          <x:t xml:space="preserve"/>
        </x:is>
      </x:c>
      <x:c r="H221" s="7" t="inlineStr">
        <x:is>
          <x:t xml:space="preserve">Operating Effectiveness</x:t>
        </x:is>
      </x:c>
      <x:c r="I221" s="7" t="inlineStr">
        <x:is>
          <x:t xml:space="preserve"/>
        </x:is>
      </x:c>
      <x:c r="J221" s="8" t="n">
        <x:v>46127</x:v>
      </x:c>
      <x:c r="K221" s="7" t="inlineStr">
        <x:is>
          <x:t xml:space="preserve">Not Started</x:t>
        </x:is>
      </x:c>
      <x:c r="L221" s="7" t="inlineStr">
        <x:is>
          <x:t xml:space="preserve"/>
        </x:is>
      </x:c>
      <x:c r="M221" s="6" t="inlineStr">
        <x:is>
          <x:t xml:space="preserve"/>
        </x:is>
      </x:c>
    </x:row>
    <x:row r="222" ht="35" customHeight="1">
      <x:c r="A222" s="7" t="inlineStr">
        <x:is>
          <x:t xml:space="preserve">P202604-0221</x:t>
        </x:is>
      </x:c>
      <x:c r="B222" s="7" t="n">
        <x:v>2026</x:v>
      </x:c>
      <x:c r="C222" s="7" t="inlineStr">
        <x:is>
          <x:t xml:space="preserve">Apr</x:t>
        </x:is>
      </x:c>
      <x:c r="D222" s="7" t="inlineStr">
        <x:is>
          <x:t xml:space="preserve">MCS41</x:t>
        </x:is>
      </x:c>
      <x:c r="E222" s="6" t="inlineStr">
        <x:is>
          <x:t xml:space="preserve">Compliance with accounting and reporting standards</x:t>
        </x:is>
      </x:c>
      <x:c r="F222" s="6" t="inlineStr">
        <x:is>
          <x:t xml:space="preserve">Zainab Yunusah Saadu Daniel Banjo</x:t>
        </x:is>
      </x:c>
      <x:c r="G222" s="6" t="inlineStr">
        <x:is>
          <x:t xml:space="preserve"/>
        </x:is>
      </x:c>
      <x:c r="H222" s="7" t="inlineStr">
        <x:is>
          <x:t xml:space="preserve">Operating Effectiveness</x:t>
        </x:is>
      </x:c>
      <x:c r="I222" s="7" t="inlineStr">
        <x:is>
          <x:t xml:space="preserve"/>
        </x:is>
      </x:c>
      <x:c r="J222" s="8" t="n">
        <x:v>46127</x:v>
      </x:c>
      <x:c r="K222" s="7" t="inlineStr">
        <x:is>
          <x:t xml:space="preserve">Not Started</x:t>
        </x:is>
      </x:c>
      <x:c r="L222" s="7" t="inlineStr">
        <x:is>
          <x:t xml:space="preserve"/>
        </x:is>
      </x:c>
      <x:c r="M222" s="6" t="inlineStr">
        <x:is>
          <x:t xml:space="preserve"/>
        </x:is>
      </x:c>
    </x:row>
    <x:row r="223" ht="35" customHeight="1">
      <x:c r="A223" s="7" t="inlineStr">
        <x:is>
          <x:t xml:space="preserve">P202604-0222</x:t>
        </x:is>
      </x:c>
      <x:c r="B223" s="7" t="n">
        <x:v>2026</x:v>
      </x:c>
      <x:c r="C223" s="7" t="inlineStr">
        <x:is>
          <x:t xml:space="preserve">Apr</x:t>
        </x:is>
      </x:c>
      <x:c r="D223" s="7" t="inlineStr">
        <x:is>
          <x:t xml:space="preserve">MCS42</x:t>
        </x:is>
      </x:c>
      <x:c r="E223" s="6" t="inlineStr">
        <x:is>
          <x:t xml:space="preserve">Reconciliation of general ledger accounts</x:t>
        </x:is>
      </x:c>
      <x:c r="F223" s="6" t="inlineStr">
        <x:is>
          <x:t xml:space="preserve">Zainab Yunusah Saadu Daniel Banjo</x:t>
        </x:is>
      </x:c>
      <x:c r="G223" s="6" t="inlineStr">
        <x:is>
          <x:t xml:space="preserve"/>
        </x:is>
      </x:c>
      <x:c r="H223" s="7" t="inlineStr">
        <x:is>
          <x:t xml:space="preserve">Operating Effectiveness</x:t>
        </x:is>
      </x:c>
      <x:c r="I223" s="7" t="inlineStr">
        <x:is>
          <x:t xml:space="preserve"/>
        </x:is>
      </x:c>
      <x:c r="J223" s="8" t="n">
        <x:v>46127</x:v>
      </x:c>
      <x:c r="K223" s="7" t="inlineStr">
        <x:is>
          <x:t xml:space="preserve">Not Started</x:t>
        </x:is>
      </x:c>
      <x:c r="L223" s="7" t="inlineStr">
        <x:is>
          <x:t xml:space="preserve"/>
        </x:is>
      </x:c>
      <x:c r="M223" s="6" t="inlineStr">
        <x:is>
          <x:t xml:space="preserve"/>
        </x:is>
      </x:c>
    </x:row>
    <x:row r="224" ht="35" customHeight="1">
      <x:c r="A224" s="7" t="inlineStr">
        <x:is>
          <x:t xml:space="preserve">P202604-0223</x:t>
        </x:is>
      </x:c>
      <x:c r="B224" s="7" t="n">
        <x:v>2026</x:v>
      </x:c>
      <x:c r="C224" s="7" t="inlineStr">
        <x:is>
          <x:t xml:space="preserve">Apr</x:t>
        </x:is>
      </x:c>
      <x:c r="D224" s="7" t="inlineStr">
        <x:is>
          <x:t xml:space="preserve">MCS43</x:t>
        </x:is>
      </x:c>
      <x:c r="E224" s="6" t="inlineStr">
        <x:is>
          <x:t xml:space="preserve">Reconciliation of bank accounts</x:t>
        </x:is>
      </x:c>
      <x:c r="F224" s="6" t="inlineStr">
        <x:is>
          <x:t xml:space="preserve">Zainab Yunusah Saadu Daniel Banjo</x:t>
        </x:is>
      </x:c>
      <x:c r="G224" s="6" t="inlineStr">
        <x:is>
          <x:t xml:space="preserve"/>
        </x:is>
      </x:c>
      <x:c r="H224" s="7" t="inlineStr">
        <x:is>
          <x:t xml:space="preserve">Operating Effectiveness</x:t>
        </x:is>
      </x:c>
      <x:c r="I224" s="7" t="inlineStr">
        <x:is>
          <x:t xml:space="preserve"/>
        </x:is>
      </x:c>
      <x:c r="J224" s="8" t="n">
        <x:v>46127</x:v>
      </x:c>
      <x:c r="K224" s="7" t="inlineStr">
        <x:is>
          <x:t xml:space="preserve">Not Started</x:t>
        </x:is>
      </x:c>
      <x:c r="L224" s="7" t="inlineStr">
        <x:is>
          <x:t xml:space="preserve"/>
        </x:is>
      </x:c>
      <x:c r="M224" s="6" t="inlineStr">
        <x:is>
          <x:t xml:space="preserve"/>
        </x:is>
      </x:c>
    </x:row>
    <x:row r="225" ht="35" customHeight="1">
      <x:c r="A225" s="7" t="inlineStr">
        <x:is>
          <x:t xml:space="preserve">P202604-0224</x:t>
        </x:is>
      </x:c>
      <x:c r="B225" s="7" t="n">
        <x:v>2026</x:v>
      </x:c>
      <x:c r="C225" s="7" t="inlineStr">
        <x:is>
          <x:t xml:space="preserve">Apr</x:t>
        </x:is>
      </x:c>
      <x:c r="D225" s="7" t="inlineStr">
        <x:is>
          <x:t xml:space="preserve">MCS44</x:t>
        </x:is>
      </x:c>
      <x:c r="E225" s="6" t="inlineStr">
        <x:is>
          <x:t xml:space="preserve">Reconciliation of intercompany balances</x:t>
        </x:is>
      </x:c>
      <x:c r="F225" s="6" t="inlineStr">
        <x:is>
          <x:t xml:space="preserve">Zainab Yunusah Saadu Daniel Banjo</x:t>
        </x:is>
      </x:c>
      <x:c r="G225" s="6" t="inlineStr">
        <x:is>
          <x:t xml:space="preserve"/>
        </x:is>
      </x:c>
      <x:c r="H225" s="7" t="inlineStr">
        <x:is>
          <x:t xml:space="preserve">Operating Effectiveness</x:t>
        </x:is>
      </x:c>
      <x:c r="I225" s="7" t="inlineStr">
        <x:is>
          <x:t xml:space="preserve"/>
        </x:is>
      </x:c>
      <x:c r="J225" s="8" t="n">
        <x:v>46127</x:v>
      </x:c>
      <x:c r="K225" s="7" t="inlineStr">
        <x:is>
          <x:t xml:space="preserve">Not Started</x:t>
        </x:is>
      </x:c>
      <x:c r="L225" s="7" t="inlineStr">
        <x:is>
          <x:t xml:space="preserve"/>
        </x:is>
      </x:c>
      <x:c r="M225" s="6" t="inlineStr">
        <x:is>
          <x:t xml:space="preserve"/>
        </x:is>
      </x:c>
    </x:row>
    <x:row r="226" ht="35" customHeight="1">
      <x:c r="A226" s="7" t="inlineStr">
        <x:is>
          <x:t xml:space="preserve">P202604-0225</x:t>
        </x:is>
      </x:c>
      <x:c r="B226" s="7" t="n">
        <x:v>2026</x:v>
      </x:c>
      <x:c r="C226" s="7" t="inlineStr">
        <x:is>
          <x:t xml:space="preserve">Apr</x:t>
        </x:is>
      </x:c>
      <x:c r="D226" s="7" t="inlineStr">
        <x:is>
          <x:t xml:space="preserve">MCS45</x:t>
        </x:is>
      </x:c>
      <x:c r="E226" s="6" t="inlineStr">
        <x:is>
          <x:t xml:space="preserve">Manual journal entries</x:t>
        </x:is>
      </x:c>
      <x:c r="F226" s="6" t="inlineStr">
        <x:is>
          <x:t xml:space="preserve">Zainab Yunusah Saadu Daniel Banjo</x:t>
        </x:is>
      </x:c>
      <x:c r="G226" s="6" t="inlineStr">
        <x:is>
          <x:t xml:space="preserve"/>
        </x:is>
      </x:c>
      <x:c r="H226" s="7" t="inlineStr">
        <x:is>
          <x:t xml:space="preserve">Operating Effectiveness</x:t>
        </x:is>
      </x:c>
      <x:c r="I226" s="7" t="inlineStr">
        <x:is>
          <x:t xml:space="preserve"/>
        </x:is>
      </x:c>
      <x:c r="J226" s="8" t="n">
        <x:v>46127</x:v>
      </x:c>
      <x:c r="K226" s="7" t="inlineStr">
        <x:is>
          <x:t xml:space="preserve">Not Started</x:t>
        </x:is>
      </x:c>
      <x:c r="L226" s="7" t="inlineStr">
        <x:is>
          <x:t xml:space="preserve"/>
        </x:is>
      </x:c>
      <x:c r="M226" s="6" t="inlineStr">
        <x:is>
          <x:t xml:space="preserve"/>
        </x:is>
      </x:c>
    </x:row>
    <x:row r="227" ht="35" customHeight="1">
      <x:c r="A227" s="7" t="inlineStr">
        <x:is>
          <x:t xml:space="preserve">P202604-0226</x:t>
        </x:is>
      </x:c>
      <x:c r="B227" s="7" t="n">
        <x:v>2026</x:v>
      </x:c>
      <x:c r="C227" s="7" t="inlineStr">
        <x:is>
          <x:t xml:space="preserve">Apr</x:t>
        </x:is>
      </x:c>
      <x:c r="D227" s="7" t="inlineStr">
        <x:is>
          <x:t xml:space="preserve">MCS46</x:t>
        </x:is>
      </x:c>
      <x:c r="E227" s="6" t="inlineStr">
        <x:is>
          <x:t xml:space="preserve">Impairment of goodwill, intangible assets and tangible assets</x:t>
        </x:is>
      </x:c>
      <x:c r="F227" s="6" t="inlineStr">
        <x:is>
          <x:t xml:space="preserve">Zainab Yunusah Saadu Daniel Banjo</x:t>
        </x:is>
      </x:c>
      <x:c r="G227" s="6" t="inlineStr">
        <x:is>
          <x:t xml:space="preserve"/>
        </x:is>
      </x:c>
      <x:c r="H227" s="7" t="inlineStr">
        <x:is>
          <x:t xml:space="preserve">Operating Effectiveness</x:t>
        </x:is>
      </x:c>
      <x:c r="I227" s="7" t="inlineStr">
        <x:is>
          <x:t xml:space="preserve"/>
        </x:is>
      </x:c>
      <x:c r="J227" s="8" t="n">
        <x:v>46127</x:v>
      </x:c>
      <x:c r="K227" s="7" t="inlineStr">
        <x:is>
          <x:t xml:space="preserve">Not Started</x:t>
        </x:is>
      </x:c>
      <x:c r="L227" s="7" t="inlineStr">
        <x:is>
          <x:t xml:space="preserve"/>
        </x:is>
      </x:c>
      <x:c r="M227" s="6" t="inlineStr">
        <x:is>
          <x:t xml:space="preserve"/>
        </x:is>
      </x:c>
    </x:row>
    <x:row r="228" ht="35" customHeight="1">
      <x:c r="A228" s="7" t="inlineStr">
        <x:is>
          <x:t xml:space="preserve">P202604-0227</x:t>
        </x:is>
      </x:c>
      <x:c r="B228" s="7" t="n">
        <x:v>2026</x:v>
      </x:c>
      <x:c r="C228" s="7" t="inlineStr">
        <x:is>
          <x:t xml:space="preserve">Apr</x:t>
        </x:is>
      </x:c>
      <x:c r="D228" s="7" t="inlineStr">
        <x:is>
          <x:t xml:space="preserve">MCS47</x:t>
        </x:is>
      </x:c>
      <x:c r="E228" s="6" t="inlineStr">
        <x:is>
          <x:t xml:space="preserve">Transactions in a foreign currency</x:t>
        </x:is>
      </x:c>
      <x:c r="F228" s="6" t="inlineStr">
        <x:is>
          <x:t xml:space="preserve">Zainab Yunusah Saadu Daniel Banjo</x:t>
        </x:is>
      </x:c>
      <x:c r="G228" s="6" t="inlineStr">
        <x:is>
          <x:t xml:space="preserve"/>
        </x:is>
      </x:c>
      <x:c r="H228" s="7" t="inlineStr">
        <x:is>
          <x:t xml:space="preserve">Operating Effectiveness</x:t>
        </x:is>
      </x:c>
      <x:c r="I228" s="7" t="inlineStr">
        <x:is>
          <x:t xml:space="preserve"/>
        </x:is>
      </x:c>
      <x:c r="J228" s="8" t="n">
        <x:v>46127</x:v>
      </x:c>
      <x:c r="K228" s="7" t="inlineStr">
        <x:is>
          <x:t xml:space="preserve">Not Started</x:t>
        </x:is>
      </x:c>
      <x:c r="L228" s="7" t="inlineStr">
        <x:is>
          <x:t xml:space="preserve"/>
        </x:is>
      </x:c>
      <x:c r="M228" s="6" t="inlineStr">
        <x:is>
          <x:t xml:space="preserve"/>
        </x:is>
      </x:c>
    </x:row>
    <x:row r="229" ht="35" customHeight="1">
      <x:c r="A229" s="7" t="inlineStr">
        <x:is>
          <x:t xml:space="preserve">P202604-0228</x:t>
        </x:is>
      </x:c>
      <x:c r="B229" s="7" t="n">
        <x:v>2026</x:v>
      </x:c>
      <x:c r="C229" s="7" t="inlineStr">
        <x:is>
          <x:t xml:space="preserve">Apr</x:t>
        </x:is>
      </x:c>
      <x:c r="D229" s="7" t="inlineStr">
        <x:is>
          <x:t xml:space="preserve">MCS48</x:t>
        </x:is>
      </x:c>
      <x:c r="E229" s="6" t="inlineStr">
        <x:is>
          <x:t xml:space="preserve">Management of legal structure and consolidation hierarchy</x:t>
        </x:is>
      </x:c>
      <x:c r="F229" s="6" t="inlineStr">
        <x:is>
          <x:t xml:space="preserve">Zainab Yunusah Saadu Daniel Banjo</x:t>
        </x:is>
      </x:c>
      <x:c r="G229" s="6" t="inlineStr">
        <x:is>
          <x:t xml:space="preserve"/>
        </x:is>
      </x:c>
      <x:c r="H229" s="7" t="inlineStr">
        <x:is>
          <x:t xml:space="preserve">Operating Effectiveness</x:t>
        </x:is>
      </x:c>
      <x:c r="I229" s="7" t="inlineStr">
        <x:is>
          <x:t xml:space="preserve"/>
        </x:is>
      </x:c>
      <x:c r="J229" s="8" t="n">
        <x:v>46127</x:v>
      </x:c>
      <x:c r="K229" s="7" t="inlineStr">
        <x:is>
          <x:t xml:space="preserve">Not Started</x:t>
        </x:is>
      </x:c>
      <x:c r="L229" s="7" t="inlineStr">
        <x:is>
          <x:t xml:space="preserve"/>
        </x:is>
      </x:c>
      <x:c r="M229" s="6" t="inlineStr">
        <x:is>
          <x:t xml:space="preserve"/>
        </x:is>
      </x:c>
    </x:row>
    <x:row r="230" ht="35" customHeight="1">
      <x:c r="A230" s="7" t="inlineStr">
        <x:is>
          <x:t xml:space="preserve">P202604-0229</x:t>
        </x:is>
      </x:c>
      <x:c r="B230" s="7" t="n">
        <x:v>2026</x:v>
      </x:c>
      <x:c r="C230" s="7" t="inlineStr">
        <x:is>
          <x:t xml:space="preserve">Apr</x:t>
        </x:is>
      </x:c>
      <x:c r="D230" s="7" t="inlineStr">
        <x:is>
          <x:t xml:space="preserve">MCS49</x:t>
        </x:is>
      </x:c>
      <x:c r="E230" s="6" t="inlineStr">
        <x:is>
          <x:t xml:space="preserve">Consolidation of financial statement</x:t>
        </x:is>
      </x:c>
      <x:c r="F230" s="6" t="inlineStr">
        <x:is>
          <x:t xml:space="preserve">Zainab Yunusah Saadu Daniel Banjo</x:t>
        </x:is>
      </x:c>
      <x:c r="G230" s="6" t="inlineStr">
        <x:is>
          <x:t xml:space="preserve"/>
        </x:is>
      </x:c>
      <x:c r="H230" s="7" t="inlineStr">
        <x:is>
          <x:t xml:space="preserve">Operating Effectiveness</x:t>
        </x:is>
      </x:c>
      <x:c r="I230" s="7" t="inlineStr">
        <x:is>
          <x:t xml:space="preserve"/>
        </x:is>
      </x:c>
      <x:c r="J230" s="8" t="n">
        <x:v>46127</x:v>
      </x:c>
      <x:c r="K230" s="7" t="inlineStr">
        <x:is>
          <x:t xml:space="preserve">Not Started</x:t>
        </x:is>
      </x:c>
      <x:c r="L230" s="7" t="inlineStr">
        <x:is>
          <x:t xml:space="preserve"/>
        </x:is>
      </x:c>
      <x:c r="M230" s="6" t="inlineStr">
        <x:is>
          <x:t xml:space="preserve"/>
        </x:is>
      </x:c>
    </x:row>
    <x:row r="231" ht="35" customHeight="1">
      <x:c r="A231" s="7" t="inlineStr">
        <x:is>
          <x:t xml:space="preserve">P202604-0230</x:t>
        </x:is>
      </x:c>
      <x:c r="B231" s="7" t="n">
        <x:v>2026</x:v>
      </x:c>
      <x:c r="C231" s="7" t="inlineStr">
        <x:is>
          <x:t xml:space="preserve">Apr</x:t>
        </x:is>
      </x:c>
      <x:c r="D231" s="7" t="inlineStr">
        <x:is>
          <x:t xml:space="preserve">MCS50</x:t>
        </x:is>
      </x:c>
      <x:c r="E231" s="6" t="inlineStr">
        <x:is>
          <x:t xml:space="preserve">Statutory financial statements</x:t>
        </x:is>
      </x:c>
      <x:c r="F231" s="6" t="inlineStr">
        <x:is>
          <x:t xml:space="preserve">Zainab Yunusah Saadu Daniel Banjo</x:t>
        </x:is>
      </x:c>
      <x:c r="G231" s="6" t="inlineStr">
        <x:is>
          <x:t xml:space="preserve"/>
        </x:is>
      </x:c>
      <x:c r="H231" s="7" t="inlineStr">
        <x:is>
          <x:t xml:space="preserve">Operating Effectiveness</x:t>
        </x:is>
      </x:c>
      <x:c r="I231" s="7" t="inlineStr">
        <x:is>
          <x:t xml:space="preserve"/>
        </x:is>
      </x:c>
      <x:c r="J231" s="8" t="n">
        <x:v>46127</x:v>
      </x:c>
      <x:c r="K231" s="7" t="inlineStr">
        <x:is>
          <x:t xml:space="preserve">Not Started</x:t>
        </x:is>
      </x:c>
      <x:c r="L231" s="7" t="inlineStr">
        <x:is>
          <x:t xml:space="preserve"/>
        </x:is>
      </x:c>
      <x:c r="M231" s="6" t="inlineStr">
        <x:is>
          <x:t xml:space="preserve"/>
        </x:is>
      </x:c>
    </x:row>
    <x:row r="232" ht="35" customHeight="1">
      <x:c r="A232" s="7" t="inlineStr">
        <x:is>
          <x:t xml:space="preserve">P202604-0231</x:t>
        </x:is>
      </x:c>
      <x:c r="B232" s="7" t="n">
        <x:v>2026</x:v>
      </x:c>
      <x:c r="C232" s="7" t="inlineStr">
        <x:is>
          <x:t xml:space="preserve">Apr</x:t>
        </x:is>
      </x:c>
      <x:c r="D232" s="7" t="inlineStr">
        <x:is>
          <x:t xml:space="preserve">MCS51</x:t>
        </x:is>
      </x:c>
      <x:c r="E232" s="6" t="inlineStr">
        <x:is>
          <x:t xml:space="preserve">Tax risk assessment and reporting</x:t>
        </x:is>
      </x:c>
      <x:c r="F232" s="6" t="n"/>
      <x:c r="G232" s="6" t="inlineStr">
        <x:is>
          <x:t xml:space="preserve"/>
        </x:is>
      </x:c>
      <x:c r="H232" s="7" t="inlineStr">
        <x:is>
          <x:t xml:space="preserve">Operating Effectiveness</x:t>
        </x:is>
      </x:c>
      <x:c r="I232" s="7" t="inlineStr">
        <x:is>
          <x:t xml:space="preserve"/>
        </x:is>
      </x:c>
      <x:c r="J232" s="8" t="n">
        <x:v>46127</x:v>
      </x:c>
      <x:c r="K232" s="7" t="inlineStr">
        <x:is>
          <x:t xml:space="preserve">Not Started</x:t>
        </x:is>
      </x:c>
      <x:c r="L232" s="7" t="inlineStr">
        <x:is>
          <x:t xml:space="preserve"/>
        </x:is>
      </x:c>
      <x:c r="M232" s="6" t="inlineStr">
        <x:is>
          <x:t xml:space="preserve"/>
        </x:is>
      </x:c>
    </x:row>
    <x:row r="233" ht="35" customHeight="1">
      <x:c r="A233" s="7" t="inlineStr">
        <x:is>
          <x:t xml:space="preserve">P202604-0232</x:t>
        </x:is>
      </x:c>
      <x:c r="B233" s="7" t="n">
        <x:v>2026</x:v>
      </x:c>
      <x:c r="C233" s="7" t="inlineStr">
        <x:is>
          <x:t xml:space="preserve">Apr</x:t>
        </x:is>
      </x:c>
      <x:c r="D233" s="7" t="inlineStr">
        <x:is>
          <x:t xml:space="preserve">MCS52</x:t>
        </x:is>
      </x:c>
      <x:c r="E233" s="6" t="inlineStr">
        <x:is>
          <x:t xml:space="preserve">Tax filings and payments</x:t>
        </x:is>
      </x:c>
      <x:c r="F233" s="6" t="n"/>
      <x:c r="G233" s="6" t="inlineStr">
        <x:is>
          <x:t xml:space="preserve"/>
        </x:is>
      </x:c>
      <x:c r="H233" s="7" t="inlineStr">
        <x:is>
          <x:t xml:space="preserve">Operating Effectiveness</x:t>
        </x:is>
      </x:c>
      <x:c r="I233" s="7" t="inlineStr">
        <x:is>
          <x:t xml:space="preserve"/>
        </x:is>
      </x:c>
      <x:c r="J233" s="8" t="n">
        <x:v>46127</x:v>
      </x:c>
      <x:c r="K233" s="7" t="inlineStr">
        <x:is>
          <x:t xml:space="preserve">Not Started</x:t>
        </x:is>
      </x:c>
      <x:c r="L233" s="7" t="inlineStr">
        <x:is>
          <x:t xml:space="preserve"/>
        </x:is>
      </x:c>
      <x:c r="M233" s="6" t="inlineStr">
        <x:is>
          <x:t xml:space="preserve"/>
        </x:is>
      </x:c>
    </x:row>
    <x:row r="234" ht="35" customHeight="1">
      <x:c r="A234" s="7" t="inlineStr">
        <x:is>
          <x:t xml:space="preserve">P202604-0233</x:t>
        </x:is>
      </x:c>
      <x:c r="B234" s="7" t="n">
        <x:v>2026</x:v>
      </x:c>
      <x:c r="C234" s="7" t="inlineStr">
        <x:is>
          <x:t xml:space="preserve">Apr</x:t>
        </x:is>
      </x:c>
      <x:c r="D234" s="7" t="inlineStr">
        <x:is>
          <x:t xml:space="preserve">MCS53</x:t>
        </x:is>
      </x:c>
      <x:c r="E234" s="6" t="inlineStr">
        <x:is>
          <x:t xml:space="preserve">Deferred and current income tax calculations</x:t>
        </x:is>
      </x:c>
      <x:c r="F234" s="6" t="n"/>
      <x:c r="G234" s="6" t="inlineStr">
        <x:is>
          <x:t xml:space="preserve"/>
        </x:is>
      </x:c>
      <x:c r="H234" s="7" t="inlineStr">
        <x:is>
          <x:t xml:space="preserve">Operating Effectiveness</x:t>
        </x:is>
      </x:c>
      <x:c r="I234" s="7" t="inlineStr">
        <x:is>
          <x:t xml:space="preserve"/>
        </x:is>
      </x:c>
      <x:c r="J234" s="8" t="n">
        <x:v>46127</x:v>
      </x:c>
      <x:c r="K234" s="7" t="inlineStr">
        <x:is>
          <x:t xml:space="preserve">Not Started</x:t>
        </x:is>
      </x:c>
      <x:c r="L234" s="7" t="inlineStr">
        <x:is>
          <x:t xml:space="preserve"/>
        </x:is>
      </x:c>
      <x:c r="M234" s="6" t="inlineStr">
        <x:is>
          <x:t xml:space="preserve"/>
        </x:is>
      </x:c>
    </x:row>
    <x:row r="235" ht="35" customHeight="1">
      <x:c r="A235" s="7" t="inlineStr">
        <x:is>
          <x:t xml:space="preserve">P202604-0234</x:t>
        </x:is>
      </x:c>
      <x:c r="B235" s="7" t="n">
        <x:v>2026</x:v>
      </x:c>
      <x:c r="C235" s="7" t="inlineStr">
        <x:is>
          <x:t xml:space="preserve">Apr</x:t>
        </x:is>
      </x:c>
      <x:c r="D235" s="7" t="inlineStr">
        <x:is>
          <x:t xml:space="preserve">MCS54</x:t>
        </x:is>
      </x:c>
      <x:c r="E235" s="6" t="inlineStr">
        <x:is>
          <x:t xml:space="preserve">Transfer pricing</x:t>
        </x:is>
      </x:c>
      <x:c r="F235" s="6" t="n"/>
      <x:c r="G235" s="6" t="inlineStr">
        <x:is>
          <x:t xml:space="preserve"/>
        </x:is>
      </x:c>
      <x:c r="H235" s="7" t="inlineStr">
        <x:is>
          <x:t xml:space="preserve">Operating Effectiveness</x:t>
        </x:is>
      </x:c>
      <x:c r="I235" s="7" t="inlineStr">
        <x:is>
          <x:t xml:space="preserve"/>
        </x:is>
      </x:c>
      <x:c r="J235" s="8" t="n">
        <x:v>46127</x:v>
      </x:c>
      <x:c r="K235" s="7" t="inlineStr">
        <x:is>
          <x:t xml:space="preserve">Not Started</x:t>
        </x:is>
      </x:c>
      <x:c r="L235" s="7" t="inlineStr">
        <x:is>
          <x:t xml:space="preserve"/>
        </x:is>
      </x:c>
      <x:c r="M235" s="6" t="inlineStr">
        <x:is>
          <x:t xml:space="preserve"/>
        </x:is>
      </x:c>
    </x:row>
    <x:row r="236" ht="35" customHeight="1">
      <x:c r="A236" s="7" t="inlineStr">
        <x:is>
          <x:t xml:space="preserve">P202604-0235</x:t>
        </x:is>
      </x:c>
      <x:c r="B236" s="7" t="n">
        <x:v>2026</x:v>
      </x:c>
      <x:c r="C236" s="7" t="inlineStr">
        <x:is>
          <x:t xml:space="preserve">Apr</x:t>
        </x:is>
      </x:c>
      <x:c r="D236" s="7" t="inlineStr">
        <x:is>
          <x:t xml:space="preserve">MCS55</x:t>
        </x:is>
      </x:c>
      <x:c r="E236" s="6" t="inlineStr">
        <x:is>
          <x:t xml:space="preserve">Non-income (indirect) taxes</x:t>
        </x:is>
      </x:c>
      <x:c r="F236" s="6" t="n"/>
      <x:c r="G236" s="6" t="inlineStr">
        <x:is>
          <x:t xml:space="preserve"/>
        </x:is>
      </x:c>
      <x:c r="H236" s="7" t="inlineStr">
        <x:is>
          <x:t xml:space="preserve">Operating Effectiveness</x:t>
        </x:is>
      </x:c>
      <x:c r="I236" s="7" t="inlineStr">
        <x:is>
          <x:t xml:space="preserve"/>
        </x:is>
      </x:c>
      <x:c r="J236" s="8" t="n">
        <x:v>46127</x:v>
      </x:c>
      <x:c r="K236" s="7" t="inlineStr">
        <x:is>
          <x:t xml:space="preserve">Not Started</x:t>
        </x:is>
      </x:c>
      <x:c r="L236" s="7" t="inlineStr">
        <x:is>
          <x:t xml:space="preserve"/>
        </x:is>
      </x:c>
      <x:c r="M236" s="6" t="inlineStr">
        <x:is>
          <x:t xml:space="preserve"/>
        </x:is>
      </x:c>
    </x:row>
    <x:row r="237" ht="35" customHeight="1">
      <x:c r="A237" s="7" t="inlineStr">
        <x:is>
          <x:t xml:space="preserve">P202604-0236</x:t>
        </x:is>
      </x:c>
      <x:c r="B237" s="7" t="n">
        <x:v>2026</x:v>
      </x:c>
      <x:c r="C237" s="7" t="inlineStr">
        <x:is>
          <x:t xml:space="preserve">Apr</x:t>
        </x:is>
      </x:c>
      <x:c r="D237" s="7" t="inlineStr">
        <x:is>
          <x:t xml:space="preserve">MCS56</x:t>
        </x:is>
      </x:c>
      <x:c r="E237" s="6" t="inlineStr">
        <x:is>
          <x:t xml:space="preserve">Bank relations</x:t>
        </x:is>
      </x:c>
      <x:c r="F237" s="6" t="n"/>
      <x:c r="G237" s="6" t="inlineStr">
        <x:is>
          <x:t xml:space="preserve"/>
        </x:is>
      </x:c>
      <x:c r="H237" s="7" t="inlineStr">
        <x:is>
          <x:t xml:space="preserve">Operating Effectiveness</x:t>
        </x:is>
      </x:c>
      <x:c r="I237" s="7" t="inlineStr">
        <x:is>
          <x:t xml:space="preserve"/>
        </x:is>
      </x:c>
      <x:c r="J237" s="8" t="n">
        <x:v>46127</x:v>
      </x:c>
      <x:c r="K237" s="7" t="inlineStr">
        <x:is>
          <x:t xml:space="preserve">Not Started</x:t>
        </x:is>
      </x:c>
      <x:c r="L237" s="7" t="inlineStr">
        <x:is>
          <x:t xml:space="preserve"/>
        </x:is>
      </x:c>
      <x:c r="M237" s="6" t="inlineStr">
        <x:is>
          <x:t xml:space="preserve"/>
        </x:is>
      </x:c>
    </x:row>
    <x:row r="238" ht="35" customHeight="1">
      <x:c r="A238" s="7" t="inlineStr">
        <x:is>
          <x:t xml:space="preserve">P202604-0237</x:t>
        </x:is>
      </x:c>
      <x:c r="B238" s="7" t="n">
        <x:v>2026</x:v>
      </x:c>
      <x:c r="C238" s="7" t="inlineStr">
        <x:is>
          <x:t xml:space="preserve">Apr</x:t>
        </x:is>
      </x:c>
      <x:c r="D238" s="7" t="inlineStr">
        <x:is>
          <x:t xml:space="preserve">MCS57</x:t>
        </x:is>
      </x:c>
      <x:c r="E238" s="6" t="inlineStr">
        <x:is>
          <x:t xml:space="preserve">Cash transactions are not permitted without Regional Controller approval</x:t>
        </x:is>
      </x:c>
      <x:c r="F238" s="6" t="n"/>
      <x:c r="G238" s="6" t="inlineStr">
        <x:is>
          <x:t xml:space="preserve"/>
        </x:is>
      </x:c>
      <x:c r="H238" s="7" t="inlineStr">
        <x:is>
          <x:t xml:space="preserve">Operating Effectiveness</x:t>
        </x:is>
      </x:c>
      <x:c r="I238" s="7" t="inlineStr">
        <x:is>
          <x:t xml:space="preserve"/>
        </x:is>
      </x:c>
      <x:c r="J238" s="8" t="n">
        <x:v>46127</x:v>
      </x:c>
      <x:c r="K238" s="7" t="inlineStr">
        <x:is>
          <x:t xml:space="preserve">Not Started</x:t>
        </x:is>
      </x:c>
      <x:c r="L238" s="7" t="inlineStr">
        <x:is>
          <x:t xml:space="preserve"/>
        </x:is>
      </x:c>
      <x:c r="M238" s="6" t="inlineStr">
        <x:is>
          <x:t xml:space="preserve"/>
        </x:is>
      </x:c>
    </x:row>
    <x:row r="239" ht="35" customHeight="1">
      <x:c r="A239" s="7" t="inlineStr">
        <x:is>
          <x:t xml:space="preserve">P202604-0238</x:t>
        </x:is>
      </x:c>
      <x:c r="B239" s="7" t="n">
        <x:v>2026</x:v>
      </x:c>
      <x:c r="C239" s="7" t="inlineStr">
        <x:is>
          <x:t xml:space="preserve">Apr</x:t>
        </x:is>
      </x:c>
      <x:c r="D239" s="7" t="inlineStr">
        <x:is>
          <x:t xml:space="preserve">MCS58</x:t>
        </x:is>
      </x:c>
      <x:c r="E239" s="6" t="inlineStr">
        <x:is>
          <x:t xml:space="preserve">Secure payment means</x:t>
        </x:is>
      </x:c>
      <x:c r="F239" s="6" t="n"/>
      <x:c r="G239" s="6" t="inlineStr">
        <x:is>
          <x:t xml:space="preserve"/>
        </x:is>
      </x:c>
      <x:c r="H239" s="7" t="inlineStr">
        <x:is>
          <x:t xml:space="preserve">Operating Effectiveness</x:t>
        </x:is>
      </x:c>
      <x:c r="I239" s="7" t="inlineStr">
        <x:is>
          <x:t xml:space="preserve"/>
        </x:is>
      </x:c>
      <x:c r="J239" s="8" t="n">
        <x:v>46127</x:v>
      </x:c>
      <x:c r="K239" s="7" t="inlineStr">
        <x:is>
          <x:t xml:space="preserve">Not Started</x:t>
        </x:is>
      </x:c>
      <x:c r="L239" s="7" t="inlineStr">
        <x:is>
          <x:t xml:space="preserve"/>
        </x:is>
      </x:c>
      <x:c r="M239" s="6" t="inlineStr">
        <x:is>
          <x:t xml:space="preserve"/>
        </x:is>
      </x:c>
    </x:row>
    <x:row r="240" ht="35" customHeight="1">
      <x:c r="A240" s="7" t="inlineStr">
        <x:is>
          <x:t xml:space="preserve">P202604-0239</x:t>
        </x:is>
      </x:c>
      <x:c r="B240" s="7" t="n">
        <x:v>2026</x:v>
      </x:c>
      <x:c r="C240" s="7" t="inlineStr">
        <x:is>
          <x:t xml:space="preserve">Apr</x:t>
        </x:is>
      </x:c>
      <x:c r="D240" s="7" t="inlineStr">
        <x:is>
          <x:t xml:space="preserve">MCS59</x:t>
        </x:is>
      </x:c>
      <x:c r="E240" s="6" t="inlineStr">
        <x:is>
          <x:t xml:space="preserve">Financial instruments, borrowings, commitments and working capital schemes</x:t>
        </x:is>
      </x:c>
      <x:c r="F240" s="6" t="n"/>
      <x:c r="G240" s="6" t="inlineStr">
        <x:is>
          <x:t xml:space="preserve"/>
        </x:is>
      </x:c>
      <x:c r="H240" s="7" t="inlineStr">
        <x:is>
          <x:t xml:space="preserve">Operating Effectiveness</x:t>
        </x:is>
      </x:c>
      <x:c r="I240" s="7" t="inlineStr">
        <x:is>
          <x:t xml:space="preserve"/>
        </x:is>
      </x:c>
      <x:c r="J240" s="8" t="n">
        <x:v>46127</x:v>
      </x:c>
      <x:c r="K240" s="7" t="inlineStr">
        <x:is>
          <x:t xml:space="preserve">Not Started</x:t>
        </x:is>
      </x:c>
      <x:c r="L240" s="7" t="inlineStr">
        <x:is>
          <x:t xml:space="preserve"/>
        </x:is>
      </x:c>
      <x:c r="M240" s="6" t="inlineStr">
        <x:is>
          <x:t xml:space="preserve"/>
        </x:is>
      </x:c>
    </x:row>
    <x:row r="241" ht="35" customHeight="1">
      <x:c r="A241" s="7" t="inlineStr">
        <x:is>
          <x:t xml:space="preserve">P202604-0240</x:t>
        </x:is>
      </x:c>
      <x:c r="B241" s="7" t="n">
        <x:v>2026</x:v>
      </x:c>
      <x:c r="C241" s="7" t="inlineStr">
        <x:is>
          <x:t xml:space="preserve">Apr</x:t>
        </x:is>
      </x:c>
      <x:c r="D241" s="7" t="inlineStr">
        <x:is>
          <x:t xml:space="preserve">MCS60</x:t>
        </x:is>
      </x:c>
      <x:c r="E241" s="6" t="inlineStr">
        <x:is>
          <x:t xml:space="preserve">Forex, interest rate, commodities risks monitoring and hedging</x:t>
        </x:is>
      </x:c>
      <x:c r="F241" s="6" t="n"/>
      <x:c r="G241" s="6" t="inlineStr">
        <x:is>
          <x:t xml:space="preserve"/>
        </x:is>
      </x:c>
      <x:c r="H241" s="7" t="inlineStr">
        <x:is>
          <x:t xml:space="preserve">Operating Effectiveness</x:t>
        </x:is>
      </x:c>
      <x:c r="I241" s="7" t="inlineStr">
        <x:is>
          <x:t xml:space="preserve"/>
        </x:is>
      </x:c>
      <x:c r="J241" s="8" t="n">
        <x:v>46127</x:v>
      </x:c>
      <x:c r="K241" s="7" t="inlineStr">
        <x:is>
          <x:t xml:space="preserve">Not Started</x:t>
        </x:is>
      </x:c>
      <x:c r="L241" s="7" t="inlineStr">
        <x:is>
          <x:t xml:space="preserve"/>
        </x:is>
      </x:c>
      <x:c r="M241" s="6" t="inlineStr">
        <x:is>
          <x:t xml:space="preserve"/>
        </x:is>
      </x:c>
    </x:row>
    <x:row r="242" ht="35" customHeight="1">
      <x:c r="A242" s="7" t="inlineStr">
        <x:is>
          <x:t xml:space="preserve">P202605-0241</x:t>
        </x:is>
      </x:c>
      <x:c r="B242" s="7" t="n">
        <x:v>2026</x:v>
      </x:c>
      <x:c r="C242" s="7" t="inlineStr">
        <x:is>
          <x:t xml:space="preserve">May</x:t>
        </x:is>
      </x:c>
      <x:c r="D242" s="7" t="inlineStr">
        <x:is>
          <x:t xml:space="preserve">MCS01</x:t>
        </x:is>
      </x:c>
      <x:c r="E242" s="6" t="inlineStr">
        <x:is>
          <x:t xml:space="preserve">Communication and promotion of the Code of Business Conduct and speak-up culture</x:t>
        </x:is>
      </x:c>
      <x:c r="F242" s="6" t="inlineStr">
        <x:is>
          <x:t xml:space="preserve">Omoyemi Tuga Olamide Ayo-Ogunlade </x:t>
        </x:is>
      </x:c>
      <x:c r="G242" s="6" t="inlineStr">
        <x:is>
          <x:t xml:space="preserve"/>
        </x:is>
      </x:c>
      <x:c r="H242" s="7" t="inlineStr">
        <x:is>
          <x:t xml:space="preserve">Operating Effectiveness</x:t>
        </x:is>
      </x:c>
      <x:c r="I242" s="7" t="inlineStr">
        <x:is>
          <x:t xml:space="preserve"/>
        </x:is>
      </x:c>
      <x:c r="J242" s="8" t="n">
        <x:v>46157</x:v>
      </x:c>
      <x:c r="K242" s="7" t="inlineStr">
        <x:is>
          <x:t xml:space="preserve">Not Started</x:t>
        </x:is>
      </x:c>
      <x:c r="L242" s="7" t="inlineStr">
        <x:is>
          <x:t xml:space="preserve"/>
        </x:is>
      </x:c>
      <x:c r="M242" s="6" t="inlineStr">
        <x:is>
          <x:t xml:space="preserve"/>
        </x:is>
      </x:c>
    </x:row>
    <x:row r="243" ht="35" customHeight="1">
      <x:c r="A243" s="7" t="inlineStr">
        <x:is>
          <x:t xml:space="preserve">P202605-0242</x:t>
        </x:is>
      </x:c>
      <x:c r="B243" s="7" t="n">
        <x:v>2026</x:v>
      </x:c>
      <x:c r="C243" s="7" t="inlineStr">
        <x:is>
          <x:t xml:space="preserve">May</x:t>
        </x:is>
      </x:c>
      <x:c r="D243" s="7" t="inlineStr">
        <x:is>
          <x:t xml:space="preserve">MCS02</x:t>
        </x:is>
      </x:c>
      <x:c r="E243" s="6" t="inlineStr">
        <x:is>
          <x:t xml:space="preserve">Compliance with Fair Competition laws and requirements</x:t>
        </x:is>
      </x:c>
      <x:c r="F243" s="6" t="inlineStr">
        <x:is>
          <x:t xml:space="preserve">Mary Waititu</x:t>
        </x:is>
      </x:c>
      <x:c r="G243" s="6" t="inlineStr">
        <x:is>
          <x:t xml:space="preserve"/>
        </x:is>
      </x:c>
      <x:c r="H243" s="7" t="inlineStr">
        <x:is>
          <x:t xml:space="preserve">Operating Effectiveness</x:t>
        </x:is>
      </x:c>
      <x:c r="I243" s="7" t="inlineStr">
        <x:is>
          <x:t xml:space="preserve"/>
        </x:is>
      </x:c>
      <x:c r="J243" s="8" t="n">
        <x:v>46157</x:v>
      </x:c>
      <x:c r="K243" s="7" t="inlineStr">
        <x:is>
          <x:t xml:space="preserve">Not Started</x:t>
        </x:is>
      </x:c>
      <x:c r="L243" s="7" t="inlineStr">
        <x:is>
          <x:t xml:space="preserve"/>
        </x:is>
      </x:c>
      <x:c r="M243" s="6" t="inlineStr">
        <x:is>
          <x:t xml:space="preserve"/>
        </x:is>
      </x:c>
    </x:row>
    <x:row r="244" ht="35" customHeight="1">
      <x:c r="A244" s="7" t="inlineStr">
        <x:is>
          <x:t xml:space="preserve">P202605-0243</x:t>
        </x:is>
      </x:c>
      <x:c r="B244" s="7" t="n">
        <x:v>2026</x:v>
      </x:c>
      <x:c r="C244" s="7" t="inlineStr">
        <x:is>
          <x:t xml:space="preserve">May</x:t>
        </x:is>
      </x:c>
      <x:c r="D244" s="7" t="inlineStr">
        <x:is>
          <x:t xml:space="preserve">MCS03</x:t>
        </x:is>
      </x:c>
      <x:c r="E244" s="6" t="inlineStr">
        <x:is>
          <x:t xml:space="preserve">Related party transactions and conflict of interests</x:t>
        </x:is>
      </x:c>
      <x:c r="F244" s="6" t="inlineStr">
        <x:is>
          <x:t xml:space="preserve">Mary Waititu Godson Iwuozo</x:t>
        </x:is>
      </x:c>
      <x:c r="G244" s="6" t="inlineStr">
        <x:is>
          <x:t xml:space="preserve"/>
        </x:is>
      </x:c>
      <x:c r="H244" s="7" t="inlineStr">
        <x:is>
          <x:t xml:space="preserve">Operating Effectiveness</x:t>
        </x:is>
      </x:c>
      <x:c r="I244" s="7" t="inlineStr">
        <x:is>
          <x:t xml:space="preserve"/>
        </x:is>
      </x:c>
      <x:c r="J244" s="8" t="n">
        <x:v>46157</x:v>
      </x:c>
      <x:c r="K244" s="7" t="inlineStr">
        <x:is>
          <x:t xml:space="preserve">Not Started</x:t>
        </x:is>
      </x:c>
      <x:c r="L244" s="7" t="inlineStr">
        <x:is>
          <x:t xml:space="preserve"/>
        </x:is>
      </x:c>
      <x:c r="M244" s="6" t="inlineStr">
        <x:is>
          <x:t xml:space="preserve"/>
        </x:is>
      </x:c>
    </x:row>
    <x:row r="245" ht="35" customHeight="1">
      <x:c r="A245" s="7" t="inlineStr">
        <x:is>
          <x:t xml:space="preserve">P202605-0244</x:t>
        </x:is>
      </x:c>
      <x:c r="B245" s="7" t="n">
        <x:v>2026</x:v>
      </x:c>
      <x:c r="C245" s="7" t="inlineStr">
        <x:is>
          <x:t xml:space="preserve">May</x:t>
        </x:is>
      </x:c>
      <x:c r="D245" s="7" t="inlineStr">
        <x:is>
          <x:t xml:space="preserve">MCS04</x:t>
        </x:is>
      </x:c>
      <x:c r="E245" s="6" t="inlineStr">
        <x:is>
          <x:t xml:space="preserve">Board of Directors secretarial requirements</x:t>
        </x:is>
      </x:c>
      <x:c r="F245" s="6" t="inlineStr">
        <x:is>
          <x:t xml:space="preserve">Mary Waititu Godson Iwuozo</x:t>
        </x:is>
      </x:c>
      <x:c r="G245" s="6" t="inlineStr">
        <x:is>
          <x:t xml:space="preserve"/>
        </x:is>
      </x:c>
      <x:c r="H245" s="7" t="inlineStr">
        <x:is>
          <x:t xml:space="preserve">Operating Effectiveness</x:t>
        </x:is>
      </x:c>
      <x:c r="I245" s="7" t="inlineStr">
        <x:is>
          <x:t xml:space="preserve"/>
        </x:is>
      </x:c>
      <x:c r="J245" s="8" t="n">
        <x:v>46157</x:v>
      </x:c>
      <x:c r="K245" s="7" t="inlineStr">
        <x:is>
          <x:t xml:space="preserve">Not Started</x:t>
        </x:is>
      </x:c>
      <x:c r="L245" s="7" t="inlineStr">
        <x:is>
          <x:t xml:space="preserve"/>
        </x:is>
      </x:c>
      <x:c r="M245" s="6" t="inlineStr">
        <x:is>
          <x:t xml:space="preserve"/>
        </x:is>
      </x:c>
    </x:row>
    <x:row r="246" ht="35" customHeight="1">
      <x:c r="A246" s="7" t="inlineStr">
        <x:is>
          <x:t xml:space="preserve">P202605-0245</x:t>
        </x:is>
      </x:c>
      <x:c r="B246" s="7" t="n">
        <x:v>2026</x:v>
      </x:c>
      <x:c r="C246" s="7" t="inlineStr">
        <x:is>
          <x:t xml:space="preserve">May</x:t>
        </x:is>
      </x:c>
      <x:c r="D246" s="7" t="inlineStr">
        <x:is>
          <x:t xml:space="preserve">MCS05</x:t>
        </x:is>
      </x:c>
      <x:c r="E246" s="6" t="inlineStr">
        <x:is>
          <x:t xml:space="preserve">Health, Safety &amp; Environment</x:t>
        </x:is>
      </x:c>
      <x:c r="F246" s="6" t="inlineStr">
        <x:is>
          <x:t xml:space="preserve">Omoyemi Tuga Yomi Jegede</x:t>
        </x:is>
      </x:c>
      <x:c r="G246" s="6" t="inlineStr">
        <x:is>
          <x:t xml:space="preserve"/>
        </x:is>
      </x:c>
      <x:c r="H246" s="7" t="inlineStr">
        <x:is>
          <x:t xml:space="preserve">Operating Effectiveness</x:t>
        </x:is>
      </x:c>
      <x:c r="I246" s="7" t="inlineStr">
        <x:is>
          <x:t xml:space="preserve"/>
        </x:is>
      </x:c>
      <x:c r="J246" s="8" t="n">
        <x:v>46157</x:v>
      </x:c>
      <x:c r="K246" s="7" t="inlineStr">
        <x:is>
          <x:t xml:space="preserve">Not Started</x:t>
        </x:is>
      </x:c>
      <x:c r="L246" s="7" t="inlineStr">
        <x:is>
          <x:t xml:space="preserve"/>
        </x:is>
      </x:c>
      <x:c r="M246" s="6" t="inlineStr">
        <x:is>
          <x:t xml:space="preserve"/>
        </x:is>
      </x:c>
    </x:row>
    <x:row r="247" ht="35" customHeight="1">
      <x:c r="A247" s="7" t="inlineStr">
        <x:is>
          <x:t xml:space="preserve">P202605-0246</x:t>
        </x:is>
      </x:c>
      <x:c r="B247" s="7" t="n">
        <x:v>2026</x:v>
      </x:c>
      <x:c r="C247" s="7" t="inlineStr">
        <x:is>
          <x:t xml:space="preserve">May</x:t>
        </x:is>
      </x:c>
      <x:c r="D247" s="7" t="inlineStr">
        <x:is>
          <x:t xml:space="preserve">MCS06</x:t>
        </x:is>
      </x:c>
      <x:c r="E247" s="6" t="inlineStr">
        <x:is>
          <x:t xml:space="preserve">Risk assessment</x:t>
        </x:is>
      </x:c>
      <x:c r="F247" s="6" t="inlineStr">
        <x:is>
          <x:t xml:space="preserve">Oluwaseun Oyedepo</x:t>
        </x:is>
      </x:c>
      <x:c r="G247" s="6" t="inlineStr">
        <x:is>
          <x:t xml:space="preserve"/>
        </x:is>
      </x:c>
      <x:c r="H247" s="7" t="inlineStr">
        <x:is>
          <x:t xml:space="preserve">Operating Effectiveness</x:t>
        </x:is>
      </x:c>
      <x:c r="I247" s="7" t="inlineStr">
        <x:is>
          <x:t xml:space="preserve"/>
        </x:is>
      </x:c>
      <x:c r="J247" s="8" t="n">
        <x:v>46157</x:v>
      </x:c>
      <x:c r="K247" s="7" t="inlineStr">
        <x:is>
          <x:t xml:space="preserve">Not Started</x:t>
        </x:is>
      </x:c>
      <x:c r="L247" s="7" t="inlineStr">
        <x:is>
          <x:t xml:space="preserve"/>
        </x:is>
      </x:c>
      <x:c r="M247" s="6" t="inlineStr">
        <x:is>
          <x:t xml:space="preserve"/>
        </x:is>
      </x:c>
    </x:row>
    <x:row r="248" ht="35" customHeight="1">
      <x:c r="A248" s="7" t="inlineStr">
        <x:is>
          <x:t xml:space="preserve">P202605-0247</x:t>
        </x:is>
      </x:c>
      <x:c r="B248" s="7" t="n">
        <x:v>2026</x:v>
      </x:c>
      <x:c r="C248" s="7" t="inlineStr">
        <x:is>
          <x:t xml:space="preserve">May</x:t>
        </x:is>
      </x:c>
      <x:c r="D248" s="7" t="inlineStr">
        <x:is>
          <x:t xml:space="preserve">MCS07</x:t>
        </x:is>
      </x:c>
      <x:c r="E248" s="6" t="inlineStr">
        <x:is>
          <x:t xml:space="preserve">Mitigation of business risks - Security</x:t>
        </x:is>
      </x:c>
      <x:c r="F248" s="6" t="inlineStr">
        <x:is>
          <x:t xml:space="preserve">Olamide Ayo-Ogunlade Obinna Ojimba</x:t>
        </x:is>
      </x:c>
      <x:c r="G248" s="6" t="inlineStr">
        <x:is>
          <x:t xml:space="preserve"/>
        </x:is>
      </x:c>
      <x:c r="H248" s="7" t="inlineStr">
        <x:is>
          <x:t xml:space="preserve">Operating Effectiveness</x:t>
        </x:is>
      </x:c>
      <x:c r="I248" s="7" t="inlineStr">
        <x:is>
          <x:t xml:space="preserve"/>
        </x:is>
      </x:c>
      <x:c r="J248" s="8" t="n">
        <x:v>46157</x:v>
      </x:c>
      <x:c r="K248" s="7" t="inlineStr">
        <x:is>
          <x:t xml:space="preserve">Not Started</x:t>
        </x:is>
      </x:c>
      <x:c r="L248" s="7" t="inlineStr">
        <x:is>
          <x:t xml:space="preserve"/>
        </x:is>
      </x:c>
      <x:c r="M248" s="6" t="inlineStr">
        <x:is>
          <x:t xml:space="preserve"/>
        </x:is>
      </x:c>
    </x:row>
    <x:row r="249" ht="35" customHeight="1">
      <x:c r="A249" s="7" t="inlineStr">
        <x:is>
          <x:t xml:space="preserve">P202605-0248</x:t>
        </x:is>
      </x:c>
      <x:c r="B249" s="7" t="n">
        <x:v>2026</x:v>
      </x:c>
      <x:c r="C249" s="7" t="inlineStr">
        <x:is>
          <x:t xml:space="preserve">May</x:t>
        </x:is>
      </x:c>
      <x:c r="D249" s="7" t="inlineStr">
        <x:is>
          <x:t xml:space="preserve">MCS08</x:t>
        </x:is>
      </x:c>
      <x:c r="E249" s="6" t="inlineStr">
        <x:is>
          <x:t xml:space="preserve">Mitigation of business risks - Group insurance</x:t>
        </x:is>
      </x:c>
      <x:c r="F249" s="6" t="inlineStr">
        <x:is>
          <x:t xml:space="preserve">Victory Olumuyiwa</x:t>
        </x:is>
      </x:c>
      <x:c r="G249" s="6" t="inlineStr">
        <x:is>
          <x:t xml:space="preserve"/>
        </x:is>
      </x:c>
      <x:c r="H249" s="7" t="inlineStr">
        <x:is>
          <x:t xml:space="preserve">Operating Effectiveness</x:t>
        </x:is>
      </x:c>
      <x:c r="I249" s="7" t="inlineStr">
        <x:is>
          <x:t xml:space="preserve"/>
        </x:is>
      </x:c>
      <x:c r="J249" s="8" t="n">
        <x:v>46157</x:v>
      </x:c>
      <x:c r="K249" s="7" t="inlineStr">
        <x:is>
          <x:t xml:space="preserve">Not Started</x:t>
        </x:is>
      </x:c>
      <x:c r="L249" s="7" t="inlineStr">
        <x:is>
          <x:t xml:space="preserve"/>
        </x:is>
      </x:c>
      <x:c r="M249" s="6" t="inlineStr">
        <x:is>
          <x:t xml:space="preserve"/>
        </x:is>
      </x:c>
    </x:row>
    <x:row r="250" ht="35" customHeight="1">
      <x:c r="A250" s="7" t="inlineStr">
        <x:is>
          <x:t xml:space="preserve">P202605-0249</x:t>
        </x:is>
      </x:c>
      <x:c r="B250" s="7" t="n">
        <x:v>2026</x:v>
      </x:c>
      <x:c r="C250" s="7" t="inlineStr">
        <x:is>
          <x:t xml:space="preserve">May</x:t>
        </x:is>
      </x:c>
      <x:c r="D250" s="7" t="inlineStr">
        <x:is>
          <x:t xml:space="preserve">MCS09</x:t>
        </x:is>
      </x:c>
      <x:c r="E250" s="6" t="inlineStr">
        <x:is>
          <x:t xml:space="preserve">Mitigation of business risks - Business Resilience System</x:t>
        </x:is>
      </x:c>
      <x:c r="F250" s="6" t="inlineStr">
        <x:is>
          <x:t xml:space="preserve">Oluwaseun Oyedepo</x:t>
        </x:is>
      </x:c>
      <x:c r="G250" s="6" t="inlineStr">
        <x:is>
          <x:t xml:space="preserve"/>
        </x:is>
      </x:c>
      <x:c r="H250" s="7" t="inlineStr">
        <x:is>
          <x:t xml:space="preserve">Operating Effectiveness</x:t>
        </x:is>
      </x:c>
      <x:c r="I250" s="7" t="inlineStr">
        <x:is>
          <x:t xml:space="preserve"/>
        </x:is>
      </x:c>
      <x:c r="J250" s="8" t="n">
        <x:v>46157</x:v>
      </x:c>
      <x:c r="K250" s="7" t="inlineStr">
        <x:is>
          <x:t xml:space="preserve">Not Started</x:t>
        </x:is>
      </x:c>
      <x:c r="L250" s="7" t="inlineStr">
        <x:is>
          <x:t xml:space="preserve"/>
        </x:is>
      </x:c>
      <x:c r="M250" s="6" t="inlineStr">
        <x:is>
          <x:t xml:space="preserve"/>
        </x:is>
      </x:c>
    </x:row>
    <x:row r="251" ht="35" customHeight="1">
      <x:c r="A251" s="7" t="inlineStr">
        <x:is>
          <x:t xml:space="preserve">P202605-0250</x:t>
        </x:is>
      </x:c>
      <x:c r="B251" s="7" t="n">
        <x:v>2026</x:v>
      </x:c>
      <x:c r="C251" s="7" t="inlineStr">
        <x:is>
          <x:t xml:space="preserve">May</x:t>
        </x:is>
      </x:c>
      <x:c r="D251" s="7" t="inlineStr">
        <x:is>
          <x:t xml:space="preserve">MCS10</x:t>
        </x:is>
      </x:c>
      <x:c r="E251" s="6" t="inlineStr">
        <x:is>
          <x:t xml:space="preserve">Mitigation of business risks - Remediation of deficiencies and non-compliance with MCS</x:t>
        </x:is>
      </x:c>
      <x:c r="F251" s="6" t="inlineStr">
        <x:is>
          <x:t xml:space="preserve">Oluwaseun Oyedepo</x:t>
        </x:is>
      </x:c>
      <x:c r="G251" s="6" t="inlineStr">
        <x:is>
          <x:t xml:space="preserve"/>
        </x:is>
      </x:c>
      <x:c r="H251" s="7" t="inlineStr">
        <x:is>
          <x:t xml:space="preserve">Operating Effectiveness</x:t>
        </x:is>
      </x:c>
      <x:c r="I251" s="7" t="inlineStr">
        <x:is>
          <x:t xml:space="preserve"/>
        </x:is>
      </x:c>
      <x:c r="J251" s="8" t="n">
        <x:v>46157</x:v>
      </x:c>
      <x:c r="K251" s="7" t="inlineStr">
        <x:is>
          <x:t xml:space="preserve">Not Started</x:t>
        </x:is>
      </x:c>
      <x:c r="L251" s="7" t="inlineStr">
        <x:is>
          <x:t xml:space="preserve"/>
        </x:is>
      </x:c>
      <x:c r="M251" s="6" t="inlineStr">
        <x:is>
          <x:t xml:space="preserve"/>
        </x:is>
      </x:c>
    </x:row>
    <x:row r="252" ht="35" customHeight="1">
      <x:c r="A252" s="7" t="inlineStr">
        <x:is>
          <x:t xml:space="preserve">P202605-0251</x:t>
        </x:is>
      </x:c>
      <x:c r="B252" s="7" t="n">
        <x:v>2026</x:v>
      </x:c>
      <x:c r="C252" s="7" t="inlineStr">
        <x:is>
          <x:t xml:space="preserve">May</x:t>
        </x:is>
      </x:c>
      <x:c r="D252" s="7" t="inlineStr">
        <x:is>
          <x:t xml:space="preserve">MCS11</x:t>
        </x:is>
      </x:c>
      <x:c r="E252" s="6" t="inlineStr">
        <x:is>
          <x:t xml:space="preserve">Personal data protection</x:t>
        </x:is>
      </x:c>
      <x:c r="F252" s="6" t="inlineStr">
        <x:is>
          <x:t xml:space="preserve">Olamide Ayo-Ogunlade @</x:t>
        </x:is>
      </x:c>
      <x:c r="G252" s="6" t="inlineStr">
        <x:is>
          <x:t xml:space="preserve"/>
        </x:is>
      </x:c>
      <x:c r="H252" s="7" t="inlineStr">
        <x:is>
          <x:t xml:space="preserve">Operating Effectiveness</x:t>
        </x:is>
      </x:c>
      <x:c r="I252" s="7" t="inlineStr">
        <x:is>
          <x:t xml:space="preserve"/>
        </x:is>
      </x:c>
      <x:c r="J252" s="8" t="n">
        <x:v>46157</x:v>
      </x:c>
      <x:c r="K252" s="7" t="inlineStr">
        <x:is>
          <x:t xml:space="preserve">Not Started</x:t>
        </x:is>
      </x:c>
      <x:c r="L252" s="7" t="inlineStr">
        <x:is>
          <x:t xml:space="preserve"/>
        </x:is>
      </x:c>
      <x:c r="M252" s="6" t="inlineStr">
        <x:is>
          <x:t xml:space="preserve"/>
        </x:is>
      </x:c>
    </x:row>
    <x:row r="253" ht="35" customHeight="1">
      <x:c r="A253" s="7" t="inlineStr">
        <x:is>
          <x:t xml:space="preserve">P202605-0252</x:t>
        </x:is>
      </x:c>
      <x:c r="B253" s="7" t="n">
        <x:v>2026</x:v>
      </x:c>
      <x:c r="C253" s="7" t="inlineStr">
        <x:is>
          <x:t xml:space="preserve">May</x:t>
        </x:is>
      </x:c>
      <x:c r="D253" s="7" t="inlineStr">
        <x:is>
          <x:t xml:space="preserve">MCS12</x:t>
        </x:is>
      </x:c>
      <x:c r="E253" s="6" t="inlineStr">
        <x:is>
          <x:t xml:space="preserve">Segregation of duties and user access review</x:t>
        </x:is>
      </x:c>
      <x:c r="F253" s="6" t="inlineStr">
        <x:is>
          <x:t xml:space="preserve">Theophilus Okolie</x:t>
        </x:is>
      </x:c>
      <x:c r="G253" s="6" t="inlineStr">
        <x:is>
          <x:t xml:space="preserve"/>
        </x:is>
      </x:c>
      <x:c r="H253" s="7" t="inlineStr">
        <x:is>
          <x:t xml:space="preserve">Operating Effectiveness</x:t>
        </x:is>
      </x:c>
      <x:c r="I253" s="7" t="inlineStr">
        <x:is>
          <x:t xml:space="preserve"/>
        </x:is>
      </x:c>
      <x:c r="J253" s="8" t="n">
        <x:v>46157</x:v>
      </x:c>
      <x:c r="K253" s="7" t="inlineStr">
        <x:is>
          <x:t xml:space="preserve">Not Started</x:t>
        </x:is>
      </x:c>
      <x:c r="L253" s="7" t="inlineStr">
        <x:is>
          <x:t xml:space="preserve"/>
        </x:is>
      </x:c>
      <x:c r="M253" s="6" t="inlineStr">
        <x:is>
          <x:t xml:space="preserve"/>
        </x:is>
      </x:c>
    </x:row>
    <x:row r="254" ht="35" customHeight="1">
      <x:c r="A254" s="7" t="inlineStr">
        <x:is>
          <x:t xml:space="preserve">P202605-0253</x:t>
        </x:is>
      </x:c>
      <x:c r="B254" s="7" t="n">
        <x:v>2026</x:v>
      </x:c>
      <x:c r="C254" s="7" t="inlineStr">
        <x:is>
          <x:t xml:space="preserve">May</x:t>
        </x:is>
      </x:c>
      <x:c r="D254" s="7" t="inlineStr">
        <x:is>
          <x:t xml:space="preserve">MCS13</x:t>
        </x:is>
      </x:c>
      <x:c r="E254" s="6" t="inlineStr">
        <x:is>
          <x:t xml:space="preserve">Delegation of authorities and approval workflows</x:t>
        </x:is>
      </x:c>
      <x:c r="F254" s="6" t="inlineStr">
        <x:is>
          <x:t xml:space="preserve">Ramakant Patil</x:t>
        </x:is>
      </x:c>
      <x:c r="G254" s="6" t="inlineStr">
        <x:is>
          <x:t xml:space="preserve"/>
        </x:is>
      </x:c>
      <x:c r="H254" s="7" t="inlineStr">
        <x:is>
          <x:t xml:space="preserve">Operating Effectiveness</x:t>
        </x:is>
      </x:c>
      <x:c r="I254" s="7" t="inlineStr">
        <x:is>
          <x:t xml:space="preserve"/>
        </x:is>
      </x:c>
      <x:c r="J254" s="8" t="n">
        <x:v>46157</x:v>
      </x:c>
      <x:c r="K254" s="7" t="inlineStr">
        <x:is>
          <x:t xml:space="preserve">Not Started</x:t>
        </x:is>
      </x:c>
      <x:c r="L254" s="7" t="inlineStr">
        <x:is>
          <x:t xml:space="preserve"/>
        </x:is>
      </x:c>
      <x:c r="M254" s="6" t="inlineStr">
        <x:is>
          <x:t xml:space="preserve"/>
        </x:is>
      </x:c>
    </x:row>
    <x:row r="255" ht="35" customHeight="1">
      <x:c r="A255" s="7" t="inlineStr">
        <x:is>
          <x:t xml:space="preserve">P202605-0254</x:t>
        </x:is>
      </x:c>
      <x:c r="B255" s="7" t="n">
        <x:v>2026</x:v>
      </x:c>
      <x:c r="C255" s="7" t="inlineStr">
        <x:is>
          <x:t xml:space="preserve">May</x:t>
        </x:is>
      </x:c>
      <x:c r="D255" s="7" t="inlineStr">
        <x:is>
          <x:t xml:space="preserve">MCS14</x:t>
        </x:is>
      </x:c>
      <x:c r="E255" s="6" t="inlineStr">
        <x:is>
          <x:t xml:space="preserve">Litigation disputes</x:t>
        </x:is>
      </x:c>
      <x:c r="F255" s="6" t="inlineStr">
        <x:is>
          <x:t xml:space="preserve">Mary Waititu</x:t>
        </x:is>
      </x:c>
      <x:c r="G255" s="6" t="inlineStr">
        <x:is>
          <x:t xml:space="preserve"/>
        </x:is>
      </x:c>
      <x:c r="H255" s="7" t="inlineStr">
        <x:is>
          <x:t xml:space="preserve">Operating Effectiveness</x:t>
        </x:is>
      </x:c>
      <x:c r="I255" s="7" t="inlineStr">
        <x:is>
          <x:t xml:space="preserve"/>
        </x:is>
      </x:c>
      <x:c r="J255" s="8" t="n">
        <x:v>46157</x:v>
      </x:c>
      <x:c r="K255" s="7" t="inlineStr">
        <x:is>
          <x:t xml:space="preserve">Not Started</x:t>
        </x:is>
      </x:c>
      <x:c r="L255" s="7" t="inlineStr">
        <x:is>
          <x:t xml:space="preserve"/>
        </x:is>
      </x:c>
      <x:c r="M255" s="6" t="inlineStr">
        <x:is>
          <x:t xml:space="preserve"/>
        </x:is>
      </x:c>
    </x:row>
    <x:row r="256" ht="35" customHeight="1">
      <x:c r="A256" s="7" t="inlineStr">
        <x:is>
          <x:t xml:space="preserve">P202605-0255</x:t>
        </x:is>
      </x:c>
      <x:c r="B256" s="7" t="n">
        <x:v>2026</x:v>
      </x:c>
      <x:c r="C256" s="7" t="inlineStr">
        <x:is>
          <x:t xml:space="preserve">May</x:t>
        </x:is>
      </x:c>
      <x:c r="D256" s="7" t="inlineStr">
        <x:is>
          <x:t xml:space="preserve">MCS15</x:t>
        </x:is>
      </x:c>
      <x:c r="E256" s="6" t="inlineStr">
        <x:is>
          <x:t xml:space="preserve">Review of contracts by finance</x:t>
        </x:is>
      </x:c>
      <x:c r="F256" s="6" t="inlineStr">
        <x:is>
          <x:t xml:space="preserve">Ovie Itie</x:t>
        </x:is>
      </x:c>
      <x:c r="G256" s="6" t="inlineStr">
        <x:is>
          <x:t xml:space="preserve"/>
        </x:is>
      </x:c>
      <x:c r="H256" s="7" t="inlineStr">
        <x:is>
          <x:t xml:space="preserve">Operating Effectiveness</x:t>
        </x:is>
      </x:c>
      <x:c r="I256" s="7" t="inlineStr">
        <x:is>
          <x:t xml:space="preserve"/>
        </x:is>
      </x:c>
      <x:c r="J256" s="8" t="n">
        <x:v>46157</x:v>
      </x:c>
      <x:c r="K256" s="7" t="inlineStr">
        <x:is>
          <x:t xml:space="preserve">Not Started</x:t>
        </x:is>
      </x:c>
      <x:c r="L256" s="7" t="inlineStr">
        <x:is>
          <x:t xml:space="preserve"/>
        </x:is>
      </x:c>
      <x:c r="M256" s="6" t="inlineStr">
        <x:is>
          <x:t xml:space="preserve"/>
        </x:is>
      </x:c>
    </x:row>
    <x:row r="257" ht="35" customHeight="1">
      <x:c r="A257" s="7" t="inlineStr">
        <x:is>
          <x:t xml:space="preserve">P202605-0256</x:t>
        </x:is>
      </x:c>
      <x:c r="B257" s="7" t="n">
        <x:v>2026</x:v>
      </x:c>
      <x:c r="C257" s="7" t="inlineStr">
        <x:is>
          <x:t xml:space="preserve">May</x:t>
        </x:is>
      </x:c>
      <x:c r="D257" s="7" t="inlineStr">
        <x:is>
          <x:t xml:space="preserve">MCS16</x:t>
        </x:is>
      </x:c>
      <x:c r="E257" s="6" t="inlineStr">
        <x:is>
          <x:t xml:space="preserve">Management of titles and permits</x:t>
        </x:is>
      </x:c>
      <x:c r="F257" s="6" t="n"/>
      <x:c r="G257" s="6" t="inlineStr">
        <x:is>
          <x:t xml:space="preserve"/>
        </x:is>
      </x:c>
      <x:c r="H257" s="7" t="inlineStr">
        <x:is>
          <x:t xml:space="preserve">Operating Effectiveness</x:t>
        </x:is>
      </x:c>
      <x:c r="I257" s="7" t="inlineStr">
        <x:is>
          <x:t xml:space="preserve"/>
        </x:is>
      </x:c>
      <x:c r="J257" s="8" t="n">
        <x:v>46157</x:v>
      </x:c>
      <x:c r="K257" s="7" t="inlineStr">
        <x:is>
          <x:t xml:space="preserve">Not Started</x:t>
        </x:is>
      </x:c>
      <x:c r="L257" s="7" t="inlineStr">
        <x:is>
          <x:t xml:space="preserve"/>
        </x:is>
      </x:c>
      <x:c r="M257" s="6" t="inlineStr">
        <x:is>
          <x:t xml:space="preserve"/>
        </x:is>
      </x:c>
    </x:row>
    <x:row r="258" ht="35" customHeight="1">
      <x:c r="A258" s="7" t="inlineStr">
        <x:is>
          <x:t xml:space="preserve">P202605-0257</x:t>
        </x:is>
      </x:c>
      <x:c r="B258" s="7" t="n">
        <x:v>2026</x:v>
      </x:c>
      <x:c r="C258" s="7" t="inlineStr">
        <x:is>
          <x:t xml:space="preserve">May</x:t>
        </x:is>
      </x:c>
      <x:c r="D258" s="7" t="inlineStr">
        <x:is>
          <x:t xml:space="preserve">MCS18</x:t>
        </x:is>
      </x:c>
      <x:c r="E258" s="6" t="inlineStr">
        <x:is>
          <x:t xml:space="preserve">Classification and depreciation of property, plant &amp; equipment</x:t>
        </x:is>
      </x:c>
      <x:c r="F258" s="6" t="n"/>
      <x:c r="G258" s="6" t="inlineStr">
        <x:is>
          <x:t xml:space="preserve"/>
        </x:is>
      </x:c>
      <x:c r="H258" s="7" t="inlineStr">
        <x:is>
          <x:t xml:space="preserve">Operating Effectiveness</x:t>
        </x:is>
      </x:c>
      <x:c r="I258" s="7" t="inlineStr">
        <x:is>
          <x:t xml:space="preserve"/>
        </x:is>
      </x:c>
      <x:c r="J258" s="8" t="n">
        <x:v>46157</x:v>
      </x:c>
      <x:c r="K258" s="7" t="inlineStr">
        <x:is>
          <x:t xml:space="preserve">Not Started</x:t>
        </x:is>
      </x:c>
      <x:c r="L258" s="7" t="inlineStr">
        <x:is>
          <x:t xml:space="preserve"/>
        </x:is>
      </x:c>
      <x:c r="M258" s="6" t="inlineStr">
        <x:is>
          <x:t xml:space="preserve"/>
        </x:is>
      </x:c>
    </x:row>
    <x:row r="259" ht="35" customHeight="1">
      <x:c r="A259" s="7" t="inlineStr">
        <x:is>
          <x:t xml:space="preserve">P202605-0258</x:t>
        </x:is>
      </x:c>
      <x:c r="B259" s="7" t="n">
        <x:v>2026</x:v>
      </x:c>
      <x:c r="C259" s="7" t="inlineStr">
        <x:is>
          <x:t xml:space="preserve">May</x:t>
        </x:is>
      </x:c>
      <x:c r="D259" s="7" t="inlineStr">
        <x:is>
          <x:t xml:space="preserve">MCS19</x:t>
        </x:is>
      </x:c>
      <x:c r="E259" s="6" t="inlineStr">
        <x:is>
          <x:t xml:space="preserve">Physical verification of Fixed Asset</x:t>
        </x:is>
      </x:c>
      <x:c r="F259" s="6" t="n"/>
      <x:c r="G259" s="6" t="inlineStr">
        <x:is>
          <x:t xml:space="preserve"/>
        </x:is>
      </x:c>
      <x:c r="H259" s="7" t="inlineStr">
        <x:is>
          <x:t xml:space="preserve">Operating Effectiveness</x:t>
        </x:is>
      </x:c>
      <x:c r="I259" s="7" t="inlineStr">
        <x:is>
          <x:t xml:space="preserve"/>
        </x:is>
      </x:c>
      <x:c r="J259" s="8" t="n">
        <x:v>46157</x:v>
      </x:c>
      <x:c r="K259" s="7" t="inlineStr">
        <x:is>
          <x:t xml:space="preserve">Not Started</x:t>
        </x:is>
      </x:c>
      <x:c r="L259" s="7" t="inlineStr">
        <x:is>
          <x:t xml:space="preserve"/>
        </x:is>
      </x:c>
      <x:c r="M259" s="6" t="inlineStr">
        <x:is>
          <x:t xml:space="preserve"/>
        </x:is>
      </x:c>
    </x:row>
    <x:row r="260" ht="35" customHeight="1">
      <x:c r="A260" s="7" t="inlineStr">
        <x:is>
          <x:t xml:space="preserve">P202605-0259</x:t>
        </x:is>
      </x:c>
      <x:c r="B260" s="7" t="n">
        <x:v>2026</x:v>
      </x:c>
      <x:c r="C260" s="7" t="inlineStr">
        <x:is>
          <x:t xml:space="preserve">May</x:t>
        </x:is>
      </x:c>
      <x:c r="D260" s="7" t="inlineStr">
        <x:is>
          <x:t xml:space="preserve">MCS20</x:t>
        </x:is>
      </x:c>
      <x:c r="E260" s="6" t="inlineStr">
        <x:is>
          <x:t xml:space="preserve">Management of customer and inventory master data</x:t>
        </x:is>
      </x:c>
      <x:c r="F260" s="6" t="inlineStr">
        <x:is>
          <x:t xml:space="preserve">Yomi Jegede</x:t>
        </x:is>
      </x:c>
      <x:c r="G260" s="6" t="inlineStr">
        <x:is>
          <x:t xml:space="preserve"/>
        </x:is>
      </x:c>
      <x:c r="H260" s="7" t="inlineStr">
        <x:is>
          <x:t xml:space="preserve">Operating Effectiveness</x:t>
        </x:is>
      </x:c>
      <x:c r="I260" s="7" t="inlineStr">
        <x:is>
          <x:t xml:space="preserve"/>
        </x:is>
      </x:c>
      <x:c r="J260" s="8" t="n">
        <x:v>46157</x:v>
      </x:c>
      <x:c r="K260" s="7" t="inlineStr">
        <x:is>
          <x:t xml:space="preserve">Not Started</x:t>
        </x:is>
      </x:c>
      <x:c r="L260" s="7" t="inlineStr">
        <x:is>
          <x:t xml:space="preserve"/>
        </x:is>
      </x:c>
      <x:c r="M260" s="6" t="inlineStr">
        <x:is>
          <x:t xml:space="preserve"/>
        </x:is>
      </x:c>
    </x:row>
    <x:row r="261" ht="35" customHeight="1">
      <x:c r="A261" s="7" t="inlineStr">
        <x:is>
          <x:t xml:space="preserve">P202605-0260</x:t>
        </x:is>
      </x:c>
      <x:c r="B261" s="7" t="n">
        <x:v>2026</x:v>
      </x:c>
      <x:c r="C261" s="7" t="inlineStr">
        <x:is>
          <x:t xml:space="preserve">May</x:t>
        </x:is>
      </x:c>
      <x:c r="D261" s="7" t="inlineStr">
        <x:is>
          <x:t xml:space="preserve">MCS21</x:t>
        </x:is>
      </x:c>
      <x:c r="E261" s="6" t="inlineStr">
        <x:is>
          <x:t xml:space="preserve">Price management</x:t>
        </x:is>
      </x:c>
      <x:c r="F261" s="6" t="n"/>
      <x:c r="G261" s="6" t="inlineStr">
        <x:is>
          <x:t xml:space="preserve"/>
        </x:is>
      </x:c>
      <x:c r="H261" s="7" t="inlineStr">
        <x:is>
          <x:t xml:space="preserve">Operating Effectiveness</x:t>
        </x:is>
      </x:c>
      <x:c r="I261" s="7" t="inlineStr">
        <x:is>
          <x:t xml:space="preserve"/>
        </x:is>
      </x:c>
      <x:c r="J261" s="8" t="n">
        <x:v>46157</x:v>
      </x:c>
      <x:c r="K261" s="7" t="inlineStr">
        <x:is>
          <x:t xml:space="preserve">Not Started</x:t>
        </x:is>
      </x:c>
      <x:c r="L261" s="7" t="inlineStr">
        <x:is>
          <x:t xml:space="preserve"/>
        </x:is>
      </x:c>
      <x:c r="M261" s="6" t="inlineStr">
        <x:is>
          <x:t xml:space="preserve"/>
        </x:is>
      </x:c>
    </x:row>
    <x:row r="262" ht="35" customHeight="1">
      <x:c r="A262" s="7" t="inlineStr">
        <x:is>
          <x:t xml:space="preserve">P202605-0261</x:t>
        </x:is>
      </x:c>
      <x:c r="B262" s="7" t="n">
        <x:v>2026</x:v>
      </x:c>
      <x:c r="C262" s="7" t="inlineStr">
        <x:is>
          <x:t xml:space="preserve">May</x:t>
        </x:is>
      </x:c>
      <x:c r="D262" s="7" t="inlineStr">
        <x:is>
          <x:t xml:space="preserve">MCS22.1</x:t>
        </x:is>
      </x:c>
      <x:c r="E262" s="6" t="inlineStr">
        <x:is>
          <x:t xml:space="preserve">Control of customer credit limits - Easybuy</x:t>
        </x:is>
      </x:c>
      <x:c r="F262" s="6" t="inlineStr">
        <x:is>
          <x:t xml:space="preserve">Omoyemi Tuga Ogunsanmi Opeyemi Listbon</x:t>
        </x:is>
      </x:c>
      <x:c r="G262" s="6" t="inlineStr">
        <x:is>
          <x:t xml:space="preserve"/>
        </x:is>
      </x:c>
      <x:c r="H262" s="7" t="inlineStr">
        <x:is>
          <x:t xml:space="preserve">Operating Effectiveness</x:t>
        </x:is>
      </x:c>
      <x:c r="I262" s="7" t="inlineStr">
        <x:is>
          <x:t xml:space="preserve"/>
        </x:is>
      </x:c>
      <x:c r="J262" s="8" t="n">
        <x:v>46157</x:v>
      </x:c>
      <x:c r="K262" s="7" t="inlineStr">
        <x:is>
          <x:t xml:space="preserve">Not Started</x:t>
        </x:is>
      </x:c>
      <x:c r="L262" s="7" t="inlineStr">
        <x:is>
          <x:t xml:space="preserve"/>
        </x:is>
      </x:c>
      <x:c r="M262" s="6" t="inlineStr">
        <x:is>
          <x:t xml:space="preserve"/>
        </x:is>
      </x:c>
    </x:row>
    <x:row r="263" ht="35" customHeight="1">
      <x:c r="A263" s="7" t="inlineStr">
        <x:is>
          <x:t xml:space="preserve">P202605-0262</x:t>
        </x:is>
      </x:c>
      <x:c r="B263" s="7" t="n">
        <x:v>2026</x:v>
      </x:c>
      <x:c r="C263" s="7" t="inlineStr">
        <x:is>
          <x:t xml:space="preserve">May</x:t>
        </x:is>
      </x:c>
      <x:c r="D263" s="7" t="inlineStr">
        <x:is>
          <x:t xml:space="preserve">MCS22.2</x:t>
        </x:is>
      </x:c>
      <x:c r="E263" s="6" t="inlineStr">
        <x:is>
          <x:t xml:space="preserve">Control of customer credit limits - Partnership</x:t>
        </x:is>
      </x:c>
      <x:c r="F263" s="6" t="inlineStr">
        <x:is>
          <x:t xml:space="preserve">Eno Umoh Ameh Bright Agbo</x:t>
        </x:is>
      </x:c>
      <x:c r="G263" s="6" t="inlineStr">
        <x:is>
          <x:t xml:space="preserve"/>
        </x:is>
      </x:c>
      <x:c r="H263" s="7" t="inlineStr">
        <x:is>
          <x:t xml:space="preserve">Operating Effectiveness</x:t>
        </x:is>
      </x:c>
      <x:c r="I263" s="7" t="inlineStr">
        <x:is>
          <x:t xml:space="preserve"/>
        </x:is>
      </x:c>
      <x:c r="J263" s="8" t="n">
        <x:v>46157</x:v>
      </x:c>
      <x:c r="K263" s="7" t="inlineStr">
        <x:is>
          <x:t xml:space="preserve">Not Started</x:t>
        </x:is>
      </x:c>
      <x:c r="L263" s="7" t="inlineStr">
        <x:is>
          <x:t xml:space="preserve"/>
        </x:is>
      </x:c>
      <x:c r="M263" s="6" t="inlineStr">
        <x:is>
          <x:t xml:space="preserve"/>
        </x:is>
      </x:c>
    </x:row>
    <x:row r="264" ht="35" customHeight="1">
      <x:c r="A264" s="7" t="inlineStr">
        <x:is>
          <x:t xml:space="preserve">P202605-0263</x:t>
        </x:is>
      </x:c>
      <x:c r="B264" s="7" t="n">
        <x:v>2026</x:v>
      </x:c>
      <x:c r="C264" s="7" t="inlineStr">
        <x:is>
          <x:t xml:space="preserve">May</x:t>
        </x:is>
      </x:c>
      <x:c r="D264" s="7" t="inlineStr">
        <x:is>
          <x:t xml:space="preserve">MCS23</x:t>
        </x:is>
      </x:c>
      <x:c r="E264" s="6" t="inlineStr">
        <x:is>
          <x:t xml:space="preserve">Invoicing </x:t>
        </x:is>
      </x:c>
      <x:c r="F264" s="6" t="inlineStr">
        <x:is>
          <x:t xml:space="preserve">Ramakant Patil</x:t>
        </x:is>
      </x:c>
      <x:c r="G264" s="6" t="inlineStr">
        <x:is>
          <x:t xml:space="preserve"/>
        </x:is>
      </x:c>
      <x:c r="H264" s="7" t="inlineStr">
        <x:is>
          <x:t xml:space="preserve">Operating Effectiveness</x:t>
        </x:is>
      </x:c>
      <x:c r="I264" s="7" t="inlineStr">
        <x:is>
          <x:t xml:space="preserve"/>
        </x:is>
      </x:c>
      <x:c r="J264" s="8" t="n">
        <x:v>46157</x:v>
      </x:c>
      <x:c r="K264" s="7" t="inlineStr">
        <x:is>
          <x:t xml:space="preserve">Not Started</x:t>
        </x:is>
      </x:c>
      <x:c r="L264" s="7" t="inlineStr">
        <x:is>
          <x:t xml:space="preserve"/>
        </x:is>
      </x:c>
      <x:c r="M264" s="6" t="inlineStr">
        <x:is>
          <x:t xml:space="preserve"/>
        </x:is>
      </x:c>
    </x:row>
    <x:row r="265" ht="35" customHeight="1">
      <x:c r="A265" s="7" t="inlineStr">
        <x:is>
          <x:t xml:space="preserve">P202605-0264</x:t>
        </x:is>
      </x:c>
      <x:c r="B265" s="7" t="n">
        <x:v>2026</x:v>
      </x:c>
      <x:c r="C265" s="7" t="inlineStr">
        <x:is>
          <x:t xml:space="preserve">May</x:t>
        </x:is>
      </x:c>
      <x:c r="D265" s="7" t="inlineStr">
        <x:is>
          <x:t xml:space="preserve">MCS24</x:t>
        </x:is>
      </x:c>
      <x:c r="E265" s="6" t="inlineStr">
        <x:is>
          <x:t xml:space="preserve">Accounts receivable valuation</x:t>
        </x:is>
      </x:c>
      <x:c r="F265" s="6" t="inlineStr">
        <x:is>
          <x:t xml:space="preserve">Zainab Yunusah Saadu</x:t>
        </x:is>
      </x:c>
      <x:c r="G265" s="6" t="inlineStr">
        <x:is>
          <x:t xml:space="preserve"/>
        </x:is>
      </x:c>
      <x:c r="H265" s="7" t="inlineStr">
        <x:is>
          <x:t xml:space="preserve">Operating Effectiveness</x:t>
        </x:is>
      </x:c>
      <x:c r="I265" s="7" t="inlineStr">
        <x:is>
          <x:t xml:space="preserve"/>
        </x:is>
      </x:c>
      <x:c r="J265" s="8" t="n">
        <x:v>46157</x:v>
      </x:c>
      <x:c r="K265" s="7" t="inlineStr">
        <x:is>
          <x:t xml:space="preserve">Not Started</x:t>
        </x:is>
      </x:c>
      <x:c r="L265" s="7" t="inlineStr">
        <x:is>
          <x:t xml:space="preserve"/>
        </x:is>
      </x:c>
      <x:c r="M265" s="6" t="inlineStr">
        <x:is>
          <x:t xml:space="preserve"/>
        </x:is>
      </x:c>
    </x:row>
    <x:row r="266" ht="35" customHeight="1">
      <x:c r="A266" s="7" t="inlineStr">
        <x:is>
          <x:t xml:space="preserve">P202605-0265</x:t>
        </x:is>
      </x:c>
      <x:c r="B266" s="7" t="n">
        <x:v>2026</x:v>
      </x:c>
      <x:c r="C266" s="7" t="inlineStr">
        <x:is>
          <x:t xml:space="preserve">May</x:t>
        </x:is>
      </x:c>
      <x:c r="D266" s="7" t="inlineStr">
        <x:is>
          <x:t xml:space="preserve">MCS25</x:t>
        </x:is>
      </x:c>
      <x:c r="E266" s="6" t="inlineStr">
        <x:is>
          <x:t xml:space="preserve">Execution of onboarding, offboarding, master data management and transfers of workers</x:t>
        </x:is>
      </x:c>
      <x:c r="F266" s="6" t="n"/>
      <x:c r="G266" s="6" t="inlineStr">
        <x:is>
          <x:t xml:space="preserve"/>
        </x:is>
      </x:c>
      <x:c r="H266" s="7" t="inlineStr">
        <x:is>
          <x:t xml:space="preserve">Operating Effectiveness</x:t>
        </x:is>
      </x:c>
      <x:c r="I266" s="7" t="inlineStr">
        <x:is>
          <x:t xml:space="preserve"/>
        </x:is>
      </x:c>
      <x:c r="J266" s="8" t="n">
        <x:v>46157</x:v>
      </x:c>
      <x:c r="K266" s="7" t="inlineStr">
        <x:is>
          <x:t xml:space="preserve">Not Started</x:t>
        </x:is>
      </x:c>
      <x:c r="L266" s="7" t="inlineStr">
        <x:is>
          <x:t xml:space="preserve"/>
        </x:is>
      </x:c>
      <x:c r="M266" s="6" t="inlineStr">
        <x:is>
          <x:t xml:space="preserve"/>
        </x:is>
      </x:c>
    </x:row>
    <x:row r="267" ht="35" customHeight="1">
      <x:c r="A267" s="7" t="inlineStr">
        <x:is>
          <x:t xml:space="preserve">P202605-0266</x:t>
        </x:is>
      </x:c>
      <x:c r="B267" s="7" t="n">
        <x:v>2026</x:v>
      </x:c>
      <x:c r="C267" s="7" t="inlineStr">
        <x:is>
          <x:t xml:space="preserve">May</x:t>
        </x:is>
      </x:c>
      <x:c r="D267" s="7" t="inlineStr">
        <x:is>
          <x:t xml:space="preserve">MCS26</x:t>
        </x:is>
      </x:c>
      <x:c r="E267" s="6" t="inlineStr">
        <x:is>
          <x:t xml:space="preserve">Payroll</x:t>
        </x:is>
      </x:c>
      <x:c r="F267" s="6" t="inlineStr">
        <x:is>
          <x:t xml:space="preserve">Olamide Ayo-Ogunlade Oluwatosin Ogunsekan</x:t>
        </x:is>
      </x:c>
      <x:c r="G267" s="6" t="inlineStr">
        <x:is>
          <x:t xml:space="preserve"/>
        </x:is>
      </x:c>
      <x:c r="H267" s="7" t="inlineStr">
        <x:is>
          <x:t xml:space="preserve">Operating Effectiveness</x:t>
        </x:is>
      </x:c>
      <x:c r="I267" s="7" t="inlineStr">
        <x:is>
          <x:t xml:space="preserve"/>
        </x:is>
      </x:c>
      <x:c r="J267" s="8" t="n">
        <x:v>46157</x:v>
      </x:c>
      <x:c r="K267" s="7" t="inlineStr">
        <x:is>
          <x:t xml:space="preserve">Not Started</x:t>
        </x:is>
      </x:c>
      <x:c r="L267" s="7" t="inlineStr">
        <x:is>
          <x:t xml:space="preserve"/>
        </x:is>
      </x:c>
      <x:c r="M267" s="6" t="inlineStr">
        <x:is>
          <x:t xml:space="preserve"/>
        </x:is>
      </x:c>
    </x:row>
    <x:row r="268" ht="35" customHeight="1">
      <x:c r="A268" s="7" t="inlineStr">
        <x:is>
          <x:t xml:space="preserve">P202605-0267</x:t>
        </x:is>
      </x:c>
      <x:c r="B268" s="7" t="n">
        <x:v>2026</x:v>
      </x:c>
      <x:c r="C268" s="7" t="inlineStr">
        <x:is>
          <x:t xml:space="preserve">May</x:t>
        </x:is>
      </x:c>
      <x:c r="D268" s="7" t="inlineStr">
        <x:is>
          <x:t xml:space="preserve">MCS27</x:t>
        </x:is>
      </x:c>
      <x:c r="E268" s="6" t="inlineStr">
        <x:is>
          <x:t xml:space="preserve">Compliance with Labour law</x:t>
        </x:is>
      </x:c>
      <x:c r="F268" s="6" t="inlineStr">
        <x:is>
          <x:t xml:space="preserve">Olamide Ayo-Ogunlade Oluwatosin Ogunsekan</x:t>
        </x:is>
      </x:c>
      <x:c r="G268" s="6" t="inlineStr">
        <x:is>
          <x:t xml:space="preserve"/>
        </x:is>
      </x:c>
      <x:c r="H268" s="7" t="inlineStr">
        <x:is>
          <x:t xml:space="preserve">Operating Effectiveness</x:t>
        </x:is>
      </x:c>
      <x:c r="I268" s="7" t="inlineStr">
        <x:is>
          <x:t xml:space="preserve"/>
        </x:is>
      </x:c>
      <x:c r="J268" s="8" t="n">
        <x:v>46157</x:v>
      </x:c>
      <x:c r="K268" s="7" t="inlineStr">
        <x:is>
          <x:t xml:space="preserve">Not Started</x:t>
        </x:is>
      </x:c>
      <x:c r="L268" s="7" t="inlineStr">
        <x:is>
          <x:t xml:space="preserve"/>
        </x:is>
      </x:c>
      <x:c r="M268" s="6" t="inlineStr">
        <x:is>
          <x:t xml:space="preserve"/>
        </x:is>
      </x:c>
    </x:row>
    <x:row r="269" ht="35" customHeight="1">
      <x:c r="A269" s="7" t="inlineStr">
        <x:is>
          <x:t xml:space="preserve">P202605-0268</x:t>
        </x:is>
      </x:c>
      <x:c r="B269" s="7" t="n">
        <x:v>2026</x:v>
      </x:c>
      <x:c r="C269" s="7" t="inlineStr">
        <x:is>
          <x:t xml:space="preserve">May</x:t>
        </x:is>
      </x:c>
      <x:c r="D269" s="7" t="inlineStr">
        <x:is>
          <x:t xml:space="preserve">MCS28</x:t>
        </x:is>
      </x:c>
      <x:c r="E269" s="6" t="inlineStr">
        <x:is>
          <x:t xml:space="preserve">Employee pension and benefit plan</x:t>
        </x:is>
      </x:c>
      <x:c r="F269" s="6" t="inlineStr">
        <x:is>
          <x:t xml:space="preserve">Olamide Ayo-Ogunlade Oluwatosin Ogunsekan</x:t>
        </x:is>
      </x:c>
      <x:c r="G269" s="6" t="inlineStr">
        <x:is>
          <x:t xml:space="preserve"/>
        </x:is>
      </x:c>
      <x:c r="H269" s="7" t="inlineStr">
        <x:is>
          <x:t xml:space="preserve">Operating Effectiveness</x:t>
        </x:is>
      </x:c>
      <x:c r="I269" s="7" t="inlineStr">
        <x:is>
          <x:t xml:space="preserve"/>
        </x:is>
      </x:c>
      <x:c r="J269" s="8" t="n">
        <x:v>46157</x:v>
      </x:c>
      <x:c r="K269" s="7" t="inlineStr">
        <x:is>
          <x:t xml:space="preserve">Not Started</x:t>
        </x:is>
      </x:c>
      <x:c r="L269" s="7" t="inlineStr">
        <x:is>
          <x:t xml:space="preserve"/>
        </x:is>
      </x:c>
      <x:c r="M269" s="6" t="inlineStr">
        <x:is>
          <x:t xml:space="preserve"/>
        </x:is>
      </x:c>
    </x:row>
    <x:row r="270" ht="35" customHeight="1">
      <x:c r="A270" s="7" t="inlineStr">
        <x:is>
          <x:t xml:space="preserve">P202605-0269</x:t>
        </x:is>
      </x:c>
      <x:c r="B270" s="7" t="n">
        <x:v>2026</x:v>
      </x:c>
      <x:c r="C270" s="7" t="inlineStr">
        <x:is>
          <x:t xml:space="preserve">May</x:t>
        </x:is>
      </x:c>
      <x:c r="D270" s="7" t="inlineStr">
        <x:is>
          <x:t xml:space="preserve">MCS 29</x:t>
        </x:is>
      </x:c>
      <x:c r="E270" s="6" t="inlineStr">
        <x:is>
          <x:t xml:space="preserve">Management of supplier master data</x:t>
        </x:is>
      </x:c>
      <x:c r="F270" s="6" t="inlineStr">
        <x:is>
          <x:t xml:space="preserve">Ramakant Patil Zainab Yunusah Saadu</x:t>
        </x:is>
      </x:c>
      <x:c r="G270" s="6" t="inlineStr">
        <x:is>
          <x:t xml:space="preserve"/>
        </x:is>
      </x:c>
      <x:c r="H270" s="7" t="inlineStr">
        <x:is>
          <x:t xml:space="preserve">Operating Effectiveness</x:t>
        </x:is>
      </x:c>
      <x:c r="I270" s="7" t="inlineStr">
        <x:is>
          <x:t xml:space="preserve"/>
        </x:is>
      </x:c>
      <x:c r="J270" s="8" t="n">
        <x:v>46157</x:v>
      </x:c>
      <x:c r="K270" s="7" t="inlineStr">
        <x:is>
          <x:t xml:space="preserve">Not Started</x:t>
        </x:is>
      </x:c>
      <x:c r="L270" s="7" t="inlineStr">
        <x:is>
          <x:t xml:space="preserve"/>
        </x:is>
      </x:c>
      <x:c r="M270" s="6" t="inlineStr">
        <x:is>
          <x:t xml:space="preserve"/>
        </x:is>
      </x:c>
    </x:row>
    <x:row r="271" ht="35" customHeight="1">
      <x:c r="A271" s="7" t="inlineStr">
        <x:is>
          <x:t xml:space="preserve">P202605-0270</x:t>
        </x:is>
      </x:c>
      <x:c r="B271" s="7" t="n">
        <x:v>2026</x:v>
      </x:c>
      <x:c r="C271" s="7" t="inlineStr">
        <x:is>
          <x:t xml:space="preserve">May</x:t>
        </x:is>
      </x:c>
      <x:c r="D271" s="7" t="inlineStr">
        <x:is>
          <x:t xml:space="preserve">MCS30</x:t>
        </x:is>
      </x:c>
      <x:c r="E271" s="6" t="inlineStr">
        <x:is>
          <x:t xml:space="preserve">Vendor Registration and Performance Management</x:t>
        </x:is>
      </x:c>
      <x:c r="F271" s="6" t="inlineStr">
        <x:is>
          <x:t xml:space="preserve">Ramakant Patil Zainab Yunusah Saadu</x:t>
        </x:is>
      </x:c>
      <x:c r="G271" s="6" t="inlineStr">
        <x:is>
          <x:t xml:space="preserve"/>
        </x:is>
      </x:c>
      <x:c r="H271" s="7" t="inlineStr">
        <x:is>
          <x:t xml:space="preserve">Operating Effectiveness</x:t>
        </x:is>
      </x:c>
      <x:c r="I271" s="7" t="inlineStr">
        <x:is>
          <x:t xml:space="preserve"/>
        </x:is>
      </x:c>
      <x:c r="J271" s="8" t="n">
        <x:v>46157</x:v>
      </x:c>
      <x:c r="K271" s="7" t="inlineStr">
        <x:is>
          <x:t xml:space="preserve">Not Started</x:t>
        </x:is>
      </x:c>
      <x:c r="L271" s="7" t="inlineStr">
        <x:is>
          <x:t xml:space="preserve"/>
        </x:is>
      </x:c>
      <x:c r="M271" s="6" t="inlineStr">
        <x:is>
          <x:t xml:space="preserve"/>
        </x:is>
      </x:c>
    </x:row>
    <x:row r="272" ht="35" customHeight="1">
      <x:c r="A272" s="7" t="inlineStr">
        <x:is>
          <x:t xml:space="preserve">P202605-0271</x:t>
        </x:is>
      </x:c>
      <x:c r="B272" s="7" t="n">
        <x:v>2026</x:v>
      </x:c>
      <x:c r="C272" s="7" t="inlineStr">
        <x:is>
          <x:t xml:space="preserve">May</x:t>
        </x:is>
      </x:c>
      <x:c r="D272" s="7" t="inlineStr">
        <x:is>
          <x:t xml:space="preserve">MCS31</x:t>
        </x:is>
      </x:c>
      <x:c r="E272" s="6" t="inlineStr">
        <x:is>
          <x:t xml:space="preserve">Three-way match, two way match and direct vendor invoices</x:t>
        </x:is>
      </x:c>
      <x:c r="F272" s="6" t="inlineStr">
        <x:is>
          <x:t xml:space="preserve">Ramakant Patil Zainab Yunusah Saadu</x:t>
        </x:is>
      </x:c>
      <x:c r="G272" s="6" t="inlineStr">
        <x:is>
          <x:t xml:space="preserve"/>
        </x:is>
      </x:c>
      <x:c r="H272" s="7" t="inlineStr">
        <x:is>
          <x:t xml:space="preserve">Operating Effectiveness</x:t>
        </x:is>
      </x:c>
      <x:c r="I272" s="7" t="inlineStr">
        <x:is>
          <x:t xml:space="preserve"/>
        </x:is>
      </x:c>
      <x:c r="J272" s="8" t="n">
        <x:v>46157</x:v>
      </x:c>
      <x:c r="K272" s="7" t="inlineStr">
        <x:is>
          <x:t xml:space="preserve">Not Started</x:t>
        </x:is>
      </x:c>
      <x:c r="L272" s="7" t="inlineStr">
        <x:is>
          <x:t xml:space="preserve"/>
        </x:is>
      </x:c>
      <x:c r="M272" s="6" t="inlineStr">
        <x:is>
          <x:t xml:space="preserve"/>
        </x:is>
      </x:c>
    </x:row>
    <x:row r="273" ht="35" customHeight="1">
      <x:c r="A273" s="7" t="inlineStr">
        <x:is>
          <x:t xml:space="preserve">P202605-0272</x:t>
        </x:is>
      </x:c>
      <x:c r="B273" s="7" t="n">
        <x:v>2026</x:v>
      </x:c>
      <x:c r="C273" s="7" t="inlineStr">
        <x:is>
          <x:t xml:space="preserve">May</x:t>
        </x:is>
      </x:c>
      <x:c r="D273" s="7" t="inlineStr">
        <x:is>
          <x:t xml:space="preserve">MCS32</x:t>
        </x:is>
      </x:c>
      <x:c r="E273" s="6" t="inlineStr">
        <x:is>
          <x:t xml:space="preserve">Payment processing</x:t>
        </x:is>
      </x:c>
      <x:c r="F273" s="6" t="inlineStr">
        <x:is>
          <x:t xml:space="preserve">Ramakant Patil Zainab Yunusah Saadu</x:t>
        </x:is>
      </x:c>
      <x:c r="G273" s="6" t="inlineStr">
        <x:is>
          <x:t xml:space="preserve"/>
        </x:is>
      </x:c>
      <x:c r="H273" s="7" t="inlineStr">
        <x:is>
          <x:t xml:space="preserve">Operating Effectiveness</x:t>
        </x:is>
      </x:c>
      <x:c r="I273" s="7" t="inlineStr">
        <x:is>
          <x:t xml:space="preserve"/>
        </x:is>
      </x:c>
      <x:c r="J273" s="8" t="n">
        <x:v>46157</x:v>
      </x:c>
      <x:c r="K273" s="7" t="inlineStr">
        <x:is>
          <x:t xml:space="preserve">Not Started</x:t>
        </x:is>
      </x:c>
      <x:c r="L273" s="7" t="inlineStr">
        <x:is>
          <x:t xml:space="preserve"/>
        </x:is>
      </x:c>
      <x:c r="M273" s="6" t="inlineStr">
        <x:is>
          <x:t xml:space="preserve"/>
        </x:is>
      </x:c>
    </x:row>
    <x:row r="274" ht="35" customHeight="1">
      <x:c r="A274" s="7" t="inlineStr">
        <x:is>
          <x:t xml:space="preserve">P202605-0273</x:t>
        </x:is>
      </x:c>
      <x:c r="B274" s="7" t="n">
        <x:v>2026</x:v>
      </x:c>
      <x:c r="C274" s="7" t="inlineStr">
        <x:is>
          <x:t xml:space="preserve">May</x:t>
        </x:is>
      </x:c>
      <x:c r="D274" s="7" t="inlineStr">
        <x:is>
          <x:t xml:space="preserve">MCS33</x:t>
        </x:is>
      </x:c>
      <x:c r="E274" s="6" t="inlineStr">
        <x:is>
          <x:t xml:space="preserve">3 Accruals for expenditures not invoiced</x:t>
        </x:is>
      </x:c>
      <x:c r="F274" s="6" t="inlineStr">
        <x:is>
          <x:t xml:space="preserve">Ramakant Patil Zainab Yunusah Saadu</x:t>
        </x:is>
      </x:c>
      <x:c r="G274" s="6" t="inlineStr">
        <x:is>
          <x:t xml:space="preserve"/>
        </x:is>
      </x:c>
      <x:c r="H274" s="7" t="inlineStr">
        <x:is>
          <x:t xml:space="preserve">Operating Effectiveness</x:t>
        </x:is>
      </x:c>
      <x:c r="I274" s="7" t="inlineStr">
        <x:is>
          <x:t xml:space="preserve"/>
        </x:is>
      </x:c>
      <x:c r="J274" s="8" t="n">
        <x:v>46157</x:v>
      </x:c>
      <x:c r="K274" s="7" t="inlineStr">
        <x:is>
          <x:t xml:space="preserve">Not Started</x:t>
        </x:is>
      </x:c>
      <x:c r="L274" s="7" t="inlineStr">
        <x:is>
          <x:t xml:space="preserve"/>
        </x:is>
      </x:c>
      <x:c r="M274" s="6" t="inlineStr">
        <x:is>
          <x:t xml:space="preserve"/>
        </x:is>
      </x:c>
    </x:row>
    <x:row r="275" ht="35" customHeight="1">
      <x:c r="A275" s="7" t="inlineStr">
        <x:is>
          <x:t xml:space="preserve">P202605-0274</x:t>
        </x:is>
      </x:c>
      <x:c r="B275" s="7" t="n">
        <x:v>2026</x:v>
      </x:c>
      <x:c r="C275" s="7" t="inlineStr">
        <x:is>
          <x:t xml:space="preserve">May</x:t>
        </x:is>
      </x:c>
      <x:c r="D275" s="7" t="inlineStr">
        <x:is>
          <x:t xml:space="preserve">MCS34</x:t>
        </x:is>
      </x:c>
      <x:c r="E275" s="6" t="inlineStr">
        <x:is>
          <x:t xml:space="preserve">Physical Stock Count ,Reconciliation &amp; Valuation</x:t>
        </x:is>
      </x:c>
      <x:c r="F275" s="6" t="inlineStr">
        <x:is>
          <x:t xml:space="preserve">Yomi Jegede Zainab Yunusah Saadu</x:t>
        </x:is>
      </x:c>
      <x:c r="G275" s="6" t="inlineStr">
        <x:is>
          <x:t xml:space="preserve"/>
        </x:is>
      </x:c>
      <x:c r="H275" s="7" t="inlineStr">
        <x:is>
          <x:t xml:space="preserve">Operating Effectiveness</x:t>
        </x:is>
      </x:c>
      <x:c r="I275" s="7" t="inlineStr">
        <x:is>
          <x:t xml:space="preserve"/>
        </x:is>
      </x:c>
      <x:c r="J275" s="8" t="n">
        <x:v>46157</x:v>
      </x:c>
      <x:c r="K275" s="7" t="inlineStr">
        <x:is>
          <x:t xml:space="preserve">Not Started</x:t>
        </x:is>
      </x:c>
      <x:c r="L275" s="7" t="inlineStr">
        <x:is>
          <x:t xml:space="preserve"/>
        </x:is>
      </x:c>
      <x:c r="M275" s="6" t="inlineStr">
        <x:is>
          <x:t xml:space="preserve"/>
        </x:is>
      </x:c>
    </x:row>
    <x:row r="276" ht="35" customHeight="1">
      <x:c r="A276" s="7" t="inlineStr">
        <x:is>
          <x:t xml:space="preserve">P202605-0275</x:t>
        </x:is>
      </x:c>
      <x:c r="B276" s="7" t="n">
        <x:v>2026</x:v>
      </x:c>
      <x:c r="C276" s="7" t="inlineStr">
        <x:is>
          <x:t xml:space="preserve">May</x:t>
        </x:is>
      </x:c>
      <x:c r="D276" s="7" t="inlineStr">
        <x:is>
          <x:t xml:space="preserve">MCS35</x:t>
        </x:is>
      </x:c>
      <x:c r="E276" s="6" t="inlineStr">
        <x:is>
          <x:t xml:space="preserve">Inventory Documentation (IMPEX)</x:t>
        </x:is>
      </x:c>
      <x:c r="F276" s="6" t="inlineStr">
        <x:is>
          <x:t xml:space="preserve">Yomi Jegede Zainab Yunusah Saadu</x:t>
        </x:is>
      </x:c>
      <x:c r="G276" s="6" t="inlineStr">
        <x:is>
          <x:t xml:space="preserve"/>
        </x:is>
      </x:c>
      <x:c r="H276" s="7" t="inlineStr">
        <x:is>
          <x:t xml:space="preserve">Operating Effectiveness</x:t>
        </x:is>
      </x:c>
      <x:c r="I276" s="7" t="inlineStr">
        <x:is>
          <x:t xml:space="preserve"/>
        </x:is>
      </x:c>
      <x:c r="J276" s="8" t="n">
        <x:v>46157</x:v>
      </x:c>
      <x:c r="K276" s="7" t="inlineStr">
        <x:is>
          <x:t xml:space="preserve">Not Started</x:t>
        </x:is>
      </x:c>
      <x:c r="L276" s="7" t="inlineStr">
        <x:is>
          <x:t xml:space="preserve"/>
        </x:is>
      </x:c>
      <x:c r="M276" s="6" t="inlineStr">
        <x:is>
          <x:t xml:space="preserve"/>
        </x:is>
      </x:c>
    </x:row>
    <x:row r="277" ht="35" customHeight="1">
      <x:c r="A277" s="7" t="inlineStr">
        <x:is>
          <x:t xml:space="preserve">P202605-0276</x:t>
        </x:is>
      </x:c>
      <x:c r="B277" s="7" t="n">
        <x:v>2026</x:v>
      </x:c>
      <x:c r="C277" s="7" t="inlineStr">
        <x:is>
          <x:t xml:space="preserve">May</x:t>
        </x:is>
      </x:c>
      <x:c r="D277" s="7" t="inlineStr">
        <x:is>
          <x:t xml:space="preserve">MCS36</x:t>
        </x:is>
      </x:c>
      <x:c r="E277" s="6" t="inlineStr">
        <x:is>
          <x:t xml:space="preserve">Management of access to IT systems</x:t>
        </x:is>
      </x:c>
      <x:c r="F277" s="6" t="inlineStr">
        <x:is>
          <x:t xml:space="preserve">Theophilus Okolie </x:t>
        </x:is>
      </x:c>
      <x:c r="G277" s="6" t="inlineStr">
        <x:is>
          <x:t xml:space="preserve"/>
        </x:is>
      </x:c>
      <x:c r="H277" s="7" t="inlineStr">
        <x:is>
          <x:t xml:space="preserve">Operating Effectiveness</x:t>
        </x:is>
      </x:c>
      <x:c r="I277" s="7" t="inlineStr">
        <x:is>
          <x:t xml:space="preserve"/>
        </x:is>
      </x:c>
      <x:c r="J277" s="8" t="n">
        <x:v>46157</x:v>
      </x:c>
      <x:c r="K277" s="7" t="inlineStr">
        <x:is>
          <x:t xml:space="preserve">Not Started</x:t>
        </x:is>
      </x:c>
      <x:c r="L277" s="7" t="inlineStr">
        <x:is>
          <x:t xml:space="preserve"/>
        </x:is>
      </x:c>
      <x:c r="M277" s="6" t="inlineStr">
        <x:is>
          <x:t xml:space="preserve"/>
        </x:is>
      </x:c>
    </x:row>
    <x:row r="278" ht="35" customHeight="1">
      <x:c r="A278" s="7" t="inlineStr">
        <x:is>
          <x:t xml:space="preserve">P202605-0277</x:t>
        </x:is>
      </x:c>
      <x:c r="B278" s="7" t="n">
        <x:v>2026</x:v>
      </x:c>
      <x:c r="C278" s="7" t="inlineStr">
        <x:is>
          <x:t xml:space="preserve">May</x:t>
        </x:is>
      </x:c>
      <x:c r="D278" s="7" t="inlineStr">
        <x:is>
          <x:t xml:space="preserve">MCS37</x:t>
        </x:is>
      </x:c>
      <x:c r="E278" s="6" t="inlineStr">
        <x:is>
          <x:t xml:space="preserve">Review of IT user access rights to production IT systems</x:t>
        </x:is>
      </x:c>
      <x:c r="F278" s="6" t="inlineStr">
        <x:is>
          <x:t xml:space="preserve">Theophilus Okolie </x:t>
        </x:is>
      </x:c>
      <x:c r="G278" s="6" t="inlineStr">
        <x:is>
          <x:t xml:space="preserve"/>
        </x:is>
      </x:c>
      <x:c r="H278" s="7" t="inlineStr">
        <x:is>
          <x:t xml:space="preserve">Operating Effectiveness</x:t>
        </x:is>
      </x:c>
      <x:c r="I278" s="7" t="inlineStr">
        <x:is>
          <x:t xml:space="preserve"/>
        </x:is>
      </x:c>
      <x:c r="J278" s="8" t="n">
        <x:v>46157</x:v>
      </x:c>
      <x:c r="K278" s="7" t="inlineStr">
        <x:is>
          <x:t xml:space="preserve">Not Started</x:t>
        </x:is>
      </x:c>
      <x:c r="L278" s="7" t="inlineStr">
        <x:is>
          <x:t xml:space="preserve"/>
        </x:is>
      </x:c>
      <x:c r="M278" s="6" t="inlineStr">
        <x:is>
          <x:t xml:space="preserve"/>
        </x:is>
      </x:c>
    </x:row>
    <x:row r="279" ht="35" customHeight="1">
      <x:c r="A279" s="7" t="inlineStr">
        <x:is>
          <x:t xml:space="preserve">P202605-0278</x:t>
        </x:is>
      </x:c>
      <x:c r="B279" s="7" t="n">
        <x:v>2026</x:v>
      </x:c>
      <x:c r="C279" s="7" t="inlineStr">
        <x:is>
          <x:t xml:space="preserve">May</x:t>
        </x:is>
      </x:c>
      <x:c r="D279" s="7" t="inlineStr">
        <x:is>
          <x:t xml:space="preserve">MCS38</x:t>
        </x:is>
      </x:c>
      <x:c r="E279" s="6" t="inlineStr">
        <x:is>
          <x:t xml:space="preserve">Security configuration settings and batch job management</x:t>
        </x:is>
      </x:c>
      <x:c r="F279" s="6" t="inlineStr">
        <x:is>
          <x:t xml:space="preserve">Theophilus Okolie </x:t>
        </x:is>
      </x:c>
      <x:c r="G279" s="6" t="inlineStr">
        <x:is>
          <x:t xml:space="preserve"/>
        </x:is>
      </x:c>
      <x:c r="H279" s="7" t="inlineStr">
        <x:is>
          <x:t xml:space="preserve">Operating Effectiveness</x:t>
        </x:is>
      </x:c>
      <x:c r="I279" s="7" t="inlineStr">
        <x:is>
          <x:t xml:space="preserve"/>
        </x:is>
      </x:c>
      <x:c r="J279" s="8" t="n">
        <x:v>46157</x:v>
      </x:c>
      <x:c r="K279" s="7" t="inlineStr">
        <x:is>
          <x:t xml:space="preserve">Not Started</x:t>
        </x:is>
      </x:c>
      <x:c r="L279" s="7" t="inlineStr">
        <x:is>
          <x:t xml:space="preserve"/>
        </x:is>
      </x:c>
      <x:c r="M279" s="6" t="inlineStr">
        <x:is>
          <x:t xml:space="preserve"/>
        </x:is>
      </x:c>
    </x:row>
    <x:row r="280" ht="35" customHeight="1">
      <x:c r="A280" s="7" t="inlineStr">
        <x:is>
          <x:t xml:space="preserve">P202605-0279</x:t>
        </x:is>
      </x:c>
      <x:c r="B280" s="7" t="n">
        <x:v>2026</x:v>
      </x:c>
      <x:c r="C280" s="7" t="inlineStr">
        <x:is>
          <x:t xml:space="preserve">May</x:t>
        </x:is>
      </x:c>
      <x:c r="D280" s="7" t="inlineStr">
        <x:is>
          <x:t xml:space="preserve">MCS39</x:t>
        </x:is>
      </x:c>
      <x:c r="E280" s="6" t="inlineStr">
        <x:is>
          <x:t xml:space="preserve">Data backup, storage and restoration process</x:t>
        </x:is>
      </x:c>
      <x:c r="F280" s="6" t="inlineStr">
        <x:is>
          <x:t xml:space="preserve">Theophilus Okolie </x:t>
        </x:is>
      </x:c>
      <x:c r="G280" s="6" t="inlineStr">
        <x:is>
          <x:t xml:space="preserve"/>
        </x:is>
      </x:c>
      <x:c r="H280" s="7" t="inlineStr">
        <x:is>
          <x:t xml:space="preserve">Operating Effectiveness</x:t>
        </x:is>
      </x:c>
      <x:c r="I280" s="7" t="inlineStr">
        <x:is>
          <x:t xml:space="preserve"/>
        </x:is>
      </x:c>
      <x:c r="J280" s="8" t="n">
        <x:v>46157</x:v>
      </x:c>
      <x:c r="K280" s="7" t="inlineStr">
        <x:is>
          <x:t xml:space="preserve">Not Started</x:t>
        </x:is>
      </x:c>
      <x:c r="L280" s="7" t="inlineStr">
        <x:is>
          <x:t xml:space="preserve"/>
        </x:is>
      </x:c>
      <x:c r="M280" s="6" t="inlineStr">
        <x:is>
          <x:t xml:space="preserve"/>
        </x:is>
      </x:c>
    </x:row>
    <x:row r="281" ht="35" customHeight="1">
      <x:c r="A281" s="7" t="inlineStr">
        <x:is>
          <x:t xml:space="preserve">P202605-0280</x:t>
        </x:is>
      </x:c>
      <x:c r="B281" s="7" t="n">
        <x:v>2026</x:v>
      </x:c>
      <x:c r="C281" s="7" t="inlineStr">
        <x:is>
          <x:t xml:space="preserve">May</x:t>
        </x:is>
      </x:c>
      <x:c r="D281" s="7" t="inlineStr">
        <x:is>
          <x:t xml:space="preserve">MCS40</x:t>
        </x:is>
      </x:c>
      <x:c r="E281" s="6" t="inlineStr">
        <x:is>
          <x:t xml:space="preserve">Managing changes to IT systems</x:t>
        </x:is>
      </x:c>
      <x:c r="F281" s="6" t="inlineStr">
        <x:is>
          <x:t xml:space="preserve">Theophilus Okolie </x:t>
        </x:is>
      </x:c>
      <x:c r="G281" s="6" t="inlineStr">
        <x:is>
          <x:t xml:space="preserve"/>
        </x:is>
      </x:c>
      <x:c r="H281" s="7" t="inlineStr">
        <x:is>
          <x:t xml:space="preserve">Operating Effectiveness</x:t>
        </x:is>
      </x:c>
      <x:c r="I281" s="7" t="inlineStr">
        <x:is>
          <x:t xml:space="preserve"/>
        </x:is>
      </x:c>
      <x:c r="J281" s="8" t="n">
        <x:v>46157</x:v>
      </x:c>
      <x:c r="K281" s="7" t="inlineStr">
        <x:is>
          <x:t xml:space="preserve">Not Started</x:t>
        </x:is>
      </x:c>
      <x:c r="L281" s="7" t="inlineStr">
        <x:is>
          <x:t xml:space="preserve"/>
        </x:is>
      </x:c>
      <x:c r="M281" s="6" t="inlineStr">
        <x:is>
          <x:t xml:space="preserve"/>
        </x:is>
      </x:c>
    </x:row>
    <x:row r="282" ht="35" customHeight="1">
      <x:c r="A282" s="7" t="inlineStr">
        <x:is>
          <x:t xml:space="preserve">P202605-0281</x:t>
        </x:is>
      </x:c>
      <x:c r="B282" s="7" t="n">
        <x:v>2026</x:v>
      </x:c>
      <x:c r="C282" s="7" t="inlineStr">
        <x:is>
          <x:t xml:space="preserve">May</x:t>
        </x:is>
      </x:c>
      <x:c r="D282" s="7" t="inlineStr">
        <x:is>
          <x:t xml:space="preserve">MCS41</x:t>
        </x:is>
      </x:c>
      <x:c r="E282" s="6" t="inlineStr">
        <x:is>
          <x:t xml:space="preserve">Compliance with accounting and reporting standards</x:t>
        </x:is>
      </x:c>
      <x:c r="F282" s="6" t="inlineStr">
        <x:is>
          <x:t xml:space="preserve">Zainab Yunusah Saadu Daniel Banjo</x:t>
        </x:is>
      </x:c>
      <x:c r="G282" s="6" t="inlineStr">
        <x:is>
          <x:t xml:space="preserve"/>
        </x:is>
      </x:c>
      <x:c r="H282" s="7" t="inlineStr">
        <x:is>
          <x:t xml:space="preserve">Operating Effectiveness</x:t>
        </x:is>
      </x:c>
      <x:c r="I282" s="7" t="inlineStr">
        <x:is>
          <x:t xml:space="preserve"/>
        </x:is>
      </x:c>
      <x:c r="J282" s="8" t="n">
        <x:v>46157</x:v>
      </x:c>
      <x:c r="K282" s="7" t="inlineStr">
        <x:is>
          <x:t xml:space="preserve">Not Started</x:t>
        </x:is>
      </x:c>
      <x:c r="L282" s="7" t="inlineStr">
        <x:is>
          <x:t xml:space="preserve"/>
        </x:is>
      </x:c>
      <x:c r="M282" s="6" t="inlineStr">
        <x:is>
          <x:t xml:space="preserve"/>
        </x:is>
      </x:c>
    </x:row>
    <x:row r="283" ht="35" customHeight="1">
      <x:c r="A283" s="7" t="inlineStr">
        <x:is>
          <x:t xml:space="preserve">P202605-0282</x:t>
        </x:is>
      </x:c>
      <x:c r="B283" s="7" t="n">
        <x:v>2026</x:v>
      </x:c>
      <x:c r="C283" s="7" t="inlineStr">
        <x:is>
          <x:t xml:space="preserve">May</x:t>
        </x:is>
      </x:c>
      <x:c r="D283" s="7" t="inlineStr">
        <x:is>
          <x:t xml:space="preserve">MCS42</x:t>
        </x:is>
      </x:c>
      <x:c r="E283" s="6" t="inlineStr">
        <x:is>
          <x:t xml:space="preserve">Reconciliation of general ledger accounts</x:t>
        </x:is>
      </x:c>
      <x:c r="F283" s="6" t="inlineStr">
        <x:is>
          <x:t xml:space="preserve">Zainab Yunusah Saadu Daniel Banjo</x:t>
        </x:is>
      </x:c>
      <x:c r="G283" s="6" t="inlineStr">
        <x:is>
          <x:t xml:space="preserve"/>
        </x:is>
      </x:c>
      <x:c r="H283" s="7" t="inlineStr">
        <x:is>
          <x:t xml:space="preserve">Operating Effectiveness</x:t>
        </x:is>
      </x:c>
      <x:c r="I283" s="7" t="inlineStr">
        <x:is>
          <x:t xml:space="preserve"/>
        </x:is>
      </x:c>
      <x:c r="J283" s="8" t="n">
        <x:v>46157</x:v>
      </x:c>
      <x:c r="K283" s="7" t="inlineStr">
        <x:is>
          <x:t xml:space="preserve">Not Started</x:t>
        </x:is>
      </x:c>
      <x:c r="L283" s="7" t="inlineStr">
        <x:is>
          <x:t xml:space="preserve"/>
        </x:is>
      </x:c>
      <x:c r="M283" s="6" t="inlineStr">
        <x:is>
          <x:t xml:space="preserve"/>
        </x:is>
      </x:c>
    </x:row>
    <x:row r="284" ht="35" customHeight="1">
      <x:c r="A284" s="7" t="inlineStr">
        <x:is>
          <x:t xml:space="preserve">P202605-0283</x:t>
        </x:is>
      </x:c>
      <x:c r="B284" s="7" t="n">
        <x:v>2026</x:v>
      </x:c>
      <x:c r="C284" s="7" t="inlineStr">
        <x:is>
          <x:t xml:space="preserve">May</x:t>
        </x:is>
      </x:c>
      <x:c r="D284" s="7" t="inlineStr">
        <x:is>
          <x:t xml:space="preserve">MCS43</x:t>
        </x:is>
      </x:c>
      <x:c r="E284" s="6" t="inlineStr">
        <x:is>
          <x:t xml:space="preserve">Reconciliation of bank accounts</x:t>
        </x:is>
      </x:c>
      <x:c r="F284" s="6" t="inlineStr">
        <x:is>
          <x:t xml:space="preserve">Zainab Yunusah Saadu Daniel Banjo</x:t>
        </x:is>
      </x:c>
      <x:c r="G284" s="6" t="inlineStr">
        <x:is>
          <x:t xml:space="preserve"/>
        </x:is>
      </x:c>
      <x:c r="H284" s="7" t="inlineStr">
        <x:is>
          <x:t xml:space="preserve">Operating Effectiveness</x:t>
        </x:is>
      </x:c>
      <x:c r="I284" s="7" t="inlineStr">
        <x:is>
          <x:t xml:space="preserve"/>
        </x:is>
      </x:c>
      <x:c r="J284" s="8" t="n">
        <x:v>46157</x:v>
      </x:c>
      <x:c r="K284" s="7" t="inlineStr">
        <x:is>
          <x:t xml:space="preserve">Not Started</x:t>
        </x:is>
      </x:c>
      <x:c r="L284" s="7" t="inlineStr">
        <x:is>
          <x:t xml:space="preserve"/>
        </x:is>
      </x:c>
      <x:c r="M284" s="6" t="inlineStr">
        <x:is>
          <x:t xml:space="preserve"/>
        </x:is>
      </x:c>
    </x:row>
    <x:row r="285" ht="35" customHeight="1">
      <x:c r="A285" s="7" t="inlineStr">
        <x:is>
          <x:t xml:space="preserve">P202605-0284</x:t>
        </x:is>
      </x:c>
      <x:c r="B285" s="7" t="n">
        <x:v>2026</x:v>
      </x:c>
      <x:c r="C285" s="7" t="inlineStr">
        <x:is>
          <x:t xml:space="preserve">May</x:t>
        </x:is>
      </x:c>
      <x:c r="D285" s="7" t="inlineStr">
        <x:is>
          <x:t xml:space="preserve">MCS44</x:t>
        </x:is>
      </x:c>
      <x:c r="E285" s="6" t="inlineStr">
        <x:is>
          <x:t xml:space="preserve">Reconciliation of intercompany balances</x:t>
        </x:is>
      </x:c>
      <x:c r="F285" s="6" t="inlineStr">
        <x:is>
          <x:t xml:space="preserve">Zainab Yunusah Saadu Daniel Banjo</x:t>
        </x:is>
      </x:c>
      <x:c r="G285" s="6" t="inlineStr">
        <x:is>
          <x:t xml:space="preserve"/>
        </x:is>
      </x:c>
      <x:c r="H285" s="7" t="inlineStr">
        <x:is>
          <x:t xml:space="preserve">Operating Effectiveness</x:t>
        </x:is>
      </x:c>
      <x:c r="I285" s="7" t="inlineStr">
        <x:is>
          <x:t xml:space="preserve"/>
        </x:is>
      </x:c>
      <x:c r="J285" s="8" t="n">
        <x:v>46157</x:v>
      </x:c>
      <x:c r="K285" s="7" t="inlineStr">
        <x:is>
          <x:t xml:space="preserve">Not Started</x:t>
        </x:is>
      </x:c>
      <x:c r="L285" s="7" t="inlineStr">
        <x:is>
          <x:t xml:space="preserve"/>
        </x:is>
      </x:c>
      <x:c r="M285" s="6" t="inlineStr">
        <x:is>
          <x:t xml:space="preserve"/>
        </x:is>
      </x:c>
    </x:row>
    <x:row r="286" ht="35" customHeight="1">
      <x:c r="A286" s="7" t="inlineStr">
        <x:is>
          <x:t xml:space="preserve">P202605-0285</x:t>
        </x:is>
      </x:c>
      <x:c r="B286" s="7" t="n">
        <x:v>2026</x:v>
      </x:c>
      <x:c r="C286" s="7" t="inlineStr">
        <x:is>
          <x:t xml:space="preserve">May</x:t>
        </x:is>
      </x:c>
      <x:c r="D286" s="7" t="inlineStr">
        <x:is>
          <x:t xml:space="preserve">MCS45</x:t>
        </x:is>
      </x:c>
      <x:c r="E286" s="6" t="inlineStr">
        <x:is>
          <x:t xml:space="preserve">Manual journal entries</x:t>
        </x:is>
      </x:c>
      <x:c r="F286" s="6" t="inlineStr">
        <x:is>
          <x:t xml:space="preserve">Zainab Yunusah Saadu Daniel Banjo</x:t>
        </x:is>
      </x:c>
      <x:c r="G286" s="6" t="inlineStr">
        <x:is>
          <x:t xml:space="preserve"/>
        </x:is>
      </x:c>
      <x:c r="H286" s="7" t="inlineStr">
        <x:is>
          <x:t xml:space="preserve">Operating Effectiveness</x:t>
        </x:is>
      </x:c>
      <x:c r="I286" s="7" t="inlineStr">
        <x:is>
          <x:t xml:space="preserve"/>
        </x:is>
      </x:c>
      <x:c r="J286" s="8" t="n">
        <x:v>46157</x:v>
      </x:c>
      <x:c r="K286" s="7" t="inlineStr">
        <x:is>
          <x:t xml:space="preserve">Not Started</x:t>
        </x:is>
      </x:c>
      <x:c r="L286" s="7" t="inlineStr">
        <x:is>
          <x:t xml:space="preserve"/>
        </x:is>
      </x:c>
      <x:c r="M286" s="6" t="inlineStr">
        <x:is>
          <x:t xml:space="preserve"/>
        </x:is>
      </x:c>
    </x:row>
    <x:row r="287" ht="35" customHeight="1">
      <x:c r="A287" s="7" t="inlineStr">
        <x:is>
          <x:t xml:space="preserve">P202605-0286</x:t>
        </x:is>
      </x:c>
      <x:c r="B287" s="7" t="n">
        <x:v>2026</x:v>
      </x:c>
      <x:c r="C287" s="7" t="inlineStr">
        <x:is>
          <x:t xml:space="preserve">May</x:t>
        </x:is>
      </x:c>
      <x:c r="D287" s="7" t="inlineStr">
        <x:is>
          <x:t xml:space="preserve">MCS46</x:t>
        </x:is>
      </x:c>
      <x:c r="E287" s="6" t="inlineStr">
        <x:is>
          <x:t xml:space="preserve">Impairment of goodwill, intangible assets and tangible assets</x:t>
        </x:is>
      </x:c>
      <x:c r="F287" s="6" t="inlineStr">
        <x:is>
          <x:t xml:space="preserve">Zainab Yunusah Saadu Daniel Banjo</x:t>
        </x:is>
      </x:c>
      <x:c r="G287" s="6" t="inlineStr">
        <x:is>
          <x:t xml:space="preserve"/>
        </x:is>
      </x:c>
      <x:c r="H287" s="7" t="inlineStr">
        <x:is>
          <x:t xml:space="preserve">Operating Effectiveness</x:t>
        </x:is>
      </x:c>
      <x:c r="I287" s="7" t="inlineStr">
        <x:is>
          <x:t xml:space="preserve"/>
        </x:is>
      </x:c>
      <x:c r="J287" s="8" t="n">
        <x:v>46157</x:v>
      </x:c>
      <x:c r="K287" s="7" t="inlineStr">
        <x:is>
          <x:t xml:space="preserve">Not Started</x:t>
        </x:is>
      </x:c>
      <x:c r="L287" s="7" t="inlineStr">
        <x:is>
          <x:t xml:space="preserve"/>
        </x:is>
      </x:c>
      <x:c r="M287" s="6" t="inlineStr">
        <x:is>
          <x:t xml:space="preserve"/>
        </x:is>
      </x:c>
    </x:row>
    <x:row r="288" ht="35" customHeight="1">
      <x:c r="A288" s="7" t="inlineStr">
        <x:is>
          <x:t xml:space="preserve">P202605-0287</x:t>
        </x:is>
      </x:c>
      <x:c r="B288" s="7" t="n">
        <x:v>2026</x:v>
      </x:c>
      <x:c r="C288" s="7" t="inlineStr">
        <x:is>
          <x:t xml:space="preserve">May</x:t>
        </x:is>
      </x:c>
      <x:c r="D288" s="7" t="inlineStr">
        <x:is>
          <x:t xml:space="preserve">MCS47</x:t>
        </x:is>
      </x:c>
      <x:c r="E288" s="6" t="inlineStr">
        <x:is>
          <x:t xml:space="preserve">Transactions in a foreign currency</x:t>
        </x:is>
      </x:c>
      <x:c r="F288" s="6" t="inlineStr">
        <x:is>
          <x:t xml:space="preserve">Zainab Yunusah Saadu Daniel Banjo</x:t>
        </x:is>
      </x:c>
      <x:c r="G288" s="6" t="inlineStr">
        <x:is>
          <x:t xml:space="preserve"/>
        </x:is>
      </x:c>
      <x:c r="H288" s="7" t="inlineStr">
        <x:is>
          <x:t xml:space="preserve">Operating Effectiveness</x:t>
        </x:is>
      </x:c>
      <x:c r="I288" s="7" t="inlineStr">
        <x:is>
          <x:t xml:space="preserve"/>
        </x:is>
      </x:c>
      <x:c r="J288" s="8" t="n">
        <x:v>46157</x:v>
      </x:c>
      <x:c r="K288" s="7" t="inlineStr">
        <x:is>
          <x:t xml:space="preserve">Not Started</x:t>
        </x:is>
      </x:c>
      <x:c r="L288" s="7" t="inlineStr">
        <x:is>
          <x:t xml:space="preserve"/>
        </x:is>
      </x:c>
      <x:c r="M288" s="6" t="inlineStr">
        <x:is>
          <x:t xml:space="preserve"/>
        </x:is>
      </x:c>
    </x:row>
    <x:row r="289" ht="35" customHeight="1">
      <x:c r="A289" s="7" t="inlineStr">
        <x:is>
          <x:t xml:space="preserve">P202605-0288</x:t>
        </x:is>
      </x:c>
      <x:c r="B289" s="7" t="n">
        <x:v>2026</x:v>
      </x:c>
      <x:c r="C289" s="7" t="inlineStr">
        <x:is>
          <x:t xml:space="preserve">May</x:t>
        </x:is>
      </x:c>
      <x:c r="D289" s="7" t="inlineStr">
        <x:is>
          <x:t xml:space="preserve">MCS48</x:t>
        </x:is>
      </x:c>
      <x:c r="E289" s="6" t="inlineStr">
        <x:is>
          <x:t xml:space="preserve">Management of legal structure and consolidation hierarchy</x:t>
        </x:is>
      </x:c>
      <x:c r="F289" s="6" t="inlineStr">
        <x:is>
          <x:t xml:space="preserve">Zainab Yunusah Saadu Daniel Banjo</x:t>
        </x:is>
      </x:c>
      <x:c r="G289" s="6" t="inlineStr">
        <x:is>
          <x:t xml:space="preserve"/>
        </x:is>
      </x:c>
      <x:c r="H289" s="7" t="inlineStr">
        <x:is>
          <x:t xml:space="preserve">Operating Effectiveness</x:t>
        </x:is>
      </x:c>
      <x:c r="I289" s="7" t="inlineStr">
        <x:is>
          <x:t xml:space="preserve"/>
        </x:is>
      </x:c>
      <x:c r="J289" s="8" t="n">
        <x:v>46157</x:v>
      </x:c>
      <x:c r="K289" s="7" t="inlineStr">
        <x:is>
          <x:t xml:space="preserve">Not Started</x:t>
        </x:is>
      </x:c>
      <x:c r="L289" s="7" t="inlineStr">
        <x:is>
          <x:t xml:space="preserve"/>
        </x:is>
      </x:c>
      <x:c r="M289" s="6" t="inlineStr">
        <x:is>
          <x:t xml:space="preserve"/>
        </x:is>
      </x:c>
    </x:row>
    <x:row r="290" ht="35" customHeight="1">
      <x:c r="A290" s="7" t="inlineStr">
        <x:is>
          <x:t xml:space="preserve">P202605-0289</x:t>
        </x:is>
      </x:c>
      <x:c r="B290" s="7" t="n">
        <x:v>2026</x:v>
      </x:c>
      <x:c r="C290" s="7" t="inlineStr">
        <x:is>
          <x:t xml:space="preserve">May</x:t>
        </x:is>
      </x:c>
      <x:c r="D290" s="7" t="inlineStr">
        <x:is>
          <x:t xml:space="preserve">MCS49</x:t>
        </x:is>
      </x:c>
      <x:c r="E290" s="6" t="inlineStr">
        <x:is>
          <x:t xml:space="preserve">Consolidation of financial statement</x:t>
        </x:is>
      </x:c>
      <x:c r="F290" s="6" t="inlineStr">
        <x:is>
          <x:t xml:space="preserve">Zainab Yunusah Saadu Daniel Banjo</x:t>
        </x:is>
      </x:c>
      <x:c r="G290" s="6" t="inlineStr">
        <x:is>
          <x:t xml:space="preserve"/>
        </x:is>
      </x:c>
      <x:c r="H290" s="7" t="inlineStr">
        <x:is>
          <x:t xml:space="preserve">Operating Effectiveness</x:t>
        </x:is>
      </x:c>
      <x:c r="I290" s="7" t="inlineStr">
        <x:is>
          <x:t xml:space="preserve"/>
        </x:is>
      </x:c>
      <x:c r="J290" s="8" t="n">
        <x:v>46157</x:v>
      </x:c>
      <x:c r="K290" s="7" t="inlineStr">
        <x:is>
          <x:t xml:space="preserve">Not Started</x:t>
        </x:is>
      </x:c>
      <x:c r="L290" s="7" t="inlineStr">
        <x:is>
          <x:t xml:space="preserve"/>
        </x:is>
      </x:c>
      <x:c r="M290" s="6" t="inlineStr">
        <x:is>
          <x:t xml:space="preserve"/>
        </x:is>
      </x:c>
    </x:row>
    <x:row r="291" ht="35" customHeight="1">
      <x:c r="A291" s="7" t="inlineStr">
        <x:is>
          <x:t xml:space="preserve">P202605-0290</x:t>
        </x:is>
      </x:c>
      <x:c r="B291" s="7" t="n">
        <x:v>2026</x:v>
      </x:c>
      <x:c r="C291" s="7" t="inlineStr">
        <x:is>
          <x:t xml:space="preserve">May</x:t>
        </x:is>
      </x:c>
      <x:c r="D291" s="7" t="inlineStr">
        <x:is>
          <x:t xml:space="preserve">MCS50</x:t>
        </x:is>
      </x:c>
      <x:c r="E291" s="6" t="inlineStr">
        <x:is>
          <x:t xml:space="preserve">Statutory financial statements</x:t>
        </x:is>
      </x:c>
      <x:c r="F291" s="6" t="inlineStr">
        <x:is>
          <x:t xml:space="preserve">Zainab Yunusah Saadu Daniel Banjo</x:t>
        </x:is>
      </x:c>
      <x:c r="G291" s="6" t="inlineStr">
        <x:is>
          <x:t xml:space="preserve"/>
        </x:is>
      </x:c>
      <x:c r="H291" s="7" t="inlineStr">
        <x:is>
          <x:t xml:space="preserve">Operating Effectiveness</x:t>
        </x:is>
      </x:c>
      <x:c r="I291" s="7" t="inlineStr">
        <x:is>
          <x:t xml:space="preserve"/>
        </x:is>
      </x:c>
      <x:c r="J291" s="8" t="n">
        <x:v>46157</x:v>
      </x:c>
      <x:c r="K291" s="7" t="inlineStr">
        <x:is>
          <x:t xml:space="preserve">Not Started</x:t>
        </x:is>
      </x:c>
      <x:c r="L291" s="7" t="inlineStr">
        <x:is>
          <x:t xml:space="preserve"/>
        </x:is>
      </x:c>
      <x:c r="M291" s="6" t="inlineStr">
        <x:is>
          <x:t xml:space="preserve"/>
        </x:is>
      </x:c>
    </x:row>
    <x:row r="292" ht="35" customHeight="1">
      <x:c r="A292" s="7" t="inlineStr">
        <x:is>
          <x:t xml:space="preserve">P202605-0291</x:t>
        </x:is>
      </x:c>
      <x:c r="B292" s="7" t="n">
        <x:v>2026</x:v>
      </x:c>
      <x:c r="C292" s="7" t="inlineStr">
        <x:is>
          <x:t xml:space="preserve">May</x:t>
        </x:is>
      </x:c>
      <x:c r="D292" s="7" t="inlineStr">
        <x:is>
          <x:t xml:space="preserve">MCS51</x:t>
        </x:is>
      </x:c>
      <x:c r="E292" s="6" t="inlineStr">
        <x:is>
          <x:t xml:space="preserve">Tax risk assessment and reporting</x:t>
        </x:is>
      </x:c>
      <x:c r="F292" s="6" t="n"/>
      <x:c r="G292" s="6" t="inlineStr">
        <x:is>
          <x:t xml:space="preserve"/>
        </x:is>
      </x:c>
      <x:c r="H292" s="7" t="inlineStr">
        <x:is>
          <x:t xml:space="preserve">Operating Effectiveness</x:t>
        </x:is>
      </x:c>
      <x:c r="I292" s="7" t="inlineStr">
        <x:is>
          <x:t xml:space="preserve"/>
        </x:is>
      </x:c>
      <x:c r="J292" s="8" t="n">
        <x:v>46157</x:v>
      </x:c>
      <x:c r="K292" s="7" t="inlineStr">
        <x:is>
          <x:t xml:space="preserve">Not Started</x:t>
        </x:is>
      </x:c>
      <x:c r="L292" s="7" t="inlineStr">
        <x:is>
          <x:t xml:space="preserve"/>
        </x:is>
      </x:c>
      <x:c r="M292" s="6" t="inlineStr">
        <x:is>
          <x:t xml:space="preserve"/>
        </x:is>
      </x:c>
    </x:row>
    <x:row r="293" ht="35" customHeight="1">
      <x:c r="A293" s="7" t="inlineStr">
        <x:is>
          <x:t xml:space="preserve">P202605-0292</x:t>
        </x:is>
      </x:c>
      <x:c r="B293" s="7" t="n">
        <x:v>2026</x:v>
      </x:c>
      <x:c r="C293" s="7" t="inlineStr">
        <x:is>
          <x:t xml:space="preserve">May</x:t>
        </x:is>
      </x:c>
      <x:c r="D293" s="7" t="inlineStr">
        <x:is>
          <x:t xml:space="preserve">MCS52</x:t>
        </x:is>
      </x:c>
      <x:c r="E293" s="6" t="inlineStr">
        <x:is>
          <x:t xml:space="preserve">Tax filings and payments</x:t>
        </x:is>
      </x:c>
      <x:c r="F293" s="6" t="n"/>
      <x:c r="G293" s="6" t="inlineStr">
        <x:is>
          <x:t xml:space="preserve"/>
        </x:is>
      </x:c>
      <x:c r="H293" s="7" t="inlineStr">
        <x:is>
          <x:t xml:space="preserve">Operating Effectiveness</x:t>
        </x:is>
      </x:c>
      <x:c r="I293" s="7" t="inlineStr">
        <x:is>
          <x:t xml:space="preserve"/>
        </x:is>
      </x:c>
      <x:c r="J293" s="8" t="n">
        <x:v>46157</x:v>
      </x:c>
      <x:c r="K293" s="7" t="inlineStr">
        <x:is>
          <x:t xml:space="preserve">Not Started</x:t>
        </x:is>
      </x:c>
      <x:c r="L293" s="7" t="inlineStr">
        <x:is>
          <x:t xml:space="preserve"/>
        </x:is>
      </x:c>
      <x:c r="M293" s="6" t="inlineStr">
        <x:is>
          <x:t xml:space="preserve"/>
        </x:is>
      </x:c>
    </x:row>
    <x:row r="294" ht="35" customHeight="1">
      <x:c r="A294" s="7" t="inlineStr">
        <x:is>
          <x:t xml:space="preserve">P202605-0293</x:t>
        </x:is>
      </x:c>
      <x:c r="B294" s="7" t="n">
        <x:v>2026</x:v>
      </x:c>
      <x:c r="C294" s="7" t="inlineStr">
        <x:is>
          <x:t xml:space="preserve">May</x:t>
        </x:is>
      </x:c>
      <x:c r="D294" s="7" t="inlineStr">
        <x:is>
          <x:t xml:space="preserve">MCS53</x:t>
        </x:is>
      </x:c>
      <x:c r="E294" s="6" t="inlineStr">
        <x:is>
          <x:t xml:space="preserve">Deferred and current income tax calculations</x:t>
        </x:is>
      </x:c>
      <x:c r="F294" s="6" t="n"/>
      <x:c r="G294" s="6" t="inlineStr">
        <x:is>
          <x:t xml:space="preserve"/>
        </x:is>
      </x:c>
      <x:c r="H294" s="7" t="inlineStr">
        <x:is>
          <x:t xml:space="preserve">Operating Effectiveness</x:t>
        </x:is>
      </x:c>
      <x:c r="I294" s="7" t="inlineStr">
        <x:is>
          <x:t xml:space="preserve"/>
        </x:is>
      </x:c>
      <x:c r="J294" s="8" t="n">
        <x:v>46157</x:v>
      </x:c>
      <x:c r="K294" s="7" t="inlineStr">
        <x:is>
          <x:t xml:space="preserve">Not Started</x:t>
        </x:is>
      </x:c>
      <x:c r="L294" s="7" t="inlineStr">
        <x:is>
          <x:t xml:space="preserve"/>
        </x:is>
      </x:c>
      <x:c r="M294" s="6" t="inlineStr">
        <x:is>
          <x:t xml:space="preserve"/>
        </x:is>
      </x:c>
    </x:row>
    <x:row r="295" ht="35" customHeight="1">
      <x:c r="A295" s="7" t="inlineStr">
        <x:is>
          <x:t xml:space="preserve">P202605-0294</x:t>
        </x:is>
      </x:c>
      <x:c r="B295" s="7" t="n">
        <x:v>2026</x:v>
      </x:c>
      <x:c r="C295" s="7" t="inlineStr">
        <x:is>
          <x:t xml:space="preserve">May</x:t>
        </x:is>
      </x:c>
      <x:c r="D295" s="7" t="inlineStr">
        <x:is>
          <x:t xml:space="preserve">MCS54</x:t>
        </x:is>
      </x:c>
      <x:c r="E295" s="6" t="inlineStr">
        <x:is>
          <x:t xml:space="preserve">Transfer pricing</x:t>
        </x:is>
      </x:c>
      <x:c r="F295" s="6" t="n"/>
      <x:c r="G295" s="6" t="inlineStr">
        <x:is>
          <x:t xml:space="preserve"/>
        </x:is>
      </x:c>
      <x:c r="H295" s="7" t="inlineStr">
        <x:is>
          <x:t xml:space="preserve">Operating Effectiveness</x:t>
        </x:is>
      </x:c>
      <x:c r="I295" s="7" t="inlineStr">
        <x:is>
          <x:t xml:space="preserve"/>
        </x:is>
      </x:c>
      <x:c r="J295" s="8" t="n">
        <x:v>46157</x:v>
      </x:c>
      <x:c r="K295" s="7" t="inlineStr">
        <x:is>
          <x:t xml:space="preserve">Not Started</x:t>
        </x:is>
      </x:c>
      <x:c r="L295" s="7" t="inlineStr">
        <x:is>
          <x:t xml:space="preserve"/>
        </x:is>
      </x:c>
      <x:c r="M295" s="6" t="inlineStr">
        <x:is>
          <x:t xml:space="preserve"/>
        </x:is>
      </x:c>
    </x:row>
    <x:row r="296" ht="35" customHeight="1">
      <x:c r="A296" s="7" t="inlineStr">
        <x:is>
          <x:t xml:space="preserve">P202605-0295</x:t>
        </x:is>
      </x:c>
      <x:c r="B296" s="7" t="n">
        <x:v>2026</x:v>
      </x:c>
      <x:c r="C296" s="7" t="inlineStr">
        <x:is>
          <x:t xml:space="preserve">May</x:t>
        </x:is>
      </x:c>
      <x:c r="D296" s="7" t="inlineStr">
        <x:is>
          <x:t xml:space="preserve">MCS55</x:t>
        </x:is>
      </x:c>
      <x:c r="E296" s="6" t="inlineStr">
        <x:is>
          <x:t xml:space="preserve">Non-income (indirect) taxes</x:t>
        </x:is>
      </x:c>
      <x:c r="F296" s="6" t="n"/>
      <x:c r="G296" s="6" t="inlineStr">
        <x:is>
          <x:t xml:space="preserve"/>
        </x:is>
      </x:c>
      <x:c r="H296" s="7" t="inlineStr">
        <x:is>
          <x:t xml:space="preserve">Operating Effectiveness</x:t>
        </x:is>
      </x:c>
      <x:c r="I296" s="7" t="inlineStr">
        <x:is>
          <x:t xml:space="preserve"/>
        </x:is>
      </x:c>
      <x:c r="J296" s="8" t="n">
        <x:v>46157</x:v>
      </x:c>
      <x:c r="K296" s="7" t="inlineStr">
        <x:is>
          <x:t xml:space="preserve">Not Started</x:t>
        </x:is>
      </x:c>
      <x:c r="L296" s="7" t="inlineStr">
        <x:is>
          <x:t xml:space="preserve"/>
        </x:is>
      </x:c>
      <x:c r="M296" s="6" t="inlineStr">
        <x:is>
          <x:t xml:space="preserve"/>
        </x:is>
      </x:c>
    </x:row>
    <x:row r="297" ht="35" customHeight="1">
      <x:c r="A297" s="7" t="inlineStr">
        <x:is>
          <x:t xml:space="preserve">P202605-0296</x:t>
        </x:is>
      </x:c>
      <x:c r="B297" s="7" t="n">
        <x:v>2026</x:v>
      </x:c>
      <x:c r="C297" s="7" t="inlineStr">
        <x:is>
          <x:t xml:space="preserve">May</x:t>
        </x:is>
      </x:c>
      <x:c r="D297" s="7" t="inlineStr">
        <x:is>
          <x:t xml:space="preserve">MCS56</x:t>
        </x:is>
      </x:c>
      <x:c r="E297" s="6" t="inlineStr">
        <x:is>
          <x:t xml:space="preserve">Bank relations</x:t>
        </x:is>
      </x:c>
      <x:c r="F297" s="6" t="n"/>
      <x:c r="G297" s="6" t="inlineStr">
        <x:is>
          <x:t xml:space="preserve"/>
        </x:is>
      </x:c>
      <x:c r="H297" s="7" t="inlineStr">
        <x:is>
          <x:t xml:space="preserve">Operating Effectiveness</x:t>
        </x:is>
      </x:c>
      <x:c r="I297" s="7" t="inlineStr">
        <x:is>
          <x:t xml:space="preserve"/>
        </x:is>
      </x:c>
      <x:c r="J297" s="8" t="n">
        <x:v>46157</x:v>
      </x:c>
      <x:c r="K297" s="7" t="inlineStr">
        <x:is>
          <x:t xml:space="preserve">Not Started</x:t>
        </x:is>
      </x:c>
      <x:c r="L297" s="7" t="inlineStr">
        <x:is>
          <x:t xml:space="preserve"/>
        </x:is>
      </x:c>
      <x:c r="M297" s="6" t="inlineStr">
        <x:is>
          <x:t xml:space="preserve"/>
        </x:is>
      </x:c>
    </x:row>
    <x:row r="298" ht="35" customHeight="1">
      <x:c r="A298" s="7" t="inlineStr">
        <x:is>
          <x:t xml:space="preserve">P202605-0297</x:t>
        </x:is>
      </x:c>
      <x:c r="B298" s="7" t="n">
        <x:v>2026</x:v>
      </x:c>
      <x:c r="C298" s="7" t="inlineStr">
        <x:is>
          <x:t xml:space="preserve">May</x:t>
        </x:is>
      </x:c>
      <x:c r="D298" s="7" t="inlineStr">
        <x:is>
          <x:t xml:space="preserve">MCS57</x:t>
        </x:is>
      </x:c>
      <x:c r="E298" s="6" t="inlineStr">
        <x:is>
          <x:t xml:space="preserve">Cash transactions are not permitted without Regional Controller approval</x:t>
        </x:is>
      </x:c>
      <x:c r="F298" s="6" t="n"/>
      <x:c r="G298" s="6" t="inlineStr">
        <x:is>
          <x:t xml:space="preserve"/>
        </x:is>
      </x:c>
      <x:c r="H298" s="7" t="inlineStr">
        <x:is>
          <x:t xml:space="preserve">Operating Effectiveness</x:t>
        </x:is>
      </x:c>
      <x:c r="I298" s="7" t="inlineStr">
        <x:is>
          <x:t xml:space="preserve"/>
        </x:is>
      </x:c>
      <x:c r="J298" s="8" t="n">
        <x:v>46157</x:v>
      </x:c>
      <x:c r="K298" s="7" t="inlineStr">
        <x:is>
          <x:t xml:space="preserve">Not Started</x:t>
        </x:is>
      </x:c>
      <x:c r="L298" s="7" t="inlineStr">
        <x:is>
          <x:t xml:space="preserve"/>
        </x:is>
      </x:c>
      <x:c r="M298" s="6" t="inlineStr">
        <x:is>
          <x:t xml:space="preserve"/>
        </x:is>
      </x:c>
    </x:row>
    <x:row r="299" ht="35" customHeight="1">
      <x:c r="A299" s="7" t="inlineStr">
        <x:is>
          <x:t xml:space="preserve">P202605-0298</x:t>
        </x:is>
      </x:c>
      <x:c r="B299" s="7" t="n">
        <x:v>2026</x:v>
      </x:c>
      <x:c r="C299" s="7" t="inlineStr">
        <x:is>
          <x:t xml:space="preserve">May</x:t>
        </x:is>
      </x:c>
      <x:c r="D299" s="7" t="inlineStr">
        <x:is>
          <x:t xml:space="preserve">MCS58</x:t>
        </x:is>
      </x:c>
      <x:c r="E299" s="6" t="inlineStr">
        <x:is>
          <x:t xml:space="preserve">Secure payment means</x:t>
        </x:is>
      </x:c>
      <x:c r="F299" s="6" t="n"/>
      <x:c r="G299" s="6" t="inlineStr">
        <x:is>
          <x:t xml:space="preserve"/>
        </x:is>
      </x:c>
      <x:c r="H299" s="7" t="inlineStr">
        <x:is>
          <x:t xml:space="preserve">Operating Effectiveness</x:t>
        </x:is>
      </x:c>
      <x:c r="I299" s="7" t="inlineStr">
        <x:is>
          <x:t xml:space="preserve"/>
        </x:is>
      </x:c>
      <x:c r="J299" s="8" t="n">
        <x:v>46157</x:v>
      </x:c>
      <x:c r="K299" s="7" t="inlineStr">
        <x:is>
          <x:t xml:space="preserve">Not Started</x:t>
        </x:is>
      </x:c>
      <x:c r="L299" s="7" t="inlineStr">
        <x:is>
          <x:t xml:space="preserve"/>
        </x:is>
      </x:c>
      <x:c r="M299" s="6" t="inlineStr">
        <x:is>
          <x:t xml:space="preserve"/>
        </x:is>
      </x:c>
    </x:row>
    <x:row r="300" ht="35" customHeight="1">
      <x:c r="A300" s="7" t="inlineStr">
        <x:is>
          <x:t xml:space="preserve">P202605-0299</x:t>
        </x:is>
      </x:c>
      <x:c r="B300" s="7" t="n">
        <x:v>2026</x:v>
      </x:c>
      <x:c r="C300" s="7" t="inlineStr">
        <x:is>
          <x:t xml:space="preserve">May</x:t>
        </x:is>
      </x:c>
      <x:c r="D300" s="7" t="inlineStr">
        <x:is>
          <x:t xml:space="preserve">MCS59</x:t>
        </x:is>
      </x:c>
      <x:c r="E300" s="6" t="inlineStr">
        <x:is>
          <x:t xml:space="preserve">Financial instruments, borrowings, commitments and working capital schemes</x:t>
        </x:is>
      </x:c>
      <x:c r="F300" s="6" t="n"/>
      <x:c r="G300" s="6" t="inlineStr">
        <x:is>
          <x:t xml:space="preserve"/>
        </x:is>
      </x:c>
      <x:c r="H300" s="7" t="inlineStr">
        <x:is>
          <x:t xml:space="preserve">Operating Effectiveness</x:t>
        </x:is>
      </x:c>
      <x:c r="I300" s="7" t="inlineStr">
        <x:is>
          <x:t xml:space="preserve"/>
        </x:is>
      </x:c>
      <x:c r="J300" s="8" t="n">
        <x:v>46157</x:v>
      </x:c>
      <x:c r="K300" s="7" t="inlineStr">
        <x:is>
          <x:t xml:space="preserve">Not Started</x:t>
        </x:is>
      </x:c>
      <x:c r="L300" s="7" t="inlineStr">
        <x:is>
          <x:t xml:space="preserve"/>
        </x:is>
      </x:c>
      <x:c r="M300" s="6" t="inlineStr">
        <x:is>
          <x:t xml:space="preserve"/>
        </x:is>
      </x:c>
    </x:row>
    <x:row r="301" ht="35" customHeight="1">
      <x:c r="A301" s="7" t="inlineStr">
        <x:is>
          <x:t xml:space="preserve">P202605-0300</x:t>
        </x:is>
      </x:c>
      <x:c r="B301" s="7" t="n">
        <x:v>2026</x:v>
      </x:c>
      <x:c r="C301" s="7" t="inlineStr">
        <x:is>
          <x:t xml:space="preserve">May</x:t>
        </x:is>
      </x:c>
      <x:c r="D301" s="7" t="inlineStr">
        <x:is>
          <x:t xml:space="preserve">MCS60</x:t>
        </x:is>
      </x:c>
      <x:c r="E301" s="6" t="inlineStr">
        <x:is>
          <x:t xml:space="preserve">Forex, interest rate, commodities risks monitoring and hedging</x:t>
        </x:is>
      </x:c>
      <x:c r="F301" s="6" t="n"/>
      <x:c r="G301" s="6" t="inlineStr">
        <x:is>
          <x:t xml:space="preserve"/>
        </x:is>
      </x:c>
      <x:c r="H301" s="7" t="inlineStr">
        <x:is>
          <x:t xml:space="preserve">Operating Effectiveness</x:t>
        </x:is>
      </x:c>
      <x:c r="I301" s="7" t="inlineStr">
        <x:is>
          <x:t xml:space="preserve"/>
        </x:is>
      </x:c>
      <x:c r="J301" s="8" t="n">
        <x:v>46157</x:v>
      </x:c>
      <x:c r="K301" s="7" t="inlineStr">
        <x:is>
          <x:t xml:space="preserve">Not Started</x:t>
        </x:is>
      </x:c>
      <x:c r="L301" s="7" t="inlineStr">
        <x:is>
          <x:t xml:space="preserve"/>
        </x:is>
      </x:c>
      <x:c r="M301" s="6" t="inlineStr">
        <x:is>
          <x:t xml:space="preserve"/>
        </x:is>
      </x:c>
    </x:row>
    <x:row r="302" ht="35" customHeight="1">
      <x:c r="A302" s="7" t="inlineStr">
        <x:is>
          <x:t xml:space="preserve">P202606-0301</x:t>
        </x:is>
      </x:c>
      <x:c r="B302" s="7" t="n">
        <x:v>2026</x:v>
      </x:c>
      <x:c r="C302" s="7" t="inlineStr">
        <x:is>
          <x:t xml:space="preserve">Jun</x:t>
        </x:is>
      </x:c>
      <x:c r="D302" s="7" t="inlineStr">
        <x:is>
          <x:t xml:space="preserve">MCS01</x:t>
        </x:is>
      </x:c>
      <x:c r="E302" s="6" t="inlineStr">
        <x:is>
          <x:t xml:space="preserve">Communication and promotion of the Code of Business Conduct and speak-up culture</x:t>
        </x:is>
      </x:c>
      <x:c r="F302" s="6" t="inlineStr">
        <x:is>
          <x:t xml:space="preserve">Omoyemi Tuga Olamide Ayo-Ogunlade </x:t>
        </x:is>
      </x:c>
      <x:c r="G302" s="6" t="inlineStr">
        <x:is>
          <x:t xml:space="preserve"/>
        </x:is>
      </x:c>
      <x:c r="H302" s="7" t="inlineStr">
        <x:is>
          <x:t xml:space="preserve">Operating Effectiveness</x:t>
        </x:is>
      </x:c>
      <x:c r="I302" s="7" t="inlineStr">
        <x:is>
          <x:t xml:space="preserve"/>
        </x:is>
      </x:c>
      <x:c r="J302" s="8" t="n">
        <x:v>46188</x:v>
      </x:c>
      <x:c r="K302" s="7" t="inlineStr">
        <x:is>
          <x:t xml:space="preserve">Not Started</x:t>
        </x:is>
      </x:c>
      <x:c r="L302" s="7" t="inlineStr">
        <x:is>
          <x:t xml:space="preserve"/>
        </x:is>
      </x:c>
      <x:c r="M302" s="6" t="inlineStr">
        <x:is>
          <x:t xml:space="preserve"/>
        </x:is>
      </x:c>
    </x:row>
    <x:row r="303" ht="35" customHeight="1">
      <x:c r="A303" s="7" t="inlineStr">
        <x:is>
          <x:t xml:space="preserve">P202606-0302</x:t>
        </x:is>
      </x:c>
      <x:c r="B303" s="7" t="n">
        <x:v>2026</x:v>
      </x:c>
      <x:c r="C303" s="7" t="inlineStr">
        <x:is>
          <x:t xml:space="preserve">Jun</x:t>
        </x:is>
      </x:c>
      <x:c r="D303" s="7" t="inlineStr">
        <x:is>
          <x:t xml:space="preserve">MCS02</x:t>
        </x:is>
      </x:c>
      <x:c r="E303" s="6" t="inlineStr">
        <x:is>
          <x:t xml:space="preserve">Compliance with Fair Competition laws and requirements</x:t>
        </x:is>
      </x:c>
      <x:c r="F303" s="6" t="inlineStr">
        <x:is>
          <x:t xml:space="preserve">Mary Waititu</x:t>
        </x:is>
      </x:c>
      <x:c r="G303" s="6" t="inlineStr">
        <x:is>
          <x:t xml:space="preserve"/>
        </x:is>
      </x:c>
      <x:c r="H303" s="7" t="inlineStr">
        <x:is>
          <x:t xml:space="preserve">Operating Effectiveness</x:t>
        </x:is>
      </x:c>
      <x:c r="I303" s="7" t="inlineStr">
        <x:is>
          <x:t xml:space="preserve"/>
        </x:is>
      </x:c>
      <x:c r="J303" s="8" t="n">
        <x:v>46188</x:v>
      </x:c>
      <x:c r="K303" s="7" t="inlineStr">
        <x:is>
          <x:t xml:space="preserve">Not Started</x:t>
        </x:is>
      </x:c>
      <x:c r="L303" s="7" t="inlineStr">
        <x:is>
          <x:t xml:space="preserve"/>
        </x:is>
      </x:c>
      <x:c r="M303" s="6" t="inlineStr">
        <x:is>
          <x:t xml:space="preserve"/>
        </x:is>
      </x:c>
    </x:row>
    <x:row r="304" ht="35" customHeight="1">
      <x:c r="A304" s="7" t="inlineStr">
        <x:is>
          <x:t xml:space="preserve">P202606-0303</x:t>
        </x:is>
      </x:c>
      <x:c r="B304" s="7" t="n">
        <x:v>2026</x:v>
      </x:c>
      <x:c r="C304" s="7" t="inlineStr">
        <x:is>
          <x:t xml:space="preserve">Jun</x:t>
        </x:is>
      </x:c>
      <x:c r="D304" s="7" t="inlineStr">
        <x:is>
          <x:t xml:space="preserve">MCS03</x:t>
        </x:is>
      </x:c>
      <x:c r="E304" s="6" t="inlineStr">
        <x:is>
          <x:t xml:space="preserve">Related party transactions and conflict of interests</x:t>
        </x:is>
      </x:c>
      <x:c r="F304" s="6" t="inlineStr">
        <x:is>
          <x:t xml:space="preserve">Mary Waititu Godson Iwuozo</x:t>
        </x:is>
      </x:c>
      <x:c r="G304" s="6" t="inlineStr">
        <x:is>
          <x:t xml:space="preserve"/>
        </x:is>
      </x:c>
      <x:c r="H304" s="7" t="inlineStr">
        <x:is>
          <x:t xml:space="preserve">Operating Effectiveness</x:t>
        </x:is>
      </x:c>
      <x:c r="I304" s="7" t="inlineStr">
        <x:is>
          <x:t xml:space="preserve"/>
        </x:is>
      </x:c>
      <x:c r="J304" s="8" t="n">
        <x:v>46188</x:v>
      </x:c>
      <x:c r="K304" s="7" t="inlineStr">
        <x:is>
          <x:t xml:space="preserve">Not Started</x:t>
        </x:is>
      </x:c>
      <x:c r="L304" s="7" t="inlineStr">
        <x:is>
          <x:t xml:space="preserve"/>
        </x:is>
      </x:c>
      <x:c r="M304" s="6" t="inlineStr">
        <x:is>
          <x:t xml:space="preserve"/>
        </x:is>
      </x:c>
    </x:row>
    <x:row r="305" ht="35" customHeight="1">
      <x:c r="A305" s="7" t="inlineStr">
        <x:is>
          <x:t xml:space="preserve">P202606-0304</x:t>
        </x:is>
      </x:c>
      <x:c r="B305" s="7" t="n">
        <x:v>2026</x:v>
      </x:c>
      <x:c r="C305" s="7" t="inlineStr">
        <x:is>
          <x:t xml:space="preserve">Jun</x:t>
        </x:is>
      </x:c>
      <x:c r="D305" s="7" t="inlineStr">
        <x:is>
          <x:t xml:space="preserve">MCS04</x:t>
        </x:is>
      </x:c>
      <x:c r="E305" s="6" t="inlineStr">
        <x:is>
          <x:t xml:space="preserve">Board of Directors secretarial requirements</x:t>
        </x:is>
      </x:c>
      <x:c r="F305" s="6" t="inlineStr">
        <x:is>
          <x:t xml:space="preserve">Mary Waititu Godson Iwuozo</x:t>
        </x:is>
      </x:c>
      <x:c r="G305" s="6" t="inlineStr">
        <x:is>
          <x:t xml:space="preserve"/>
        </x:is>
      </x:c>
      <x:c r="H305" s="7" t="inlineStr">
        <x:is>
          <x:t xml:space="preserve">Operating Effectiveness</x:t>
        </x:is>
      </x:c>
      <x:c r="I305" s="7" t="inlineStr">
        <x:is>
          <x:t xml:space="preserve"/>
        </x:is>
      </x:c>
      <x:c r="J305" s="8" t="n">
        <x:v>46188</x:v>
      </x:c>
      <x:c r="K305" s="7" t="inlineStr">
        <x:is>
          <x:t xml:space="preserve">Not Started</x:t>
        </x:is>
      </x:c>
      <x:c r="L305" s="7" t="inlineStr">
        <x:is>
          <x:t xml:space="preserve"/>
        </x:is>
      </x:c>
      <x:c r="M305" s="6" t="inlineStr">
        <x:is>
          <x:t xml:space="preserve"/>
        </x:is>
      </x:c>
    </x:row>
    <x:row r="306" ht="35" customHeight="1">
      <x:c r="A306" s="7" t="inlineStr">
        <x:is>
          <x:t xml:space="preserve">P202606-0305</x:t>
        </x:is>
      </x:c>
      <x:c r="B306" s="7" t="n">
        <x:v>2026</x:v>
      </x:c>
      <x:c r="C306" s="7" t="inlineStr">
        <x:is>
          <x:t xml:space="preserve">Jun</x:t>
        </x:is>
      </x:c>
      <x:c r="D306" s="7" t="inlineStr">
        <x:is>
          <x:t xml:space="preserve">MCS05</x:t>
        </x:is>
      </x:c>
      <x:c r="E306" s="6" t="inlineStr">
        <x:is>
          <x:t xml:space="preserve">Health, Safety &amp; Environment</x:t>
        </x:is>
      </x:c>
      <x:c r="F306" s="6" t="inlineStr">
        <x:is>
          <x:t xml:space="preserve">Omoyemi Tuga Yomi Jegede</x:t>
        </x:is>
      </x:c>
      <x:c r="G306" s="6" t="inlineStr">
        <x:is>
          <x:t xml:space="preserve"/>
        </x:is>
      </x:c>
      <x:c r="H306" s="7" t="inlineStr">
        <x:is>
          <x:t xml:space="preserve">Operating Effectiveness</x:t>
        </x:is>
      </x:c>
      <x:c r="I306" s="7" t="inlineStr">
        <x:is>
          <x:t xml:space="preserve"/>
        </x:is>
      </x:c>
      <x:c r="J306" s="8" t="n">
        <x:v>46188</x:v>
      </x:c>
      <x:c r="K306" s="7" t="inlineStr">
        <x:is>
          <x:t xml:space="preserve">Not Started</x:t>
        </x:is>
      </x:c>
      <x:c r="L306" s="7" t="inlineStr">
        <x:is>
          <x:t xml:space="preserve"/>
        </x:is>
      </x:c>
      <x:c r="M306" s="6" t="inlineStr">
        <x:is>
          <x:t xml:space="preserve"/>
        </x:is>
      </x:c>
    </x:row>
    <x:row r="307" ht="35" customHeight="1">
      <x:c r="A307" s="7" t="inlineStr">
        <x:is>
          <x:t xml:space="preserve">P202606-0306</x:t>
        </x:is>
      </x:c>
      <x:c r="B307" s="7" t="n">
        <x:v>2026</x:v>
      </x:c>
      <x:c r="C307" s="7" t="inlineStr">
        <x:is>
          <x:t xml:space="preserve">Jun</x:t>
        </x:is>
      </x:c>
      <x:c r="D307" s="7" t="inlineStr">
        <x:is>
          <x:t xml:space="preserve">MCS06</x:t>
        </x:is>
      </x:c>
      <x:c r="E307" s="6" t="inlineStr">
        <x:is>
          <x:t xml:space="preserve">Risk assessment</x:t>
        </x:is>
      </x:c>
      <x:c r="F307" s="6" t="inlineStr">
        <x:is>
          <x:t xml:space="preserve">Oluwaseun Oyedepo</x:t>
        </x:is>
      </x:c>
      <x:c r="G307" s="6" t="inlineStr">
        <x:is>
          <x:t xml:space="preserve"/>
        </x:is>
      </x:c>
      <x:c r="H307" s="7" t="inlineStr">
        <x:is>
          <x:t xml:space="preserve">Operating Effectiveness</x:t>
        </x:is>
      </x:c>
      <x:c r="I307" s="7" t="inlineStr">
        <x:is>
          <x:t xml:space="preserve"/>
        </x:is>
      </x:c>
      <x:c r="J307" s="8" t="n">
        <x:v>46188</x:v>
      </x:c>
      <x:c r="K307" s="7" t="inlineStr">
        <x:is>
          <x:t xml:space="preserve">Not Started</x:t>
        </x:is>
      </x:c>
      <x:c r="L307" s="7" t="inlineStr">
        <x:is>
          <x:t xml:space="preserve"/>
        </x:is>
      </x:c>
      <x:c r="M307" s="6" t="inlineStr">
        <x:is>
          <x:t xml:space="preserve"/>
        </x:is>
      </x:c>
    </x:row>
    <x:row r="308" ht="35" customHeight="1">
      <x:c r="A308" s="7" t="inlineStr">
        <x:is>
          <x:t xml:space="preserve">P202606-0307</x:t>
        </x:is>
      </x:c>
      <x:c r="B308" s="7" t="n">
        <x:v>2026</x:v>
      </x:c>
      <x:c r="C308" s="7" t="inlineStr">
        <x:is>
          <x:t xml:space="preserve">Jun</x:t>
        </x:is>
      </x:c>
      <x:c r="D308" s="7" t="inlineStr">
        <x:is>
          <x:t xml:space="preserve">MCS07</x:t>
        </x:is>
      </x:c>
      <x:c r="E308" s="6" t="inlineStr">
        <x:is>
          <x:t xml:space="preserve">Mitigation of business risks - Security</x:t>
        </x:is>
      </x:c>
      <x:c r="F308" s="6" t="inlineStr">
        <x:is>
          <x:t xml:space="preserve">Olamide Ayo-Ogunlade Obinna Ojimba</x:t>
        </x:is>
      </x:c>
      <x:c r="G308" s="6" t="inlineStr">
        <x:is>
          <x:t xml:space="preserve"/>
        </x:is>
      </x:c>
      <x:c r="H308" s="7" t="inlineStr">
        <x:is>
          <x:t xml:space="preserve">Operating Effectiveness</x:t>
        </x:is>
      </x:c>
      <x:c r="I308" s="7" t="inlineStr">
        <x:is>
          <x:t xml:space="preserve"/>
        </x:is>
      </x:c>
      <x:c r="J308" s="8" t="n">
        <x:v>46188</x:v>
      </x:c>
      <x:c r="K308" s="7" t="inlineStr">
        <x:is>
          <x:t xml:space="preserve">Not Started</x:t>
        </x:is>
      </x:c>
      <x:c r="L308" s="7" t="inlineStr">
        <x:is>
          <x:t xml:space="preserve"/>
        </x:is>
      </x:c>
      <x:c r="M308" s="6" t="inlineStr">
        <x:is>
          <x:t xml:space="preserve"/>
        </x:is>
      </x:c>
    </x:row>
    <x:row r="309" ht="35" customHeight="1">
      <x:c r="A309" s="7" t="inlineStr">
        <x:is>
          <x:t xml:space="preserve">P202606-0308</x:t>
        </x:is>
      </x:c>
      <x:c r="B309" s="7" t="n">
        <x:v>2026</x:v>
      </x:c>
      <x:c r="C309" s="7" t="inlineStr">
        <x:is>
          <x:t xml:space="preserve">Jun</x:t>
        </x:is>
      </x:c>
      <x:c r="D309" s="7" t="inlineStr">
        <x:is>
          <x:t xml:space="preserve">MCS08</x:t>
        </x:is>
      </x:c>
      <x:c r="E309" s="6" t="inlineStr">
        <x:is>
          <x:t xml:space="preserve">Mitigation of business risks - Group insurance</x:t>
        </x:is>
      </x:c>
      <x:c r="F309" s="6" t="inlineStr">
        <x:is>
          <x:t xml:space="preserve">Victory Olumuyiwa</x:t>
        </x:is>
      </x:c>
      <x:c r="G309" s="6" t="inlineStr">
        <x:is>
          <x:t xml:space="preserve"/>
        </x:is>
      </x:c>
      <x:c r="H309" s="7" t="inlineStr">
        <x:is>
          <x:t xml:space="preserve">Operating Effectiveness</x:t>
        </x:is>
      </x:c>
      <x:c r="I309" s="7" t="inlineStr">
        <x:is>
          <x:t xml:space="preserve"/>
        </x:is>
      </x:c>
      <x:c r="J309" s="8" t="n">
        <x:v>46188</x:v>
      </x:c>
      <x:c r="K309" s="7" t="inlineStr">
        <x:is>
          <x:t xml:space="preserve">Not Started</x:t>
        </x:is>
      </x:c>
      <x:c r="L309" s="7" t="inlineStr">
        <x:is>
          <x:t xml:space="preserve"/>
        </x:is>
      </x:c>
      <x:c r="M309" s="6" t="inlineStr">
        <x:is>
          <x:t xml:space="preserve"/>
        </x:is>
      </x:c>
    </x:row>
    <x:row r="310" ht="35" customHeight="1">
      <x:c r="A310" s="7" t="inlineStr">
        <x:is>
          <x:t xml:space="preserve">P202606-0309</x:t>
        </x:is>
      </x:c>
      <x:c r="B310" s="7" t="n">
        <x:v>2026</x:v>
      </x:c>
      <x:c r="C310" s="7" t="inlineStr">
        <x:is>
          <x:t xml:space="preserve">Jun</x:t>
        </x:is>
      </x:c>
      <x:c r="D310" s="7" t="inlineStr">
        <x:is>
          <x:t xml:space="preserve">MCS09</x:t>
        </x:is>
      </x:c>
      <x:c r="E310" s="6" t="inlineStr">
        <x:is>
          <x:t xml:space="preserve">Mitigation of business risks - Business Resilience System</x:t>
        </x:is>
      </x:c>
      <x:c r="F310" s="6" t="inlineStr">
        <x:is>
          <x:t xml:space="preserve">Oluwaseun Oyedepo</x:t>
        </x:is>
      </x:c>
      <x:c r="G310" s="6" t="inlineStr">
        <x:is>
          <x:t xml:space="preserve"/>
        </x:is>
      </x:c>
      <x:c r="H310" s="7" t="inlineStr">
        <x:is>
          <x:t xml:space="preserve">Operating Effectiveness</x:t>
        </x:is>
      </x:c>
      <x:c r="I310" s="7" t="inlineStr">
        <x:is>
          <x:t xml:space="preserve"/>
        </x:is>
      </x:c>
      <x:c r="J310" s="8" t="n">
        <x:v>46188</x:v>
      </x:c>
      <x:c r="K310" s="7" t="inlineStr">
        <x:is>
          <x:t xml:space="preserve">Not Started</x:t>
        </x:is>
      </x:c>
      <x:c r="L310" s="7" t="inlineStr">
        <x:is>
          <x:t xml:space="preserve"/>
        </x:is>
      </x:c>
      <x:c r="M310" s="6" t="inlineStr">
        <x:is>
          <x:t xml:space="preserve"/>
        </x:is>
      </x:c>
    </x:row>
    <x:row r="311" ht="35" customHeight="1">
      <x:c r="A311" s="7" t="inlineStr">
        <x:is>
          <x:t xml:space="preserve">P202606-0310</x:t>
        </x:is>
      </x:c>
      <x:c r="B311" s="7" t="n">
        <x:v>2026</x:v>
      </x:c>
      <x:c r="C311" s="7" t="inlineStr">
        <x:is>
          <x:t xml:space="preserve">Jun</x:t>
        </x:is>
      </x:c>
      <x:c r="D311" s="7" t="inlineStr">
        <x:is>
          <x:t xml:space="preserve">MCS10</x:t>
        </x:is>
      </x:c>
      <x:c r="E311" s="6" t="inlineStr">
        <x:is>
          <x:t xml:space="preserve">Mitigation of business risks - Remediation of deficiencies and non-compliance with MCS</x:t>
        </x:is>
      </x:c>
      <x:c r="F311" s="6" t="inlineStr">
        <x:is>
          <x:t xml:space="preserve">Oluwaseun Oyedepo</x:t>
        </x:is>
      </x:c>
      <x:c r="G311" s="6" t="inlineStr">
        <x:is>
          <x:t xml:space="preserve"/>
        </x:is>
      </x:c>
      <x:c r="H311" s="7" t="inlineStr">
        <x:is>
          <x:t xml:space="preserve">Operating Effectiveness</x:t>
        </x:is>
      </x:c>
      <x:c r="I311" s="7" t="inlineStr">
        <x:is>
          <x:t xml:space="preserve"/>
        </x:is>
      </x:c>
      <x:c r="J311" s="8" t="n">
        <x:v>46188</x:v>
      </x:c>
      <x:c r="K311" s="7" t="inlineStr">
        <x:is>
          <x:t xml:space="preserve">Not Started</x:t>
        </x:is>
      </x:c>
      <x:c r="L311" s="7" t="inlineStr">
        <x:is>
          <x:t xml:space="preserve"/>
        </x:is>
      </x:c>
      <x:c r="M311" s="6" t="inlineStr">
        <x:is>
          <x:t xml:space="preserve"/>
        </x:is>
      </x:c>
    </x:row>
    <x:row r="312" ht="35" customHeight="1">
      <x:c r="A312" s="7" t="inlineStr">
        <x:is>
          <x:t xml:space="preserve">P202606-0311</x:t>
        </x:is>
      </x:c>
      <x:c r="B312" s="7" t="n">
        <x:v>2026</x:v>
      </x:c>
      <x:c r="C312" s="7" t="inlineStr">
        <x:is>
          <x:t xml:space="preserve">Jun</x:t>
        </x:is>
      </x:c>
      <x:c r="D312" s="7" t="inlineStr">
        <x:is>
          <x:t xml:space="preserve">MCS11</x:t>
        </x:is>
      </x:c>
      <x:c r="E312" s="6" t="inlineStr">
        <x:is>
          <x:t xml:space="preserve">Personal data protection</x:t>
        </x:is>
      </x:c>
      <x:c r="F312" s="6" t="inlineStr">
        <x:is>
          <x:t xml:space="preserve">Olamide Ayo-Ogunlade @</x:t>
        </x:is>
      </x:c>
      <x:c r="G312" s="6" t="inlineStr">
        <x:is>
          <x:t xml:space="preserve"/>
        </x:is>
      </x:c>
      <x:c r="H312" s="7" t="inlineStr">
        <x:is>
          <x:t xml:space="preserve">Operating Effectiveness</x:t>
        </x:is>
      </x:c>
      <x:c r="I312" s="7" t="inlineStr">
        <x:is>
          <x:t xml:space="preserve"/>
        </x:is>
      </x:c>
      <x:c r="J312" s="8" t="n">
        <x:v>46188</x:v>
      </x:c>
      <x:c r="K312" s="7" t="inlineStr">
        <x:is>
          <x:t xml:space="preserve">Not Started</x:t>
        </x:is>
      </x:c>
      <x:c r="L312" s="7" t="inlineStr">
        <x:is>
          <x:t xml:space="preserve"/>
        </x:is>
      </x:c>
      <x:c r="M312" s="6" t="inlineStr">
        <x:is>
          <x:t xml:space="preserve"/>
        </x:is>
      </x:c>
    </x:row>
    <x:row r="313" ht="35" customHeight="1">
      <x:c r="A313" s="7" t="inlineStr">
        <x:is>
          <x:t xml:space="preserve">P202606-0312</x:t>
        </x:is>
      </x:c>
      <x:c r="B313" s="7" t="n">
        <x:v>2026</x:v>
      </x:c>
      <x:c r="C313" s="7" t="inlineStr">
        <x:is>
          <x:t xml:space="preserve">Jun</x:t>
        </x:is>
      </x:c>
      <x:c r="D313" s="7" t="inlineStr">
        <x:is>
          <x:t xml:space="preserve">MCS12</x:t>
        </x:is>
      </x:c>
      <x:c r="E313" s="6" t="inlineStr">
        <x:is>
          <x:t xml:space="preserve">Segregation of duties and user access review</x:t>
        </x:is>
      </x:c>
      <x:c r="F313" s="6" t="inlineStr">
        <x:is>
          <x:t xml:space="preserve">Theophilus Okolie</x:t>
        </x:is>
      </x:c>
      <x:c r="G313" s="6" t="inlineStr">
        <x:is>
          <x:t xml:space="preserve"/>
        </x:is>
      </x:c>
      <x:c r="H313" s="7" t="inlineStr">
        <x:is>
          <x:t xml:space="preserve">Operating Effectiveness</x:t>
        </x:is>
      </x:c>
      <x:c r="I313" s="7" t="inlineStr">
        <x:is>
          <x:t xml:space="preserve"/>
        </x:is>
      </x:c>
      <x:c r="J313" s="8" t="n">
        <x:v>46188</x:v>
      </x:c>
      <x:c r="K313" s="7" t="inlineStr">
        <x:is>
          <x:t xml:space="preserve">Not Started</x:t>
        </x:is>
      </x:c>
      <x:c r="L313" s="7" t="inlineStr">
        <x:is>
          <x:t xml:space="preserve"/>
        </x:is>
      </x:c>
      <x:c r="M313" s="6" t="inlineStr">
        <x:is>
          <x:t xml:space="preserve"/>
        </x:is>
      </x:c>
    </x:row>
    <x:row r="314" ht="35" customHeight="1">
      <x:c r="A314" s="7" t="inlineStr">
        <x:is>
          <x:t xml:space="preserve">P202606-0313</x:t>
        </x:is>
      </x:c>
      <x:c r="B314" s="7" t="n">
        <x:v>2026</x:v>
      </x:c>
      <x:c r="C314" s="7" t="inlineStr">
        <x:is>
          <x:t xml:space="preserve">Jun</x:t>
        </x:is>
      </x:c>
      <x:c r="D314" s="7" t="inlineStr">
        <x:is>
          <x:t xml:space="preserve">MCS13</x:t>
        </x:is>
      </x:c>
      <x:c r="E314" s="6" t="inlineStr">
        <x:is>
          <x:t xml:space="preserve">Delegation of authorities and approval workflows</x:t>
        </x:is>
      </x:c>
      <x:c r="F314" s="6" t="inlineStr">
        <x:is>
          <x:t xml:space="preserve">Ramakant Patil</x:t>
        </x:is>
      </x:c>
      <x:c r="G314" s="6" t="inlineStr">
        <x:is>
          <x:t xml:space="preserve"/>
        </x:is>
      </x:c>
      <x:c r="H314" s="7" t="inlineStr">
        <x:is>
          <x:t xml:space="preserve">Operating Effectiveness</x:t>
        </x:is>
      </x:c>
      <x:c r="I314" s="7" t="inlineStr">
        <x:is>
          <x:t xml:space="preserve"/>
        </x:is>
      </x:c>
      <x:c r="J314" s="8" t="n">
        <x:v>46188</x:v>
      </x:c>
      <x:c r="K314" s="7" t="inlineStr">
        <x:is>
          <x:t xml:space="preserve">Not Started</x:t>
        </x:is>
      </x:c>
      <x:c r="L314" s="7" t="inlineStr">
        <x:is>
          <x:t xml:space="preserve"/>
        </x:is>
      </x:c>
      <x:c r="M314" s="6" t="inlineStr">
        <x:is>
          <x:t xml:space="preserve"/>
        </x:is>
      </x:c>
    </x:row>
    <x:row r="315" ht="35" customHeight="1">
      <x:c r="A315" s="7" t="inlineStr">
        <x:is>
          <x:t xml:space="preserve">P202606-0314</x:t>
        </x:is>
      </x:c>
      <x:c r="B315" s="7" t="n">
        <x:v>2026</x:v>
      </x:c>
      <x:c r="C315" s="7" t="inlineStr">
        <x:is>
          <x:t xml:space="preserve">Jun</x:t>
        </x:is>
      </x:c>
      <x:c r="D315" s="7" t="inlineStr">
        <x:is>
          <x:t xml:space="preserve">MCS14</x:t>
        </x:is>
      </x:c>
      <x:c r="E315" s="6" t="inlineStr">
        <x:is>
          <x:t xml:space="preserve">Litigation disputes</x:t>
        </x:is>
      </x:c>
      <x:c r="F315" s="6" t="inlineStr">
        <x:is>
          <x:t xml:space="preserve">Mary Waititu</x:t>
        </x:is>
      </x:c>
      <x:c r="G315" s="6" t="inlineStr">
        <x:is>
          <x:t xml:space="preserve"/>
        </x:is>
      </x:c>
      <x:c r="H315" s="7" t="inlineStr">
        <x:is>
          <x:t xml:space="preserve">Operating Effectiveness</x:t>
        </x:is>
      </x:c>
      <x:c r="I315" s="7" t="inlineStr">
        <x:is>
          <x:t xml:space="preserve"/>
        </x:is>
      </x:c>
      <x:c r="J315" s="8" t="n">
        <x:v>46188</x:v>
      </x:c>
      <x:c r="K315" s="7" t="inlineStr">
        <x:is>
          <x:t xml:space="preserve">Not Started</x:t>
        </x:is>
      </x:c>
      <x:c r="L315" s="7" t="inlineStr">
        <x:is>
          <x:t xml:space="preserve"/>
        </x:is>
      </x:c>
      <x:c r="M315" s="6" t="inlineStr">
        <x:is>
          <x:t xml:space="preserve"/>
        </x:is>
      </x:c>
    </x:row>
    <x:row r="316" ht="35" customHeight="1">
      <x:c r="A316" s="7" t="inlineStr">
        <x:is>
          <x:t xml:space="preserve">P202606-0315</x:t>
        </x:is>
      </x:c>
      <x:c r="B316" s="7" t="n">
        <x:v>2026</x:v>
      </x:c>
      <x:c r="C316" s="7" t="inlineStr">
        <x:is>
          <x:t xml:space="preserve">Jun</x:t>
        </x:is>
      </x:c>
      <x:c r="D316" s="7" t="inlineStr">
        <x:is>
          <x:t xml:space="preserve">MCS15</x:t>
        </x:is>
      </x:c>
      <x:c r="E316" s="6" t="inlineStr">
        <x:is>
          <x:t xml:space="preserve">Review of contracts by finance</x:t>
        </x:is>
      </x:c>
      <x:c r="F316" s="6" t="inlineStr">
        <x:is>
          <x:t xml:space="preserve">Ovie Itie</x:t>
        </x:is>
      </x:c>
      <x:c r="G316" s="6" t="inlineStr">
        <x:is>
          <x:t xml:space="preserve"/>
        </x:is>
      </x:c>
      <x:c r="H316" s="7" t="inlineStr">
        <x:is>
          <x:t xml:space="preserve">Operating Effectiveness</x:t>
        </x:is>
      </x:c>
      <x:c r="I316" s="7" t="inlineStr">
        <x:is>
          <x:t xml:space="preserve"/>
        </x:is>
      </x:c>
      <x:c r="J316" s="8" t="n">
        <x:v>46188</x:v>
      </x:c>
      <x:c r="K316" s="7" t="inlineStr">
        <x:is>
          <x:t xml:space="preserve">Not Started</x:t>
        </x:is>
      </x:c>
      <x:c r="L316" s="7" t="inlineStr">
        <x:is>
          <x:t xml:space="preserve"/>
        </x:is>
      </x:c>
      <x:c r="M316" s="6" t="inlineStr">
        <x:is>
          <x:t xml:space="preserve"/>
        </x:is>
      </x:c>
    </x:row>
    <x:row r="317" ht="35" customHeight="1">
      <x:c r="A317" s="7" t="inlineStr">
        <x:is>
          <x:t xml:space="preserve">P202606-0316</x:t>
        </x:is>
      </x:c>
      <x:c r="B317" s="7" t="n">
        <x:v>2026</x:v>
      </x:c>
      <x:c r="C317" s="7" t="inlineStr">
        <x:is>
          <x:t xml:space="preserve">Jun</x:t>
        </x:is>
      </x:c>
      <x:c r="D317" s="7" t="inlineStr">
        <x:is>
          <x:t xml:space="preserve">MCS16</x:t>
        </x:is>
      </x:c>
      <x:c r="E317" s="6" t="inlineStr">
        <x:is>
          <x:t xml:space="preserve">Management of titles and permits</x:t>
        </x:is>
      </x:c>
      <x:c r="F317" s="6" t="n"/>
      <x:c r="G317" s="6" t="inlineStr">
        <x:is>
          <x:t xml:space="preserve"/>
        </x:is>
      </x:c>
      <x:c r="H317" s="7" t="inlineStr">
        <x:is>
          <x:t xml:space="preserve">Operating Effectiveness</x:t>
        </x:is>
      </x:c>
      <x:c r="I317" s="7" t="inlineStr">
        <x:is>
          <x:t xml:space="preserve"/>
        </x:is>
      </x:c>
      <x:c r="J317" s="8" t="n">
        <x:v>46188</x:v>
      </x:c>
      <x:c r="K317" s="7" t="inlineStr">
        <x:is>
          <x:t xml:space="preserve">Not Started</x:t>
        </x:is>
      </x:c>
      <x:c r="L317" s="7" t="inlineStr">
        <x:is>
          <x:t xml:space="preserve"/>
        </x:is>
      </x:c>
      <x:c r="M317" s="6" t="inlineStr">
        <x:is>
          <x:t xml:space="preserve"/>
        </x:is>
      </x:c>
    </x:row>
    <x:row r="318" ht="35" customHeight="1">
      <x:c r="A318" s="7" t="inlineStr">
        <x:is>
          <x:t xml:space="preserve">P202606-0317</x:t>
        </x:is>
      </x:c>
      <x:c r="B318" s="7" t="n">
        <x:v>2026</x:v>
      </x:c>
      <x:c r="C318" s="7" t="inlineStr">
        <x:is>
          <x:t xml:space="preserve">Jun</x:t>
        </x:is>
      </x:c>
      <x:c r="D318" s="7" t="inlineStr">
        <x:is>
          <x:t xml:space="preserve">MCS18</x:t>
        </x:is>
      </x:c>
      <x:c r="E318" s="6" t="inlineStr">
        <x:is>
          <x:t xml:space="preserve">Classification and depreciation of property, plant &amp; equipment</x:t>
        </x:is>
      </x:c>
      <x:c r="F318" s="6" t="n"/>
      <x:c r="G318" s="6" t="inlineStr">
        <x:is>
          <x:t xml:space="preserve"/>
        </x:is>
      </x:c>
      <x:c r="H318" s="7" t="inlineStr">
        <x:is>
          <x:t xml:space="preserve">Operating Effectiveness</x:t>
        </x:is>
      </x:c>
      <x:c r="I318" s="7" t="inlineStr">
        <x:is>
          <x:t xml:space="preserve"/>
        </x:is>
      </x:c>
      <x:c r="J318" s="8" t="n">
        <x:v>46188</x:v>
      </x:c>
      <x:c r="K318" s="7" t="inlineStr">
        <x:is>
          <x:t xml:space="preserve">Not Started</x:t>
        </x:is>
      </x:c>
      <x:c r="L318" s="7" t="inlineStr">
        <x:is>
          <x:t xml:space="preserve"/>
        </x:is>
      </x:c>
      <x:c r="M318" s="6" t="inlineStr">
        <x:is>
          <x:t xml:space="preserve"/>
        </x:is>
      </x:c>
    </x:row>
    <x:row r="319" ht="35" customHeight="1">
      <x:c r="A319" s="7" t="inlineStr">
        <x:is>
          <x:t xml:space="preserve">P202606-0318</x:t>
        </x:is>
      </x:c>
      <x:c r="B319" s="7" t="n">
        <x:v>2026</x:v>
      </x:c>
      <x:c r="C319" s="7" t="inlineStr">
        <x:is>
          <x:t xml:space="preserve">Jun</x:t>
        </x:is>
      </x:c>
      <x:c r="D319" s="7" t="inlineStr">
        <x:is>
          <x:t xml:space="preserve">MCS19</x:t>
        </x:is>
      </x:c>
      <x:c r="E319" s="6" t="inlineStr">
        <x:is>
          <x:t xml:space="preserve">Physical verification of Fixed Asset</x:t>
        </x:is>
      </x:c>
      <x:c r="F319" s="6" t="n"/>
      <x:c r="G319" s="6" t="inlineStr">
        <x:is>
          <x:t xml:space="preserve"/>
        </x:is>
      </x:c>
      <x:c r="H319" s="7" t="inlineStr">
        <x:is>
          <x:t xml:space="preserve">Operating Effectiveness</x:t>
        </x:is>
      </x:c>
      <x:c r="I319" s="7" t="inlineStr">
        <x:is>
          <x:t xml:space="preserve"/>
        </x:is>
      </x:c>
      <x:c r="J319" s="8" t="n">
        <x:v>46188</x:v>
      </x:c>
      <x:c r="K319" s="7" t="inlineStr">
        <x:is>
          <x:t xml:space="preserve">Not Started</x:t>
        </x:is>
      </x:c>
      <x:c r="L319" s="7" t="inlineStr">
        <x:is>
          <x:t xml:space="preserve"/>
        </x:is>
      </x:c>
      <x:c r="M319" s="6" t="inlineStr">
        <x:is>
          <x:t xml:space="preserve"/>
        </x:is>
      </x:c>
    </x:row>
    <x:row r="320" ht="35" customHeight="1">
      <x:c r="A320" s="7" t="inlineStr">
        <x:is>
          <x:t xml:space="preserve">P202606-0319</x:t>
        </x:is>
      </x:c>
      <x:c r="B320" s="7" t="n">
        <x:v>2026</x:v>
      </x:c>
      <x:c r="C320" s="7" t="inlineStr">
        <x:is>
          <x:t xml:space="preserve">Jun</x:t>
        </x:is>
      </x:c>
      <x:c r="D320" s="7" t="inlineStr">
        <x:is>
          <x:t xml:space="preserve">MCS20</x:t>
        </x:is>
      </x:c>
      <x:c r="E320" s="6" t="inlineStr">
        <x:is>
          <x:t xml:space="preserve">Management of customer and inventory master data</x:t>
        </x:is>
      </x:c>
      <x:c r="F320" s="6" t="inlineStr">
        <x:is>
          <x:t xml:space="preserve">Yomi Jegede</x:t>
        </x:is>
      </x:c>
      <x:c r="G320" s="6" t="inlineStr">
        <x:is>
          <x:t xml:space="preserve"/>
        </x:is>
      </x:c>
      <x:c r="H320" s="7" t="inlineStr">
        <x:is>
          <x:t xml:space="preserve">Operating Effectiveness</x:t>
        </x:is>
      </x:c>
      <x:c r="I320" s="7" t="inlineStr">
        <x:is>
          <x:t xml:space="preserve"/>
        </x:is>
      </x:c>
      <x:c r="J320" s="8" t="n">
        <x:v>46188</x:v>
      </x:c>
      <x:c r="K320" s="7" t="inlineStr">
        <x:is>
          <x:t xml:space="preserve">Not Started</x:t>
        </x:is>
      </x:c>
      <x:c r="L320" s="7" t="inlineStr">
        <x:is>
          <x:t xml:space="preserve"/>
        </x:is>
      </x:c>
      <x:c r="M320" s="6" t="inlineStr">
        <x:is>
          <x:t xml:space="preserve"/>
        </x:is>
      </x:c>
    </x:row>
    <x:row r="321" ht="35" customHeight="1">
      <x:c r="A321" s="7" t="inlineStr">
        <x:is>
          <x:t xml:space="preserve">P202606-0320</x:t>
        </x:is>
      </x:c>
      <x:c r="B321" s="7" t="n">
        <x:v>2026</x:v>
      </x:c>
      <x:c r="C321" s="7" t="inlineStr">
        <x:is>
          <x:t xml:space="preserve">Jun</x:t>
        </x:is>
      </x:c>
      <x:c r="D321" s="7" t="inlineStr">
        <x:is>
          <x:t xml:space="preserve">MCS21</x:t>
        </x:is>
      </x:c>
      <x:c r="E321" s="6" t="inlineStr">
        <x:is>
          <x:t xml:space="preserve">Price management</x:t>
        </x:is>
      </x:c>
      <x:c r="F321" s="6" t="n"/>
      <x:c r="G321" s="6" t="inlineStr">
        <x:is>
          <x:t xml:space="preserve"/>
        </x:is>
      </x:c>
      <x:c r="H321" s="7" t="inlineStr">
        <x:is>
          <x:t xml:space="preserve">Operating Effectiveness</x:t>
        </x:is>
      </x:c>
      <x:c r="I321" s="7" t="inlineStr">
        <x:is>
          <x:t xml:space="preserve"/>
        </x:is>
      </x:c>
      <x:c r="J321" s="8" t="n">
        <x:v>46188</x:v>
      </x:c>
      <x:c r="K321" s="7" t="inlineStr">
        <x:is>
          <x:t xml:space="preserve">Not Started</x:t>
        </x:is>
      </x:c>
      <x:c r="L321" s="7" t="inlineStr">
        <x:is>
          <x:t xml:space="preserve"/>
        </x:is>
      </x:c>
      <x:c r="M321" s="6" t="inlineStr">
        <x:is>
          <x:t xml:space="preserve"/>
        </x:is>
      </x:c>
    </x:row>
    <x:row r="322" ht="35" customHeight="1">
      <x:c r="A322" s="7" t="inlineStr">
        <x:is>
          <x:t xml:space="preserve">P202606-0321</x:t>
        </x:is>
      </x:c>
      <x:c r="B322" s="7" t="n">
        <x:v>2026</x:v>
      </x:c>
      <x:c r="C322" s="7" t="inlineStr">
        <x:is>
          <x:t xml:space="preserve">Jun</x:t>
        </x:is>
      </x:c>
      <x:c r="D322" s="7" t="inlineStr">
        <x:is>
          <x:t xml:space="preserve">MCS22.1</x:t>
        </x:is>
      </x:c>
      <x:c r="E322" s="6" t="inlineStr">
        <x:is>
          <x:t xml:space="preserve">Control of customer credit limits - Easybuy</x:t>
        </x:is>
      </x:c>
      <x:c r="F322" s="6" t="inlineStr">
        <x:is>
          <x:t xml:space="preserve">Omoyemi Tuga Ogunsanmi Opeyemi Listbon</x:t>
        </x:is>
      </x:c>
      <x:c r="G322" s="6" t="inlineStr">
        <x:is>
          <x:t xml:space="preserve"/>
        </x:is>
      </x:c>
      <x:c r="H322" s="7" t="inlineStr">
        <x:is>
          <x:t xml:space="preserve">Operating Effectiveness</x:t>
        </x:is>
      </x:c>
      <x:c r="I322" s="7" t="inlineStr">
        <x:is>
          <x:t xml:space="preserve"/>
        </x:is>
      </x:c>
      <x:c r="J322" s="8" t="n">
        <x:v>46188</x:v>
      </x:c>
      <x:c r="K322" s="7" t="inlineStr">
        <x:is>
          <x:t xml:space="preserve">Not Started</x:t>
        </x:is>
      </x:c>
      <x:c r="L322" s="7" t="inlineStr">
        <x:is>
          <x:t xml:space="preserve"/>
        </x:is>
      </x:c>
      <x:c r="M322" s="6" t="inlineStr">
        <x:is>
          <x:t xml:space="preserve"/>
        </x:is>
      </x:c>
    </x:row>
    <x:row r="323" ht="35" customHeight="1">
      <x:c r="A323" s="7" t="inlineStr">
        <x:is>
          <x:t xml:space="preserve">P202606-0322</x:t>
        </x:is>
      </x:c>
      <x:c r="B323" s="7" t="n">
        <x:v>2026</x:v>
      </x:c>
      <x:c r="C323" s="7" t="inlineStr">
        <x:is>
          <x:t xml:space="preserve">Jun</x:t>
        </x:is>
      </x:c>
      <x:c r="D323" s="7" t="inlineStr">
        <x:is>
          <x:t xml:space="preserve">MCS22.2</x:t>
        </x:is>
      </x:c>
      <x:c r="E323" s="6" t="inlineStr">
        <x:is>
          <x:t xml:space="preserve">Control of customer credit limits - Partnership</x:t>
        </x:is>
      </x:c>
      <x:c r="F323" s="6" t="inlineStr">
        <x:is>
          <x:t xml:space="preserve">Eno Umoh Ameh Bright Agbo</x:t>
        </x:is>
      </x:c>
      <x:c r="G323" s="6" t="inlineStr">
        <x:is>
          <x:t xml:space="preserve"/>
        </x:is>
      </x:c>
      <x:c r="H323" s="7" t="inlineStr">
        <x:is>
          <x:t xml:space="preserve">Operating Effectiveness</x:t>
        </x:is>
      </x:c>
      <x:c r="I323" s="7" t="inlineStr">
        <x:is>
          <x:t xml:space="preserve"/>
        </x:is>
      </x:c>
      <x:c r="J323" s="8" t="n">
        <x:v>46188</x:v>
      </x:c>
      <x:c r="K323" s="7" t="inlineStr">
        <x:is>
          <x:t xml:space="preserve">Not Started</x:t>
        </x:is>
      </x:c>
      <x:c r="L323" s="7" t="inlineStr">
        <x:is>
          <x:t xml:space="preserve"/>
        </x:is>
      </x:c>
      <x:c r="M323" s="6" t="inlineStr">
        <x:is>
          <x:t xml:space="preserve"/>
        </x:is>
      </x:c>
    </x:row>
    <x:row r="324" ht="35" customHeight="1">
      <x:c r="A324" s="7" t="inlineStr">
        <x:is>
          <x:t xml:space="preserve">P202606-0323</x:t>
        </x:is>
      </x:c>
      <x:c r="B324" s="7" t="n">
        <x:v>2026</x:v>
      </x:c>
      <x:c r="C324" s="7" t="inlineStr">
        <x:is>
          <x:t xml:space="preserve">Jun</x:t>
        </x:is>
      </x:c>
      <x:c r="D324" s="7" t="inlineStr">
        <x:is>
          <x:t xml:space="preserve">MCS23</x:t>
        </x:is>
      </x:c>
      <x:c r="E324" s="6" t="inlineStr">
        <x:is>
          <x:t xml:space="preserve">Invoicing </x:t>
        </x:is>
      </x:c>
      <x:c r="F324" s="6" t="inlineStr">
        <x:is>
          <x:t xml:space="preserve">Ramakant Patil</x:t>
        </x:is>
      </x:c>
      <x:c r="G324" s="6" t="inlineStr">
        <x:is>
          <x:t xml:space="preserve"/>
        </x:is>
      </x:c>
      <x:c r="H324" s="7" t="inlineStr">
        <x:is>
          <x:t xml:space="preserve">Operating Effectiveness</x:t>
        </x:is>
      </x:c>
      <x:c r="I324" s="7" t="inlineStr">
        <x:is>
          <x:t xml:space="preserve"/>
        </x:is>
      </x:c>
      <x:c r="J324" s="8" t="n">
        <x:v>46188</x:v>
      </x:c>
      <x:c r="K324" s="7" t="inlineStr">
        <x:is>
          <x:t xml:space="preserve">Not Started</x:t>
        </x:is>
      </x:c>
      <x:c r="L324" s="7" t="inlineStr">
        <x:is>
          <x:t xml:space="preserve"/>
        </x:is>
      </x:c>
      <x:c r="M324" s="6" t="inlineStr">
        <x:is>
          <x:t xml:space="preserve"/>
        </x:is>
      </x:c>
    </x:row>
    <x:row r="325" ht="35" customHeight="1">
      <x:c r="A325" s="7" t="inlineStr">
        <x:is>
          <x:t xml:space="preserve">P202606-0324</x:t>
        </x:is>
      </x:c>
      <x:c r="B325" s="7" t="n">
        <x:v>2026</x:v>
      </x:c>
      <x:c r="C325" s="7" t="inlineStr">
        <x:is>
          <x:t xml:space="preserve">Jun</x:t>
        </x:is>
      </x:c>
      <x:c r="D325" s="7" t="inlineStr">
        <x:is>
          <x:t xml:space="preserve">MCS24</x:t>
        </x:is>
      </x:c>
      <x:c r="E325" s="6" t="inlineStr">
        <x:is>
          <x:t xml:space="preserve">Accounts receivable valuation</x:t>
        </x:is>
      </x:c>
      <x:c r="F325" s="6" t="inlineStr">
        <x:is>
          <x:t xml:space="preserve">Zainab Yunusah Saadu</x:t>
        </x:is>
      </x:c>
      <x:c r="G325" s="6" t="inlineStr">
        <x:is>
          <x:t xml:space="preserve"/>
        </x:is>
      </x:c>
      <x:c r="H325" s="7" t="inlineStr">
        <x:is>
          <x:t xml:space="preserve">Operating Effectiveness</x:t>
        </x:is>
      </x:c>
      <x:c r="I325" s="7" t="inlineStr">
        <x:is>
          <x:t xml:space="preserve"/>
        </x:is>
      </x:c>
      <x:c r="J325" s="8" t="n">
        <x:v>46188</x:v>
      </x:c>
      <x:c r="K325" s="7" t="inlineStr">
        <x:is>
          <x:t xml:space="preserve">Not Started</x:t>
        </x:is>
      </x:c>
      <x:c r="L325" s="7" t="inlineStr">
        <x:is>
          <x:t xml:space="preserve"/>
        </x:is>
      </x:c>
      <x:c r="M325" s="6" t="inlineStr">
        <x:is>
          <x:t xml:space="preserve"/>
        </x:is>
      </x:c>
    </x:row>
    <x:row r="326" ht="35" customHeight="1">
      <x:c r="A326" s="7" t="inlineStr">
        <x:is>
          <x:t xml:space="preserve">P202606-0325</x:t>
        </x:is>
      </x:c>
      <x:c r="B326" s="7" t="n">
        <x:v>2026</x:v>
      </x:c>
      <x:c r="C326" s="7" t="inlineStr">
        <x:is>
          <x:t xml:space="preserve">Jun</x:t>
        </x:is>
      </x:c>
      <x:c r="D326" s="7" t="inlineStr">
        <x:is>
          <x:t xml:space="preserve">MCS25</x:t>
        </x:is>
      </x:c>
      <x:c r="E326" s="6" t="inlineStr">
        <x:is>
          <x:t xml:space="preserve">Execution of onboarding, offboarding, master data management and transfers of workers</x:t>
        </x:is>
      </x:c>
      <x:c r="F326" s="6" t="n"/>
      <x:c r="G326" s="6" t="inlineStr">
        <x:is>
          <x:t xml:space="preserve"/>
        </x:is>
      </x:c>
      <x:c r="H326" s="7" t="inlineStr">
        <x:is>
          <x:t xml:space="preserve">Operating Effectiveness</x:t>
        </x:is>
      </x:c>
      <x:c r="I326" s="7" t="inlineStr">
        <x:is>
          <x:t xml:space="preserve"/>
        </x:is>
      </x:c>
      <x:c r="J326" s="8" t="n">
        <x:v>46188</x:v>
      </x:c>
      <x:c r="K326" s="7" t="inlineStr">
        <x:is>
          <x:t xml:space="preserve">Not Started</x:t>
        </x:is>
      </x:c>
      <x:c r="L326" s="7" t="inlineStr">
        <x:is>
          <x:t xml:space="preserve"/>
        </x:is>
      </x:c>
      <x:c r="M326" s="6" t="inlineStr">
        <x:is>
          <x:t xml:space="preserve"/>
        </x:is>
      </x:c>
    </x:row>
    <x:row r="327" ht="35" customHeight="1">
      <x:c r="A327" s="7" t="inlineStr">
        <x:is>
          <x:t xml:space="preserve">P202606-0326</x:t>
        </x:is>
      </x:c>
      <x:c r="B327" s="7" t="n">
        <x:v>2026</x:v>
      </x:c>
      <x:c r="C327" s="7" t="inlineStr">
        <x:is>
          <x:t xml:space="preserve">Jun</x:t>
        </x:is>
      </x:c>
      <x:c r="D327" s="7" t="inlineStr">
        <x:is>
          <x:t xml:space="preserve">MCS26</x:t>
        </x:is>
      </x:c>
      <x:c r="E327" s="6" t="inlineStr">
        <x:is>
          <x:t xml:space="preserve">Payroll</x:t>
        </x:is>
      </x:c>
      <x:c r="F327" s="6" t="inlineStr">
        <x:is>
          <x:t xml:space="preserve">Olamide Ayo-Ogunlade Oluwatosin Ogunsekan</x:t>
        </x:is>
      </x:c>
      <x:c r="G327" s="6" t="inlineStr">
        <x:is>
          <x:t xml:space="preserve"/>
        </x:is>
      </x:c>
      <x:c r="H327" s="7" t="inlineStr">
        <x:is>
          <x:t xml:space="preserve">Operating Effectiveness</x:t>
        </x:is>
      </x:c>
      <x:c r="I327" s="7" t="inlineStr">
        <x:is>
          <x:t xml:space="preserve"/>
        </x:is>
      </x:c>
      <x:c r="J327" s="8" t="n">
        <x:v>46188</x:v>
      </x:c>
      <x:c r="K327" s="7" t="inlineStr">
        <x:is>
          <x:t xml:space="preserve">Not Started</x:t>
        </x:is>
      </x:c>
      <x:c r="L327" s="7" t="inlineStr">
        <x:is>
          <x:t xml:space="preserve"/>
        </x:is>
      </x:c>
      <x:c r="M327" s="6" t="inlineStr">
        <x:is>
          <x:t xml:space="preserve"/>
        </x:is>
      </x:c>
    </x:row>
    <x:row r="328" ht="35" customHeight="1">
      <x:c r="A328" s="7" t="inlineStr">
        <x:is>
          <x:t xml:space="preserve">P202606-0327</x:t>
        </x:is>
      </x:c>
      <x:c r="B328" s="7" t="n">
        <x:v>2026</x:v>
      </x:c>
      <x:c r="C328" s="7" t="inlineStr">
        <x:is>
          <x:t xml:space="preserve">Jun</x:t>
        </x:is>
      </x:c>
      <x:c r="D328" s="7" t="inlineStr">
        <x:is>
          <x:t xml:space="preserve">MCS27</x:t>
        </x:is>
      </x:c>
      <x:c r="E328" s="6" t="inlineStr">
        <x:is>
          <x:t xml:space="preserve">Compliance with Labour law</x:t>
        </x:is>
      </x:c>
      <x:c r="F328" s="6" t="inlineStr">
        <x:is>
          <x:t xml:space="preserve">Olamide Ayo-Ogunlade Oluwatosin Ogunsekan</x:t>
        </x:is>
      </x:c>
      <x:c r="G328" s="6" t="inlineStr">
        <x:is>
          <x:t xml:space="preserve"/>
        </x:is>
      </x:c>
      <x:c r="H328" s="7" t="inlineStr">
        <x:is>
          <x:t xml:space="preserve">Operating Effectiveness</x:t>
        </x:is>
      </x:c>
      <x:c r="I328" s="7" t="inlineStr">
        <x:is>
          <x:t xml:space="preserve"/>
        </x:is>
      </x:c>
      <x:c r="J328" s="8" t="n">
        <x:v>46188</x:v>
      </x:c>
      <x:c r="K328" s="7" t="inlineStr">
        <x:is>
          <x:t xml:space="preserve">Not Started</x:t>
        </x:is>
      </x:c>
      <x:c r="L328" s="7" t="inlineStr">
        <x:is>
          <x:t xml:space="preserve"/>
        </x:is>
      </x:c>
      <x:c r="M328" s="6" t="inlineStr">
        <x:is>
          <x:t xml:space="preserve"/>
        </x:is>
      </x:c>
    </x:row>
    <x:row r="329" ht="35" customHeight="1">
      <x:c r="A329" s="7" t="inlineStr">
        <x:is>
          <x:t xml:space="preserve">P202606-0328</x:t>
        </x:is>
      </x:c>
      <x:c r="B329" s="7" t="n">
        <x:v>2026</x:v>
      </x:c>
      <x:c r="C329" s="7" t="inlineStr">
        <x:is>
          <x:t xml:space="preserve">Jun</x:t>
        </x:is>
      </x:c>
      <x:c r="D329" s="7" t="inlineStr">
        <x:is>
          <x:t xml:space="preserve">MCS28</x:t>
        </x:is>
      </x:c>
      <x:c r="E329" s="6" t="inlineStr">
        <x:is>
          <x:t xml:space="preserve">Employee pension and benefit plan</x:t>
        </x:is>
      </x:c>
      <x:c r="F329" s="6" t="inlineStr">
        <x:is>
          <x:t xml:space="preserve">Olamide Ayo-Ogunlade Oluwatosin Ogunsekan</x:t>
        </x:is>
      </x:c>
      <x:c r="G329" s="6" t="inlineStr">
        <x:is>
          <x:t xml:space="preserve"/>
        </x:is>
      </x:c>
      <x:c r="H329" s="7" t="inlineStr">
        <x:is>
          <x:t xml:space="preserve">Operating Effectiveness</x:t>
        </x:is>
      </x:c>
      <x:c r="I329" s="7" t="inlineStr">
        <x:is>
          <x:t xml:space="preserve"/>
        </x:is>
      </x:c>
      <x:c r="J329" s="8" t="n">
        <x:v>46188</x:v>
      </x:c>
      <x:c r="K329" s="7" t="inlineStr">
        <x:is>
          <x:t xml:space="preserve">Not Started</x:t>
        </x:is>
      </x:c>
      <x:c r="L329" s="7" t="inlineStr">
        <x:is>
          <x:t xml:space="preserve"/>
        </x:is>
      </x:c>
      <x:c r="M329" s="6" t="inlineStr">
        <x:is>
          <x:t xml:space="preserve"/>
        </x:is>
      </x:c>
    </x:row>
    <x:row r="330" ht="35" customHeight="1">
      <x:c r="A330" s="7" t="inlineStr">
        <x:is>
          <x:t xml:space="preserve">P202606-0329</x:t>
        </x:is>
      </x:c>
      <x:c r="B330" s="7" t="n">
        <x:v>2026</x:v>
      </x:c>
      <x:c r="C330" s="7" t="inlineStr">
        <x:is>
          <x:t xml:space="preserve">Jun</x:t>
        </x:is>
      </x:c>
      <x:c r="D330" s="7" t="inlineStr">
        <x:is>
          <x:t xml:space="preserve">MCS 29</x:t>
        </x:is>
      </x:c>
      <x:c r="E330" s="6" t="inlineStr">
        <x:is>
          <x:t xml:space="preserve">Management of supplier master data</x:t>
        </x:is>
      </x:c>
      <x:c r="F330" s="6" t="inlineStr">
        <x:is>
          <x:t xml:space="preserve">Ramakant Patil Zainab Yunusah Saadu</x:t>
        </x:is>
      </x:c>
      <x:c r="G330" s="6" t="inlineStr">
        <x:is>
          <x:t xml:space="preserve"/>
        </x:is>
      </x:c>
      <x:c r="H330" s="7" t="inlineStr">
        <x:is>
          <x:t xml:space="preserve">Operating Effectiveness</x:t>
        </x:is>
      </x:c>
      <x:c r="I330" s="7" t="inlineStr">
        <x:is>
          <x:t xml:space="preserve"/>
        </x:is>
      </x:c>
      <x:c r="J330" s="8" t="n">
        <x:v>46188</x:v>
      </x:c>
      <x:c r="K330" s="7" t="inlineStr">
        <x:is>
          <x:t xml:space="preserve">Not Started</x:t>
        </x:is>
      </x:c>
      <x:c r="L330" s="7" t="inlineStr">
        <x:is>
          <x:t xml:space="preserve"/>
        </x:is>
      </x:c>
      <x:c r="M330" s="6" t="inlineStr">
        <x:is>
          <x:t xml:space="preserve"/>
        </x:is>
      </x:c>
    </x:row>
    <x:row r="331" ht="35" customHeight="1">
      <x:c r="A331" s="7" t="inlineStr">
        <x:is>
          <x:t xml:space="preserve">P202606-0330</x:t>
        </x:is>
      </x:c>
      <x:c r="B331" s="7" t="n">
        <x:v>2026</x:v>
      </x:c>
      <x:c r="C331" s="7" t="inlineStr">
        <x:is>
          <x:t xml:space="preserve">Jun</x:t>
        </x:is>
      </x:c>
      <x:c r="D331" s="7" t="inlineStr">
        <x:is>
          <x:t xml:space="preserve">MCS30</x:t>
        </x:is>
      </x:c>
      <x:c r="E331" s="6" t="inlineStr">
        <x:is>
          <x:t xml:space="preserve">Vendor Registration and Performance Management</x:t>
        </x:is>
      </x:c>
      <x:c r="F331" s="6" t="inlineStr">
        <x:is>
          <x:t xml:space="preserve">Ramakant Patil Zainab Yunusah Saadu</x:t>
        </x:is>
      </x:c>
      <x:c r="G331" s="6" t="inlineStr">
        <x:is>
          <x:t xml:space="preserve"/>
        </x:is>
      </x:c>
      <x:c r="H331" s="7" t="inlineStr">
        <x:is>
          <x:t xml:space="preserve">Operating Effectiveness</x:t>
        </x:is>
      </x:c>
      <x:c r="I331" s="7" t="inlineStr">
        <x:is>
          <x:t xml:space="preserve"/>
        </x:is>
      </x:c>
      <x:c r="J331" s="8" t="n">
        <x:v>46188</x:v>
      </x:c>
      <x:c r="K331" s="7" t="inlineStr">
        <x:is>
          <x:t xml:space="preserve">Not Started</x:t>
        </x:is>
      </x:c>
      <x:c r="L331" s="7" t="inlineStr">
        <x:is>
          <x:t xml:space="preserve"/>
        </x:is>
      </x:c>
      <x:c r="M331" s="6" t="inlineStr">
        <x:is>
          <x:t xml:space="preserve"/>
        </x:is>
      </x:c>
    </x:row>
    <x:row r="332" ht="35" customHeight="1">
      <x:c r="A332" s="7" t="inlineStr">
        <x:is>
          <x:t xml:space="preserve">P202606-0331</x:t>
        </x:is>
      </x:c>
      <x:c r="B332" s="7" t="n">
        <x:v>2026</x:v>
      </x:c>
      <x:c r="C332" s="7" t="inlineStr">
        <x:is>
          <x:t xml:space="preserve">Jun</x:t>
        </x:is>
      </x:c>
      <x:c r="D332" s="7" t="inlineStr">
        <x:is>
          <x:t xml:space="preserve">MCS31</x:t>
        </x:is>
      </x:c>
      <x:c r="E332" s="6" t="inlineStr">
        <x:is>
          <x:t xml:space="preserve">Three-way match, two way match and direct vendor invoices</x:t>
        </x:is>
      </x:c>
      <x:c r="F332" s="6" t="inlineStr">
        <x:is>
          <x:t xml:space="preserve">Ramakant Patil Zainab Yunusah Saadu</x:t>
        </x:is>
      </x:c>
      <x:c r="G332" s="6" t="inlineStr">
        <x:is>
          <x:t xml:space="preserve"/>
        </x:is>
      </x:c>
      <x:c r="H332" s="7" t="inlineStr">
        <x:is>
          <x:t xml:space="preserve">Operating Effectiveness</x:t>
        </x:is>
      </x:c>
      <x:c r="I332" s="7" t="inlineStr">
        <x:is>
          <x:t xml:space="preserve"/>
        </x:is>
      </x:c>
      <x:c r="J332" s="8" t="n">
        <x:v>46188</x:v>
      </x:c>
      <x:c r="K332" s="7" t="inlineStr">
        <x:is>
          <x:t xml:space="preserve">Not Started</x:t>
        </x:is>
      </x:c>
      <x:c r="L332" s="7" t="inlineStr">
        <x:is>
          <x:t xml:space="preserve"/>
        </x:is>
      </x:c>
      <x:c r="M332" s="6" t="inlineStr">
        <x:is>
          <x:t xml:space="preserve"/>
        </x:is>
      </x:c>
    </x:row>
    <x:row r="333" ht="35" customHeight="1">
      <x:c r="A333" s="7" t="inlineStr">
        <x:is>
          <x:t xml:space="preserve">P202606-0332</x:t>
        </x:is>
      </x:c>
      <x:c r="B333" s="7" t="n">
        <x:v>2026</x:v>
      </x:c>
      <x:c r="C333" s="7" t="inlineStr">
        <x:is>
          <x:t xml:space="preserve">Jun</x:t>
        </x:is>
      </x:c>
      <x:c r="D333" s="7" t="inlineStr">
        <x:is>
          <x:t xml:space="preserve">MCS32</x:t>
        </x:is>
      </x:c>
      <x:c r="E333" s="6" t="inlineStr">
        <x:is>
          <x:t xml:space="preserve">Payment processing</x:t>
        </x:is>
      </x:c>
      <x:c r="F333" s="6" t="inlineStr">
        <x:is>
          <x:t xml:space="preserve">Ramakant Patil Zainab Yunusah Saadu</x:t>
        </x:is>
      </x:c>
      <x:c r="G333" s="6" t="inlineStr">
        <x:is>
          <x:t xml:space="preserve"/>
        </x:is>
      </x:c>
      <x:c r="H333" s="7" t="inlineStr">
        <x:is>
          <x:t xml:space="preserve">Operating Effectiveness</x:t>
        </x:is>
      </x:c>
      <x:c r="I333" s="7" t="inlineStr">
        <x:is>
          <x:t xml:space="preserve"/>
        </x:is>
      </x:c>
      <x:c r="J333" s="8" t="n">
        <x:v>46188</x:v>
      </x:c>
      <x:c r="K333" s="7" t="inlineStr">
        <x:is>
          <x:t xml:space="preserve">Not Started</x:t>
        </x:is>
      </x:c>
      <x:c r="L333" s="7" t="inlineStr">
        <x:is>
          <x:t xml:space="preserve"/>
        </x:is>
      </x:c>
      <x:c r="M333" s="6" t="inlineStr">
        <x:is>
          <x:t xml:space="preserve"/>
        </x:is>
      </x:c>
    </x:row>
    <x:row r="334" ht="35" customHeight="1">
      <x:c r="A334" s="7" t="inlineStr">
        <x:is>
          <x:t xml:space="preserve">P202606-0333</x:t>
        </x:is>
      </x:c>
      <x:c r="B334" s="7" t="n">
        <x:v>2026</x:v>
      </x:c>
      <x:c r="C334" s="7" t="inlineStr">
        <x:is>
          <x:t xml:space="preserve">Jun</x:t>
        </x:is>
      </x:c>
      <x:c r="D334" s="7" t="inlineStr">
        <x:is>
          <x:t xml:space="preserve">MCS33</x:t>
        </x:is>
      </x:c>
      <x:c r="E334" s="6" t="inlineStr">
        <x:is>
          <x:t xml:space="preserve">3 Accruals for expenditures not invoiced</x:t>
        </x:is>
      </x:c>
      <x:c r="F334" s="6" t="inlineStr">
        <x:is>
          <x:t xml:space="preserve">Ramakant Patil Zainab Yunusah Saadu</x:t>
        </x:is>
      </x:c>
      <x:c r="G334" s="6" t="inlineStr">
        <x:is>
          <x:t xml:space="preserve"/>
        </x:is>
      </x:c>
      <x:c r="H334" s="7" t="inlineStr">
        <x:is>
          <x:t xml:space="preserve">Operating Effectiveness</x:t>
        </x:is>
      </x:c>
      <x:c r="I334" s="7" t="inlineStr">
        <x:is>
          <x:t xml:space="preserve"/>
        </x:is>
      </x:c>
      <x:c r="J334" s="8" t="n">
        <x:v>46188</x:v>
      </x:c>
      <x:c r="K334" s="7" t="inlineStr">
        <x:is>
          <x:t xml:space="preserve">Not Started</x:t>
        </x:is>
      </x:c>
      <x:c r="L334" s="7" t="inlineStr">
        <x:is>
          <x:t xml:space="preserve"/>
        </x:is>
      </x:c>
      <x:c r="M334" s="6" t="inlineStr">
        <x:is>
          <x:t xml:space="preserve"/>
        </x:is>
      </x:c>
    </x:row>
    <x:row r="335" ht="35" customHeight="1">
      <x:c r="A335" s="7" t="inlineStr">
        <x:is>
          <x:t xml:space="preserve">P202606-0334</x:t>
        </x:is>
      </x:c>
      <x:c r="B335" s="7" t="n">
        <x:v>2026</x:v>
      </x:c>
      <x:c r="C335" s="7" t="inlineStr">
        <x:is>
          <x:t xml:space="preserve">Jun</x:t>
        </x:is>
      </x:c>
      <x:c r="D335" s="7" t="inlineStr">
        <x:is>
          <x:t xml:space="preserve">MCS34</x:t>
        </x:is>
      </x:c>
      <x:c r="E335" s="6" t="inlineStr">
        <x:is>
          <x:t xml:space="preserve">Physical Stock Count ,Reconciliation &amp; Valuation</x:t>
        </x:is>
      </x:c>
      <x:c r="F335" s="6" t="inlineStr">
        <x:is>
          <x:t xml:space="preserve">Yomi Jegede Zainab Yunusah Saadu</x:t>
        </x:is>
      </x:c>
      <x:c r="G335" s="6" t="inlineStr">
        <x:is>
          <x:t xml:space="preserve"/>
        </x:is>
      </x:c>
      <x:c r="H335" s="7" t="inlineStr">
        <x:is>
          <x:t xml:space="preserve">Operating Effectiveness</x:t>
        </x:is>
      </x:c>
      <x:c r="I335" s="7" t="inlineStr">
        <x:is>
          <x:t xml:space="preserve"/>
        </x:is>
      </x:c>
      <x:c r="J335" s="8" t="n">
        <x:v>46188</x:v>
      </x:c>
      <x:c r="K335" s="7" t="inlineStr">
        <x:is>
          <x:t xml:space="preserve">Not Started</x:t>
        </x:is>
      </x:c>
      <x:c r="L335" s="7" t="inlineStr">
        <x:is>
          <x:t xml:space="preserve"/>
        </x:is>
      </x:c>
      <x:c r="M335" s="6" t="inlineStr">
        <x:is>
          <x:t xml:space="preserve"/>
        </x:is>
      </x:c>
    </x:row>
    <x:row r="336" ht="35" customHeight="1">
      <x:c r="A336" s="7" t="inlineStr">
        <x:is>
          <x:t xml:space="preserve">P202606-0335</x:t>
        </x:is>
      </x:c>
      <x:c r="B336" s="7" t="n">
        <x:v>2026</x:v>
      </x:c>
      <x:c r="C336" s="7" t="inlineStr">
        <x:is>
          <x:t xml:space="preserve">Jun</x:t>
        </x:is>
      </x:c>
      <x:c r="D336" s="7" t="inlineStr">
        <x:is>
          <x:t xml:space="preserve">MCS35</x:t>
        </x:is>
      </x:c>
      <x:c r="E336" s="6" t="inlineStr">
        <x:is>
          <x:t xml:space="preserve">Inventory Documentation (IMPEX)</x:t>
        </x:is>
      </x:c>
      <x:c r="F336" s="6" t="inlineStr">
        <x:is>
          <x:t xml:space="preserve">Yomi Jegede Zainab Yunusah Saadu</x:t>
        </x:is>
      </x:c>
      <x:c r="G336" s="6" t="inlineStr">
        <x:is>
          <x:t xml:space="preserve"/>
        </x:is>
      </x:c>
      <x:c r="H336" s="7" t="inlineStr">
        <x:is>
          <x:t xml:space="preserve">Operating Effectiveness</x:t>
        </x:is>
      </x:c>
      <x:c r="I336" s="7" t="inlineStr">
        <x:is>
          <x:t xml:space="preserve"/>
        </x:is>
      </x:c>
      <x:c r="J336" s="8" t="n">
        <x:v>46188</x:v>
      </x:c>
      <x:c r="K336" s="7" t="inlineStr">
        <x:is>
          <x:t xml:space="preserve">Not Started</x:t>
        </x:is>
      </x:c>
      <x:c r="L336" s="7" t="inlineStr">
        <x:is>
          <x:t xml:space="preserve"/>
        </x:is>
      </x:c>
      <x:c r="M336" s="6" t="inlineStr">
        <x:is>
          <x:t xml:space="preserve"/>
        </x:is>
      </x:c>
    </x:row>
    <x:row r="337" ht="35" customHeight="1">
      <x:c r="A337" s="7" t="inlineStr">
        <x:is>
          <x:t xml:space="preserve">P202606-0336</x:t>
        </x:is>
      </x:c>
      <x:c r="B337" s="7" t="n">
        <x:v>2026</x:v>
      </x:c>
      <x:c r="C337" s="7" t="inlineStr">
        <x:is>
          <x:t xml:space="preserve">Jun</x:t>
        </x:is>
      </x:c>
      <x:c r="D337" s="7" t="inlineStr">
        <x:is>
          <x:t xml:space="preserve">MCS36</x:t>
        </x:is>
      </x:c>
      <x:c r="E337" s="6" t="inlineStr">
        <x:is>
          <x:t xml:space="preserve">Management of access to IT systems</x:t>
        </x:is>
      </x:c>
      <x:c r="F337" s="6" t="inlineStr">
        <x:is>
          <x:t xml:space="preserve">Theophilus Okolie </x:t>
        </x:is>
      </x:c>
      <x:c r="G337" s="6" t="inlineStr">
        <x:is>
          <x:t xml:space="preserve"/>
        </x:is>
      </x:c>
      <x:c r="H337" s="7" t="inlineStr">
        <x:is>
          <x:t xml:space="preserve">Operating Effectiveness</x:t>
        </x:is>
      </x:c>
      <x:c r="I337" s="7" t="inlineStr">
        <x:is>
          <x:t xml:space="preserve"/>
        </x:is>
      </x:c>
      <x:c r="J337" s="8" t="n">
        <x:v>46188</x:v>
      </x:c>
      <x:c r="K337" s="7" t="inlineStr">
        <x:is>
          <x:t xml:space="preserve">Not Started</x:t>
        </x:is>
      </x:c>
      <x:c r="L337" s="7" t="inlineStr">
        <x:is>
          <x:t xml:space="preserve"/>
        </x:is>
      </x:c>
      <x:c r="M337" s="6" t="inlineStr">
        <x:is>
          <x:t xml:space="preserve"/>
        </x:is>
      </x:c>
    </x:row>
    <x:row r="338" ht="35" customHeight="1">
      <x:c r="A338" s="7" t="inlineStr">
        <x:is>
          <x:t xml:space="preserve">P202606-0337</x:t>
        </x:is>
      </x:c>
      <x:c r="B338" s="7" t="n">
        <x:v>2026</x:v>
      </x:c>
      <x:c r="C338" s="7" t="inlineStr">
        <x:is>
          <x:t xml:space="preserve">Jun</x:t>
        </x:is>
      </x:c>
      <x:c r="D338" s="7" t="inlineStr">
        <x:is>
          <x:t xml:space="preserve">MCS37</x:t>
        </x:is>
      </x:c>
      <x:c r="E338" s="6" t="inlineStr">
        <x:is>
          <x:t xml:space="preserve">Review of IT user access rights to production IT systems</x:t>
        </x:is>
      </x:c>
      <x:c r="F338" s="6" t="inlineStr">
        <x:is>
          <x:t xml:space="preserve">Theophilus Okolie </x:t>
        </x:is>
      </x:c>
      <x:c r="G338" s="6" t="inlineStr">
        <x:is>
          <x:t xml:space="preserve"/>
        </x:is>
      </x:c>
      <x:c r="H338" s="7" t="inlineStr">
        <x:is>
          <x:t xml:space="preserve">Operating Effectiveness</x:t>
        </x:is>
      </x:c>
      <x:c r="I338" s="7" t="inlineStr">
        <x:is>
          <x:t xml:space="preserve"/>
        </x:is>
      </x:c>
      <x:c r="J338" s="8" t="n">
        <x:v>46188</x:v>
      </x:c>
      <x:c r="K338" s="7" t="inlineStr">
        <x:is>
          <x:t xml:space="preserve">Not Started</x:t>
        </x:is>
      </x:c>
      <x:c r="L338" s="7" t="inlineStr">
        <x:is>
          <x:t xml:space="preserve"/>
        </x:is>
      </x:c>
      <x:c r="M338" s="6" t="inlineStr">
        <x:is>
          <x:t xml:space="preserve"/>
        </x:is>
      </x:c>
    </x:row>
    <x:row r="339" ht="35" customHeight="1">
      <x:c r="A339" s="7" t="inlineStr">
        <x:is>
          <x:t xml:space="preserve">P202606-0338</x:t>
        </x:is>
      </x:c>
      <x:c r="B339" s="7" t="n">
        <x:v>2026</x:v>
      </x:c>
      <x:c r="C339" s="7" t="inlineStr">
        <x:is>
          <x:t xml:space="preserve">Jun</x:t>
        </x:is>
      </x:c>
      <x:c r="D339" s="7" t="inlineStr">
        <x:is>
          <x:t xml:space="preserve">MCS38</x:t>
        </x:is>
      </x:c>
      <x:c r="E339" s="6" t="inlineStr">
        <x:is>
          <x:t xml:space="preserve">Security configuration settings and batch job management</x:t>
        </x:is>
      </x:c>
      <x:c r="F339" s="6" t="inlineStr">
        <x:is>
          <x:t xml:space="preserve">Theophilus Okolie </x:t>
        </x:is>
      </x:c>
      <x:c r="G339" s="6" t="inlineStr">
        <x:is>
          <x:t xml:space="preserve"/>
        </x:is>
      </x:c>
      <x:c r="H339" s="7" t="inlineStr">
        <x:is>
          <x:t xml:space="preserve">Operating Effectiveness</x:t>
        </x:is>
      </x:c>
      <x:c r="I339" s="7" t="inlineStr">
        <x:is>
          <x:t xml:space="preserve"/>
        </x:is>
      </x:c>
      <x:c r="J339" s="8" t="n">
        <x:v>46188</x:v>
      </x:c>
      <x:c r="K339" s="7" t="inlineStr">
        <x:is>
          <x:t xml:space="preserve">Not Started</x:t>
        </x:is>
      </x:c>
      <x:c r="L339" s="7" t="inlineStr">
        <x:is>
          <x:t xml:space="preserve"/>
        </x:is>
      </x:c>
      <x:c r="M339" s="6" t="inlineStr">
        <x:is>
          <x:t xml:space="preserve"/>
        </x:is>
      </x:c>
    </x:row>
    <x:row r="340" ht="35" customHeight="1">
      <x:c r="A340" s="7" t="inlineStr">
        <x:is>
          <x:t xml:space="preserve">P202606-0339</x:t>
        </x:is>
      </x:c>
      <x:c r="B340" s="7" t="n">
        <x:v>2026</x:v>
      </x:c>
      <x:c r="C340" s="7" t="inlineStr">
        <x:is>
          <x:t xml:space="preserve">Jun</x:t>
        </x:is>
      </x:c>
      <x:c r="D340" s="7" t="inlineStr">
        <x:is>
          <x:t xml:space="preserve">MCS39</x:t>
        </x:is>
      </x:c>
      <x:c r="E340" s="6" t="inlineStr">
        <x:is>
          <x:t xml:space="preserve">Data backup, storage and restoration process</x:t>
        </x:is>
      </x:c>
      <x:c r="F340" s="6" t="inlineStr">
        <x:is>
          <x:t xml:space="preserve">Theophilus Okolie </x:t>
        </x:is>
      </x:c>
      <x:c r="G340" s="6" t="inlineStr">
        <x:is>
          <x:t xml:space="preserve"/>
        </x:is>
      </x:c>
      <x:c r="H340" s="7" t="inlineStr">
        <x:is>
          <x:t xml:space="preserve">Operating Effectiveness</x:t>
        </x:is>
      </x:c>
      <x:c r="I340" s="7" t="inlineStr">
        <x:is>
          <x:t xml:space="preserve"/>
        </x:is>
      </x:c>
      <x:c r="J340" s="8" t="n">
        <x:v>46188</x:v>
      </x:c>
      <x:c r="K340" s="7" t="inlineStr">
        <x:is>
          <x:t xml:space="preserve">Not Started</x:t>
        </x:is>
      </x:c>
      <x:c r="L340" s="7" t="inlineStr">
        <x:is>
          <x:t xml:space="preserve"/>
        </x:is>
      </x:c>
      <x:c r="M340" s="6" t="inlineStr">
        <x:is>
          <x:t xml:space="preserve"/>
        </x:is>
      </x:c>
    </x:row>
    <x:row r="341" ht="35" customHeight="1">
      <x:c r="A341" s="7" t="inlineStr">
        <x:is>
          <x:t xml:space="preserve">P202606-0340</x:t>
        </x:is>
      </x:c>
      <x:c r="B341" s="7" t="n">
        <x:v>2026</x:v>
      </x:c>
      <x:c r="C341" s="7" t="inlineStr">
        <x:is>
          <x:t xml:space="preserve">Jun</x:t>
        </x:is>
      </x:c>
      <x:c r="D341" s="7" t="inlineStr">
        <x:is>
          <x:t xml:space="preserve">MCS40</x:t>
        </x:is>
      </x:c>
      <x:c r="E341" s="6" t="inlineStr">
        <x:is>
          <x:t xml:space="preserve">Managing changes to IT systems</x:t>
        </x:is>
      </x:c>
      <x:c r="F341" s="6" t="inlineStr">
        <x:is>
          <x:t xml:space="preserve">Theophilus Okolie </x:t>
        </x:is>
      </x:c>
      <x:c r="G341" s="6" t="inlineStr">
        <x:is>
          <x:t xml:space="preserve"/>
        </x:is>
      </x:c>
      <x:c r="H341" s="7" t="inlineStr">
        <x:is>
          <x:t xml:space="preserve">Operating Effectiveness</x:t>
        </x:is>
      </x:c>
      <x:c r="I341" s="7" t="inlineStr">
        <x:is>
          <x:t xml:space="preserve"/>
        </x:is>
      </x:c>
      <x:c r="J341" s="8" t="n">
        <x:v>46188</x:v>
      </x:c>
      <x:c r="K341" s="7" t="inlineStr">
        <x:is>
          <x:t xml:space="preserve">Not Started</x:t>
        </x:is>
      </x:c>
      <x:c r="L341" s="7" t="inlineStr">
        <x:is>
          <x:t xml:space="preserve"/>
        </x:is>
      </x:c>
      <x:c r="M341" s="6" t="inlineStr">
        <x:is>
          <x:t xml:space="preserve"/>
        </x:is>
      </x:c>
    </x:row>
    <x:row r="342" ht="35" customHeight="1">
      <x:c r="A342" s="7" t="inlineStr">
        <x:is>
          <x:t xml:space="preserve">P202606-0341</x:t>
        </x:is>
      </x:c>
      <x:c r="B342" s="7" t="n">
        <x:v>2026</x:v>
      </x:c>
      <x:c r="C342" s="7" t="inlineStr">
        <x:is>
          <x:t xml:space="preserve">Jun</x:t>
        </x:is>
      </x:c>
      <x:c r="D342" s="7" t="inlineStr">
        <x:is>
          <x:t xml:space="preserve">MCS41</x:t>
        </x:is>
      </x:c>
      <x:c r="E342" s="6" t="inlineStr">
        <x:is>
          <x:t xml:space="preserve">Compliance with accounting and reporting standards</x:t>
        </x:is>
      </x:c>
      <x:c r="F342" s="6" t="inlineStr">
        <x:is>
          <x:t xml:space="preserve">Zainab Yunusah Saadu Daniel Banjo</x:t>
        </x:is>
      </x:c>
      <x:c r="G342" s="6" t="inlineStr">
        <x:is>
          <x:t xml:space="preserve"/>
        </x:is>
      </x:c>
      <x:c r="H342" s="7" t="inlineStr">
        <x:is>
          <x:t xml:space="preserve">Operating Effectiveness</x:t>
        </x:is>
      </x:c>
      <x:c r="I342" s="7" t="inlineStr">
        <x:is>
          <x:t xml:space="preserve"/>
        </x:is>
      </x:c>
      <x:c r="J342" s="8" t="n">
        <x:v>46188</x:v>
      </x:c>
      <x:c r="K342" s="7" t="inlineStr">
        <x:is>
          <x:t xml:space="preserve">Not Started</x:t>
        </x:is>
      </x:c>
      <x:c r="L342" s="7" t="inlineStr">
        <x:is>
          <x:t xml:space="preserve"/>
        </x:is>
      </x:c>
      <x:c r="M342" s="6" t="inlineStr">
        <x:is>
          <x:t xml:space="preserve"/>
        </x:is>
      </x:c>
    </x:row>
    <x:row r="343" ht="35" customHeight="1">
      <x:c r="A343" s="7" t="inlineStr">
        <x:is>
          <x:t xml:space="preserve">P202606-0342</x:t>
        </x:is>
      </x:c>
      <x:c r="B343" s="7" t="n">
        <x:v>2026</x:v>
      </x:c>
      <x:c r="C343" s="7" t="inlineStr">
        <x:is>
          <x:t xml:space="preserve">Jun</x:t>
        </x:is>
      </x:c>
      <x:c r="D343" s="7" t="inlineStr">
        <x:is>
          <x:t xml:space="preserve">MCS42</x:t>
        </x:is>
      </x:c>
      <x:c r="E343" s="6" t="inlineStr">
        <x:is>
          <x:t xml:space="preserve">Reconciliation of general ledger accounts</x:t>
        </x:is>
      </x:c>
      <x:c r="F343" s="6" t="inlineStr">
        <x:is>
          <x:t xml:space="preserve">Zainab Yunusah Saadu Daniel Banjo</x:t>
        </x:is>
      </x:c>
      <x:c r="G343" s="6" t="inlineStr">
        <x:is>
          <x:t xml:space="preserve"/>
        </x:is>
      </x:c>
      <x:c r="H343" s="7" t="inlineStr">
        <x:is>
          <x:t xml:space="preserve">Operating Effectiveness</x:t>
        </x:is>
      </x:c>
      <x:c r="I343" s="7" t="inlineStr">
        <x:is>
          <x:t xml:space="preserve"/>
        </x:is>
      </x:c>
      <x:c r="J343" s="8" t="n">
        <x:v>46188</x:v>
      </x:c>
      <x:c r="K343" s="7" t="inlineStr">
        <x:is>
          <x:t xml:space="preserve">Not Started</x:t>
        </x:is>
      </x:c>
      <x:c r="L343" s="7" t="inlineStr">
        <x:is>
          <x:t xml:space="preserve"/>
        </x:is>
      </x:c>
      <x:c r="M343" s="6" t="inlineStr">
        <x:is>
          <x:t xml:space="preserve"/>
        </x:is>
      </x:c>
    </x:row>
    <x:row r="344" ht="35" customHeight="1">
      <x:c r="A344" s="7" t="inlineStr">
        <x:is>
          <x:t xml:space="preserve">P202606-0343</x:t>
        </x:is>
      </x:c>
      <x:c r="B344" s="7" t="n">
        <x:v>2026</x:v>
      </x:c>
      <x:c r="C344" s="7" t="inlineStr">
        <x:is>
          <x:t xml:space="preserve">Jun</x:t>
        </x:is>
      </x:c>
      <x:c r="D344" s="7" t="inlineStr">
        <x:is>
          <x:t xml:space="preserve">MCS43</x:t>
        </x:is>
      </x:c>
      <x:c r="E344" s="6" t="inlineStr">
        <x:is>
          <x:t xml:space="preserve">Reconciliation of bank accounts</x:t>
        </x:is>
      </x:c>
      <x:c r="F344" s="6" t="inlineStr">
        <x:is>
          <x:t xml:space="preserve">Zainab Yunusah Saadu Daniel Banjo</x:t>
        </x:is>
      </x:c>
      <x:c r="G344" s="6" t="inlineStr">
        <x:is>
          <x:t xml:space="preserve"/>
        </x:is>
      </x:c>
      <x:c r="H344" s="7" t="inlineStr">
        <x:is>
          <x:t xml:space="preserve">Operating Effectiveness</x:t>
        </x:is>
      </x:c>
      <x:c r="I344" s="7" t="inlineStr">
        <x:is>
          <x:t xml:space="preserve"/>
        </x:is>
      </x:c>
      <x:c r="J344" s="8" t="n">
        <x:v>46188</x:v>
      </x:c>
      <x:c r="K344" s="7" t="inlineStr">
        <x:is>
          <x:t xml:space="preserve">Not Started</x:t>
        </x:is>
      </x:c>
      <x:c r="L344" s="7" t="inlineStr">
        <x:is>
          <x:t xml:space="preserve"/>
        </x:is>
      </x:c>
      <x:c r="M344" s="6" t="inlineStr">
        <x:is>
          <x:t xml:space="preserve"/>
        </x:is>
      </x:c>
    </x:row>
    <x:row r="345" ht="35" customHeight="1">
      <x:c r="A345" s="7" t="inlineStr">
        <x:is>
          <x:t xml:space="preserve">P202606-0344</x:t>
        </x:is>
      </x:c>
      <x:c r="B345" s="7" t="n">
        <x:v>2026</x:v>
      </x:c>
      <x:c r="C345" s="7" t="inlineStr">
        <x:is>
          <x:t xml:space="preserve">Jun</x:t>
        </x:is>
      </x:c>
      <x:c r="D345" s="7" t="inlineStr">
        <x:is>
          <x:t xml:space="preserve">MCS44</x:t>
        </x:is>
      </x:c>
      <x:c r="E345" s="6" t="inlineStr">
        <x:is>
          <x:t xml:space="preserve">Reconciliation of intercompany balances</x:t>
        </x:is>
      </x:c>
      <x:c r="F345" s="6" t="inlineStr">
        <x:is>
          <x:t xml:space="preserve">Zainab Yunusah Saadu Daniel Banjo</x:t>
        </x:is>
      </x:c>
      <x:c r="G345" s="6" t="inlineStr">
        <x:is>
          <x:t xml:space="preserve"/>
        </x:is>
      </x:c>
      <x:c r="H345" s="7" t="inlineStr">
        <x:is>
          <x:t xml:space="preserve">Operating Effectiveness</x:t>
        </x:is>
      </x:c>
      <x:c r="I345" s="7" t="inlineStr">
        <x:is>
          <x:t xml:space="preserve"/>
        </x:is>
      </x:c>
      <x:c r="J345" s="8" t="n">
        <x:v>46188</x:v>
      </x:c>
      <x:c r="K345" s="7" t="inlineStr">
        <x:is>
          <x:t xml:space="preserve">Not Started</x:t>
        </x:is>
      </x:c>
      <x:c r="L345" s="7" t="inlineStr">
        <x:is>
          <x:t xml:space="preserve"/>
        </x:is>
      </x:c>
      <x:c r="M345" s="6" t="inlineStr">
        <x:is>
          <x:t xml:space="preserve"/>
        </x:is>
      </x:c>
    </x:row>
    <x:row r="346" ht="35" customHeight="1">
      <x:c r="A346" s="7" t="inlineStr">
        <x:is>
          <x:t xml:space="preserve">P202606-0345</x:t>
        </x:is>
      </x:c>
      <x:c r="B346" s="7" t="n">
        <x:v>2026</x:v>
      </x:c>
      <x:c r="C346" s="7" t="inlineStr">
        <x:is>
          <x:t xml:space="preserve">Jun</x:t>
        </x:is>
      </x:c>
      <x:c r="D346" s="7" t="inlineStr">
        <x:is>
          <x:t xml:space="preserve">MCS45</x:t>
        </x:is>
      </x:c>
      <x:c r="E346" s="6" t="inlineStr">
        <x:is>
          <x:t xml:space="preserve">Manual journal entries</x:t>
        </x:is>
      </x:c>
      <x:c r="F346" s="6" t="inlineStr">
        <x:is>
          <x:t xml:space="preserve">Zainab Yunusah Saadu Daniel Banjo</x:t>
        </x:is>
      </x:c>
      <x:c r="G346" s="6" t="inlineStr">
        <x:is>
          <x:t xml:space="preserve"/>
        </x:is>
      </x:c>
      <x:c r="H346" s="7" t="inlineStr">
        <x:is>
          <x:t xml:space="preserve">Operating Effectiveness</x:t>
        </x:is>
      </x:c>
      <x:c r="I346" s="7" t="inlineStr">
        <x:is>
          <x:t xml:space="preserve"/>
        </x:is>
      </x:c>
      <x:c r="J346" s="8" t="n">
        <x:v>46188</x:v>
      </x:c>
      <x:c r="K346" s="7" t="inlineStr">
        <x:is>
          <x:t xml:space="preserve">Not Started</x:t>
        </x:is>
      </x:c>
      <x:c r="L346" s="7" t="inlineStr">
        <x:is>
          <x:t xml:space="preserve"/>
        </x:is>
      </x:c>
      <x:c r="M346" s="6" t="inlineStr">
        <x:is>
          <x:t xml:space="preserve"/>
        </x:is>
      </x:c>
    </x:row>
    <x:row r="347" ht="35" customHeight="1">
      <x:c r="A347" s="7" t="inlineStr">
        <x:is>
          <x:t xml:space="preserve">P202606-0346</x:t>
        </x:is>
      </x:c>
      <x:c r="B347" s="7" t="n">
        <x:v>2026</x:v>
      </x:c>
      <x:c r="C347" s="7" t="inlineStr">
        <x:is>
          <x:t xml:space="preserve">Jun</x:t>
        </x:is>
      </x:c>
      <x:c r="D347" s="7" t="inlineStr">
        <x:is>
          <x:t xml:space="preserve">MCS46</x:t>
        </x:is>
      </x:c>
      <x:c r="E347" s="6" t="inlineStr">
        <x:is>
          <x:t xml:space="preserve">Impairment of goodwill, intangible assets and tangible assets</x:t>
        </x:is>
      </x:c>
      <x:c r="F347" s="6" t="inlineStr">
        <x:is>
          <x:t xml:space="preserve">Zainab Yunusah Saadu Daniel Banjo</x:t>
        </x:is>
      </x:c>
      <x:c r="G347" s="6" t="inlineStr">
        <x:is>
          <x:t xml:space="preserve"/>
        </x:is>
      </x:c>
      <x:c r="H347" s="7" t="inlineStr">
        <x:is>
          <x:t xml:space="preserve">Operating Effectiveness</x:t>
        </x:is>
      </x:c>
      <x:c r="I347" s="7" t="inlineStr">
        <x:is>
          <x:t xml:space="preserve"/>
        </x:is>
      </x:c>
      <x:c r="J347" s="8" t="n">
        <x:v>46188</x:v>
      </x:c>
      <x:c r="K347" s="7" t="inlineStr">
        <x:is>
          <x:t xml:space="preserve">Not Started</x:t>
        </x:is>
      </x:c>
      <x:c r="L347" s="7" t="inlineStr">
        <x:is>
          <x:t xml:space="preserve"/>
        </x:is>
      </x:c>
      <x:c r="M347" s="6" t="inlineStr">
        <x:is>
          <x:t xml:space="preserve"/>
        </x:is>
      </x:c>
    </x:row>
    <x:row r="348" ht="35" customHeight="1">
      <x:c r="A348" s="7" t="inlineStr">
        <x:is>
          <x:t xml:space="preserve">P202606-0347</x:t>
        </x:is>
      </x:c>
      <x:c r="B348" s="7" t="n">
        <x:v>2026</x:v>
      </x:c>
      <x:c r="C348" s="7" t="inlineStr">
        <x:is>
          <x:t xml:space="preserve">Jun</x:t>
        </x:is>
      </x:c>
      <x:c r="D348" s="7" t="inlineStr">
        <x:is>
          <x:t xml:space="preserve">MCS47</x:t>
        </x:is>
      </x:c>
      <x:c r="E348" s="6" t="inlineStr">
        <x:is>
          <x:t xml:space="preserve">Transactions in a foreign currency</x:t>
        </x:is>
      </x:c>
      <x:c r="F348" s="6" t="inlineStr">
        <x:is>
          <x:t xml:space="preserve">Zainab Yunusah Saadu Daniel Banjo</x:t>
        </x:is>
      </x:c>
      <x:c r="G348" s="6" t="inlineStr">
        <x:is>
          <x:t xml:space="preserve"/>
        </x:is>
      </x:c>
      <x:c r="H348" s="7" t="inlineStr">
        <x:is>
          <x:t xml:space="preserve">Operating Effectiveness</x:t>
        </x:is>
      </x:c>
      <x:c r="I348" s="7" t="inlineStr">
        <x:is>
          <x:t xml:space="preserve"/>
        </x:is>
      </x:c>
      <x:c r="J348" s="8" t="n">
        <x:v>46188</x:v>
      </x:c>
      <x:c r="K348" s="7" t="inlineStr">
        <x:is>
          <x:t xml:space="preserve">Not Started</x:t>
        </x:is>
      </x:c>
      <x:c r="L348" s="7" t="inlineStr">
        <x:is>
          <x:t xml:space="preserve"/>
        </x:is>
      </x:c>
      <x:c r="M348" s="6" t="inlineStr">
        <x:is>
          <x:t xml:space="preserve"/>
        </x:is>
      </x:c>
    </x:row>
    <x:row r="349" ht="35" customHeight="1">
      <x:c r="A349" s="7" t="inlineStr">
        <x:is>
          <x:t xml:space="preserve">P202606-0348</x:t>
        </x:is>
      </x:c>
      <x:c r="B349" s="7" t="n">
        <x:v>2026</x:v>
      </x:c>
      <x:c r="C349" s="7" t="inlineStr">
        <x:is>
          <x:t xml:space="preserve">Jun</x:t>
        </x:is>
      </x:c>
      <x:c r="D349" s="7" t="inlineStr">
        <x:is>
          <x:t xml:space="preserve">MCS48</x:t>
        </x:is>
      </x:c>
      <x:c r="E349" s="6" t="inlineStr">
        <x:is>
          <x:t xml:space="preserve">Management of legal structure and consolidation hierarchy</x:t>
        </x:is>
      </x:c>
      <x:c r="F349" s="6" t="inlineStr">
        <x:is>
          <x:t xml:space="preserve">Zainab Yunusah Saadu Daniel Banjo</x:t>
        </x:is>
      </x:c>
      <x:c r="G349" s="6" t="inlineStr">
        <x:is>
          <x:t xml:space="preserve"/>
        </x:is>
      </x:c>
      <x:c r="H349" s="7" t="inlineStr">
        <x:is>
          <x:t xml:space="preserve">Operating Effectiveness</x:t>
        </x:is>
      </x:c>
      <x:c r="I349" s="7" t="inlineStr">
        <x:is>
          <x:t xml:space="preserve"/>
        </x:is>
      </x:c>
      <x:c r="J349" s="8" t="n">
        <x:v>46188</x:v>
      </x:c>
      <x:c r="K349" s="7" t="inlineStr">
        <x:is>
          <x:t xml:space="preserve">Not Started</x:t>
        </x:is>
      </x:c>
      <x:c r="L349" s="7" t="inlineStr">
        <x:is>
          <x:t xml:space="preserve"/>
        </x:is>
      </x:c>
      <x:c r="M349" s="6" t="inlineStr">
        <x:is>
          <x:t xml:space="preserve"/>
        </x:is>
      </x:c>
    </x:row>
    <x:row r="350" ht="35" customHeight="1">
      <x:c r="A350" s="7" t="inlineStr">
        <x:is>
          <x:t xml:space="preserve">P202606-0349</x:t>
        </x:is>
      </x:c>
      <x:c r="B350" s="7" t="n">
        <x:v>2026</x:v>
      </x:c>
      <x:c r="C350" s="7" t="inlineStr">
        <x:is>
          <x:t xml:space="preserve">Jun</x:t>
        </x:is>
      </x:c>
      <x:c r="D350" s="7" t="inlineStr">
        <x:is>
          <x:t xml:space="preserve">MCS49</x:t>
        </x:is>
      </x:c>
      <x:c r="E350" s="6" t="inlineStr">
        <x:is>
          <x:t xml:space="preserve">Consolidation of financial statement</x:t>
        </x:is>
      </x:c>
      <x:c r="F350" s="6" t="inlineStr">
        <x:is>
          <x:t xml:space="preserve">Zainab Yunusah Saadu Daniel Banjo</x:t>
        </x:is>
      </x:c>
      <x:c r="G350" s="6" t="inlineStr">
        <x:is>
          <x:t xml:space="preserve"/>
        </x:is>
      </x:c>
      <x:c r="H350" s="7" t="inlineStr">
        <x:is>
          <x:t xml:space="preserve">Operating Effectiveness</x:t>
        </x:is>
      </x:c>
      <x:c r="I350" s="7" t="inlineStr">
        <x:is>
          <x:t xml:space="preserve"/>
        </x:is>
      </x:c>
      <x:c r="J350" s="8" t="n">
        <x:v>46188</x:v>
      </x:c>
      <x:c r="K350" s="7" t="inlineStr">
        <x:is>
          <x:t xml:space="preserve">Not Started</x:t>
        </x:is>
      </x:c>
      <x:c r="L350" s="7" t="inlineStr">
        <x:is>
          <x:t xml:space="preserve"/>
        </x:is>
      </x:c>
      <x:c r="M350" s="6" t="inlineStr">
        <x:is>
          <x:t xml:space="preserve"/>
        </x:is>
      </x:c>
    </x:row>
    <x:row r="351" ht="35" customHeight="1">
      <x:c r="A351" s="7" t="inlineStr">
        <x:is>
          <x:t xml:space="preserve">P202606-0350</x:t>
        </x:is>
      </x:c>
      <x:c r="B351" s="7" t="n">
        <x:v>2026</x:v>
      </x:c>
      <x:c r="C351" s="7" t="inlineStr">
        <x:is>
          <x:t xml:space="preserve">Jun</x:t>
        </x:is>
      </x:c>
      <x:c r="D351" s="7" t="inlineStr">
        <x:is>
          <x:t xml:space="preserve">MCS50</x:t>
        </x:is>
      </x:c>
      <x:c r="E351" s="6" t="inlineStr">
        <x:is>
          <x:t xml:space="preserve">Statutory financial statements</x:t>
        </x:is>
      </x:c>
      <x:c r="F351" s="6" t="inlineStr">
        <x:is>
          <x:t xml:space="preserve">Zainab Yunusah Saadu Daniel Banjo</x:t>
        </x:is>
      </x:c>
      <x:c r="G351" s="6" t="inlineStr">
        <x:is>
          <x:t xml:space="preserve"/>
        </x:is>
      </x:c>
      <x:c r="H351" s="7" t="inlineStr">
        <x:is>
          <x:t xml:space="preserve">Operating Effectiveness</x:t>
        </x:is>
      </x:c>
      <x:c r="I351" s="7" t="inlineStr">
        <x:is>
          <x:t xml:space="preserve"/>
        </x:is>
      </x:c>
      <x:c r="J351" s="8" t="n">
        <x:v>46188</x:v>
      </x:c>
      <x:c r="K351" s="7" t="inlineStr">
        <x:is>
          <x:t xml:space="preserve">Not Started</x:t>
        </x:is>
      </x:c>
      <x:c r="L351" s="7" t="inlineStr">
        <x:is>
          <x:t xml:space="preserve"/>
        </x:is>
      </x:c>
      <x:c r="M351" s="6" t="inlineStr">
        <x:is>
          <x:t xml:space="preserve"/>
        </x:is>
      </x:c>
    </x:row>
    <x:row r="352" ht="35" customHeight="1">
      <x:c r="A352" s="7" t="inlineStr">
        <x:is>
          <x:t xml:space="preserve">P202606-0351</x:t>
        </x:is>
      </x:c>
      <x:c r="B352" s="7" t="n">
        <x:v>2026</x:v>
      </x:c>
      <x:c r="C352" s="7" t="inlineStr">
        <x:is>
          <x:t xml:space="preserve">Jun</x:t>
        </x:is>
      </x:c>
      <x:c r="D352" s="7" t="inlineStr">
        <x:is>
          <x:t xml:space="preserve">MCS51</x:t>
        </x:is>
      </x:c>
      <x:c r="E352" s="6" t="inlineStr">
        <x:is>
          <x:t xml:space="preserve">Tax risk assessment and reporting</x:t>
        </x:is>
      </x:c>
      <x:c r="F352" s="6" t="n"/>
      <x:c r="G352" s="6" t="inlineStr">
        <x:is>
          <x:t xml:space="preserve"/>
        </x:is>
      </x:c>
      <x:c r="H352" s="7" t="inlineStr">
        <x:is>
          <x:t xml:space="preserve">Operating Effectiveness</x:t>
        </x:is>
      </x:c>
      <x:c r="I352" s="7" t="inlineStr">
        <x:is>
          <x:t xml:space="preserve"/>
        </x:is>
      </x:c>
      <x:c r="J352" s="8" t="n">
        <x:v>46188</x:v>
      </x:c>
      <x:c r="K352" s="7" t="inlineStr">
        <x:is>
          <x:t xml:space="preserve">Not Started</x:t>
        </x:is>
      </x:c>
      <x:c r="L352" s="7" t="inlineStr">
        <x:is>
          <x:t xml:space="preserve"/>
        </x:is>
      </x:c>
      <x:c r="M352" s="6" t="inlineStr">
        <x:is>
          <x:t xml:space="preserve"/>
        </x:is>
      </x:c>
    </x:row>
    <x:row r="353" ht="35" customHeight="1">
      <x:c r="A353" s="7" t="inlineStr">
        <x:is>
          <x:t xml:space="preserve">P202606-0352</x:t>
        </x:is>
      </x:c>
      <x:c r="B353" s="7" t="n">
        <x:v>2026</x:v>
      </x:c>
      <x:c r="C353" s="7" t="inlineStr">
        <x:is>
          <x:t xml:space="preserve">Jun</x:t>
        </x:is>
      </x:c>
      <x:c r="D353" s="7" t="inlineStr">
        <x:is>
          <x:t xml:space="preserve">MCS52</x:t>
        </x:is>
      </x:c>
      <x:c r="E353" s="6" t="inlineStr">
        <x:is>
          <x:t xml:space="preserve">Tax filings and payments</x:t>
        </x:is>
      </x:c>
      <x:c r="F353" s="6" t="n"/>
      <x:c r="G353" s="6" t="inlineStr">
        <x:is>
          <x:t xml:space="preserve"/>
        </x:is>
      </x:c>
      <x:c r="H353" s="7" t="inlineStr">
        <x:is>
          <x:t xml:space="preserve">Operating Effectiveness</x:t>
        </x:is>
      </x:c>
      <x:c r="I353" s="7" t="inlineStr">
        <x:is>
          <x:t xml:space="preserve"/>
        </x:is>
      </x:c>
      <x:c r="J353" s="8" t="n">
        <x:v>46188</x:v>
      </x:c>
      <x:c r="K353" s="7" t="inlineStr">
        <x:is>
          <x:t xml:space="preserve">Not Started</x:t>
        </x:is>
      </x:c>
      <x:c r="L353" s="7" t="inlineStr">
        <x:is>
          <x:t xml:space="preserve"/>
        </x:is>
      </x:c>
      <x:c r="M353" s="6" t="inlineStr">
        <x:is>
          <x:t xml:space="preserve"/>
        </x:is>
      </x:c>
    </x:row>
    <x:row r="354" ht="35" customHeight="1">
      <x:c r="A354" s="7" t="inlineStr">
        <x:is>
          <x:t xml:space="preserve">P202606-0353</x:t>
        </x:is>
      </x:c>
      <x:c r="B354" s="7" t="n">
        <x:v>2026</x:v>
      </x:c>
      <x:c r="C354" s="7" t="inlineStr">
        <x:is>
          <x:t xml:space="preserve">Jun</x:t>
        </x:is>
      </x:c>
      <x:c r="D354" s="7" t="inlineStr">
        <x:is>
          <x:t xml:space="preserve">MCS53</x:t>
        </x:is>
      </x:c>
      <x:c r="E354" s="6" t="inlineStr">
        <x:is>
          <x:t xml:space="preserve">Deferred and current income tax calculations</x:t>
        </x:is>
      </x:c>
      <x:c r="F354" s="6" t="n"/>
      <x:c r="G354" s="6" t="inlineStr">
        <x:is>
          <x:t xml:space="preserve"/>
        </x:is>
      </x:c>
      <x:c r="H354" s="7" t="inlineStr">
        <x:is>
          <x:t xml:space="preserve">Operating Effectiveness</x:t>
        </x:is>
      </x:c>
      <x:c r="I354" s="7" t="inlineStr">
        <x:is>
          <x:t xml:space="preserve"/>
        </x:is>
      </x:c>
      <x:c r="J354" s="8" t="n">
        <x:v>46188</x:v>
      </x:c>
      <x:c r="K354" s="7" t="inlineStr">
        <x:is>
          <x:t xml:space="preserve">Not Started</x:t>
        </x:is>
      </x:c>
      <x:c r="L354" s="7" t="inlineStr">
        <x:is>
          <x:t xml:space="preserve"/>
        </x:is>
      </x:c>
      <x:c r="M354" s="6" t="inlineStr">
        <x:is>
          <x:t xml:space="preserve"/>
        </x:is>
      </x:c>
    </x:row>
    <x:row r="355" ht="35" customHeight="1">
      <x:c r="A355" s="7" t="inlineStr">
        <x:is>
          <x:t xml:space="preserve">P202606-0354</x:t>
        </x:is>
      </x:c>
      <x:c r="B355" s="7" t="n">
        <x:v>2026</x:v>
      </x:c>
      <x:c r="C355" s="7" t="inlineStr">
        <x:is>
          <x:t xml:space="preserve">Jun</x:t>
        </x:is>
      </x:c>
      <x:c r="D355" s="7" t="inlineStr">
        <x:is>
          <x:t xml:space="preserve">MCS54</x:t>
        </x:is>
      </x:c>
      <x:c r="E355" s="6" t="inlineStr">
        <x:is>
          <x:t xml:space="preserve">Transfer pricing</x:t>
        </x:is>
      </x:c>
      <x:c r="F355" s="6" t="n"/>
      <x:c r="G355" s="6" t="inlineStr">
        <x:is>
          <x:t xml:space="preserve"/>
        </x:is>
      </x:c>
      <x:c r="H355" s="7" t="inlineStr">
        <x:is>
          <x:t xml:space="preserve">Operating Effectiveness</x:t>
        </x:is>
      </x:c>
      <x:c r="I355" s="7" t="inlineStr">
        <x:is>
          <x:t xml:space="preserve"/>
        </x:is>
      </x:c>
      <x:c r="J355" s="8" t="n">
        <x:v>46188</x:v>
      </x:c>
      <x:c r="K355" s="7" t="inlineStr">
        <x:is>
          <x:t xml:space="preserve">Not Started</x:t>
        </x:is>
      </x:c>
      <x:c r="L355" s="7" t="inlineStr">
        <x:is>
          <x:t xml:space="preserve"/>
        </x:is>
      </x:c>
      <x:c r="M355" s="6" t="inlineStr">
        <x:is>
          <x:t xml:space="preserve"/>
        </x:is>
      </x:c>
    </x:row>
    <x:row r="356" ht="35" customHeight="1">
      <x:c r="A356" s="7" t="inlineStr">
        <x:is>
          <x:t xml:space="preserve">P202606-0355</x:t>
        </x:is>
      </x:c>
      <x:c r="B356" s="7" t="n">
        <x:v>2026</x:v>
      </x:c>
      <x:c r="C356" s="7" t="inlineStr">
        <x:is>
          <x:t xml:space="preserve">Jun</x:t>
        </x:is>
      </x:c>
      <x:c r="D356" s="7" t="inlineStr">
        <x:is>
          <x:t xml:space="preserve">MCS55</x:t>
        </x:is>
      </x:c>
      <x:c r="E356" s="6" t="inlineStr">
        <x:is>
          <x:t xml:space="preserve">Non-income (indirect) taxes</x:t>
        </x:is>
      </x:c>
      <x:c r="F356" s="6" t="n"/>
      <x:c r="G356" s="6" t="inlineStr">
        <x:is>
          <x:t xml:space="preserve"/>
        </x:is>
      </x:c>
      <x:c r="H356" s="7" t="inlineStr">
        <x:is>
          <x:t xml:space="preserve">Operating Effectiveness</x:t>
        </x:is>
      </x:c>
      <x:c r="I356" s="7" t="inlineStr">
        <x:is>
          <x:t xml:space="preserve"/>
        </x:is>
      </x:c>
      <x:c r="J356" s="8" t="n">
        <x:v>46188</x:v>
      </x:c>
      <x:c r="K356" s="7" t="inlineStr">
        <x:is>
          <x:t xml:space="preserve">Not Started</x:t>
        </x:is>
      </x:c>
      <x:c r="L356" s="7" t="inlineStr">
        <x:is>
          <x:t xml:space="preserve"/>
        </x:is>
      </x:c>
      <x:c r="M356" s="6" t="inlineStr">
        <x:is>
          <x:t xml:space="preserve"/>
        </x:is>
      </x:c>
    </x:row>
    <x:row r="357" ht="35" customHeight="1">
      <x:c r="A357" s="7" t="inlineStr">
        <x:is>
          <x:t xml:space="preserve">P202606-0356</x:t>
        </x:is>
      </x:c>
      <x:c r="B357" s="7" t="n">
        <x:v>2026</x:v>
      </x:c>
      <x:c r="C357" s="7" t="inlineStr">
        <x:is>
          <x:t xml:space="preserve">Jun</x:t>
        </x:is>
      </x:c>
      <x:c r="D357" s="7" t="inlineStr">
        <x:is>
          <x:t xml:space="preserve">MCS56</x:t>
        </x:is>
      </x:c>
      <x:c r="E357" s="6" t="inlineStr">
        <x:is>
          <x:t xml:space="preserve">Bank relations</x:t>
        </x:is>
      </x:c>
      <x:c r="F357" s="6" t="n"/>
      <x:c r="G357" s="6" t="inlineStr">
        <x:is>
          <x:t xml:space="preserve"/>
        </x:is>
      </x:c>
      <x:c r="H357" s="7" t="inlineStr">
        <x:is>
          <x:t xml:space="preserve">Operating Effectiveness</x:t>
        </x:is>
      </x:c>
      <x:c r="I357" s="7" t="inlineStr">
        <x:is>
          <x:t xml:space="preserve"/>
        </x:is>
      </x:c>
      <x:c r="J357" s="8" t="n">
        <x:v>46188</x:v>
      </x:c>
      <x:c r="K357" s="7" t="inlineStr">
        <x:is>
          <x:t xml:space="preserve">Not Started</x:t>
        </x:is>
      </x:c>
      <x:c r="L357" s="7" t="inlineStr">
        <x:is>
          <x:t xml:space="preserve"/>
        </x:is>
      </x:c>
      <x:c r="M357" s="6" t="inlineStr">
        <x:is>
          <x:t xml:space="preserve"/>
        </x:is>
      </x:c>
    </x:row>
    <x:row r="358" ht="35" customHeight="1">
      <x:c r="A358" s="7" t="inlineStr">
        <x:is>
          <x:t xml:space="preserve">P202606-0357</x:t>
        </x:is>
      </x:c>
      <x:c r="B358" s="7" t="n">
        <x:v>2026</x:v>
      </x:c>
      <x:c r="C358" s="7" t="inlineStr">
        <x:is>
          <x:t xml:space="preserve">Jun</x:t>
        </x:is>
      </x:c>
      <x:c r="D358" s="7" t="inlineStr">
        <x:is>
          <x:t xml:space="preserve">MCS57</x:t>
        </x:is>
      </x:c>
      <x:c r="E358" s="6" t="inlineStr">
        <x:is>
          <x:t xml:space="preserve">Cash transactions are not permitted without Regional Controller approval</x:t>
        </x:is>
      </x:c>
      <x:c r="F358" s="6" t="n"/>
      <x:c r="G358" s="6" t="inlineStr">
        <x:is>
          <x:t xml:space="preserve"/>
        </x:is>
      </x:c>
      <x:c r="H358" s="7" t="inlineStr">
        <x:is>
          <x:t xml:space="preserve">Operating Effectiveness</x:t>
        </x:is>
      </x:c>
      <x:c r="I358" s="7" t="inlineStr">
        <x:is>
          <x:t xml:space="preserve"/>
        </x:is>
      </x:c>
      <x:c r="J358" s="8" t="n">
        <x:v>46188</x:v>
      </x:c>
      <x:c r="K358" s="7" t="inlineStr">
        <x:is>
          <x:t xml:space="preserve">Not Started</x:t>
        </x:is>
      </x:c>
      <x:c r="L358" s="7" t="inlineStr">
        <x:is>
          <x:t xml:space="preserve"/>
        </x:is>
      </x:c>
      <x:c r="M358" s="6" t="inlineStr">
        <x:is>
          <x:t xml:space="preserve"/>
        </x:is>
      </x:c>
    </x:row>
    <x:row r="359" ht="35" customHeight="1">
      <x:c r="A359" s="7" t="inlineStr">
        <x:is>
          <x:t xml:space="preserve">P202606-0358</x:t>
        </x:is>
      </x:c>
      <x:c r="B359" s="7" t="n">
        <x:v>2026</x:v>
      </x:c>
      <x:c r="C359" s="7" t="inlineStr">
        <x:is>
          <x:t xml:space="preserve">Jun</x:t>
        </x:is>
      </x:c>
      <x:c r="D359" s="7" t="inlineStr">
        <x:is>
          <x:t xml:space="preserve">MCS58</x:t>
        </x:is>
      </x:c>
      <x:c r="E359" s="6" t="inlineStr">
        <x:is>
          <x:t xml:space="preserve">Secure payment means</x:t>
        </x:is>
      </x:c>
      <x:c r="F359" s="6" t="n"/>
      <x:c r="G359" s="6" t="inlineStr">
        <x:is>
          <x:t xml:space="preserve"/>
        </x:is>
      </x:c>
      <x:c r="H359" s="7" t="inlineStr">
        <x:is>
          <x:t xml:space="preserve">Operating Effectiveness</x:t>
        </x:is>
      </x:c>
      <x:c r="I359" s="7" t="inlineStr">
        <x:is>
          <x:t xml:space="preserve"/>
        </x:is>
      </x:c>
      <x:c r="J359" s="8" t="n">
        <x:v>46188</x:v>
      </x:c>
      <x:c r="K359" s="7" t="inlineStr">
        <x:is>
          <x:t xml:space="preserve">Not Started</x:t>
        </x:is>
      </x:c>
      <x:c r="L359" s="7" t="inlineStr">
        <x:is>
          <x:t xml:space="preserve"/>
        </x:is>
      </x:c>
      <x:c r="M359" s="6" t="inlineStr">
        <x:is>
          <x:t xml:space="preserve"/>
        </x:is>
      </x:c>
    </x:row>
    <x:row r="360" ht="35" customHeight="1">
      <x:c r="A360" s="7" t="inlineStr">
        <x:is>
          <x:t xml:space="preserve">P202606-0359</x:t>
        </x:is>
      </x:c>
      <x:c r="B360" s="7" t="n">
        <x:v>2026</x:v>
      </x:c>
      <x:c r="C360" s="7" t="inlineStr">
        <x:is>
          <x:t xml:space="preserve">Jun</x:t>
        </x:is>
      </x:c>
      <x:c r="D360" s="7" t="inlineStr">
        <x:is>
          <x:t xml:space="preserve">MCS59</x:t>
        </x:is>
      </x:c>
      <x:c r="E360" s="6" t="inlineStr">
        <x:is>
          <x:t xml:space="preserve">Financial instruments, borrowings, commitments and working capital schemes</x:t>
        </x:is>
      </x:c>
      <x:c r="F360" s="6" t="n"/>
      <x:c r="G360" s="6" t="inlineStr">
        <x:is>
          <x:t xml:space="preserve"/>
        </x:is>
      </x:c>
      <x:c r="H360" s="7" t="inlineStr">
        <x:is>
          <x:t xml:space="preserve">Operating Effectiveness</x:t>
        </x:is>
      </x:c>
      <x:c r="I360" s="7" t="inlineStr">
        <x:is>
          <x:t xml:space="preserve"/>
        </x:is>
      </x:c>
      <x:c r="J360" s="8" t="n">
        <x:v>46188</x:v>
      </x:c>
      <x:c r="K360" s="7" t="inlineStr">
        <x:is>
          <x:t xml:space="preserve">Not Started</x:t>
        </x:is>
      </x:c>
      <x:c r="L360" s="7" t="inlineStr">
        <x:is>
          <x:t xml:space="preserve"/>
        </x:is>
      </x:c>
      <x:c r="M360" s="6" t="inlineStr">
        <x:is>
          <x:t xml:space="preserve"/>
        </x:is>
      </x:c>
    </x:row>
    <x:row r="361" ht="35" customHeight="1">
      <x:c r="A361" s="7" t="inlineStr">
        <x:is>
          <x:t xml:space="preserve">P202606-0360</x:t>
        </x:is>
      </x:c>
      <x:c r="B361" s="7" t="n">
        <x:v>2026</x:v>
      </x:c>
      <x:c r="C361" s="7" t="inlineStr">
        <x:is>
          <x:t xml:space="preserve">Jun</x:t>
        </x:is>
      </x:c>
      <x:c r="D361" s="7" t="inlineStr">
        <x:is>
          <x:t xml:space="preserve">MCS60</x:t>
        </x:is>
      </x:c>
      <x:c r="E361" s="6" t="inlineStr">
        <x:is>
          <x:t xml:space="preserve">Forex, interest rate, commodities risks monitoring and hedging</x:t>
        </x:is>
      </x:c>
      <x:c r="F361" s="6" t="n"/>
      <x:c r="G361" s="6" t="inlineStr">
        <x:is>
          <x:t xml:space="preserve"/>
        </x:is>
      </x:c>
      <x:c r="H361" s="7" t="inlineStr">
        <x:is>
          <x:t xml:space="preserve">Operating Effectiveness</x:t>
        </x:is>
      </x:c>
      <x:c r="I361" s="7" t="inlineStr">
        <x:is>
          <x:t xml:space="preserve"/>
        </x:is>
      </x:c>
      <x:c r="J361" s="8" t="n">
        <x:v>46188</x:v>
      </x:c>
      <x:c r="K361" s="7" t="inlineStr">
        <x:is>
          <x:t xml:space="preserve">Not Started</x:t>
        </x:is>
      </x:c>
      <x:c r="L361" s="7" t="inlineStr">
        <x:is>
          <x:t xml:space="preserve"/>
        </x:is>
      </x:c>
      <x:c r="M361" s="6" t="inlineStr">
        <x:is>
          <x:t xml:space="preserve"/>
        </x:is>
      </x:c>
    </x:row>
    <x:row r="362" ht="35" customHeight="1">
      <x:c r="A362" s="7" t="inlineStr">
        <x:is>
          <x:t xml:space="preserve">P202607-0361</x:t>
        </x:is>
      </x:c>
      <x:c r="B362" s="7" t="n">
        <x:v>2026</x:v>
      </x:c>
      <x:c r="C362" s="7" t="inlineStr">
        <x:is>
          <x:t xml:space="preserve">Jul</x:t>
        </x:is>
      </x:c>
      <x:c r="D362" s="7" t="inlineStr">
        <x:is>
          <x:t xml:space="preserve">MCS01</x:t>
        </x:is>
      </x:c>
      <x:c r="E362" s="6" t="inlineStr">
        <x:is>
          <x:t xml:space="preserve">Communication and promotion of the Code of Business Conduct and speak-up culture</x:t>
        </x:is>
      </x:c>
      <x:c r="F362" s="6" t="inlineStr">
        <x:is>
          <x:t xml:space="preserve">Omoyemi Tuga Olamide Ayo-Ogunlade </x:t>
        </x:is>
      </x:c>
      <x:c r="G362" s="6" t="inlineStr">
        <x:is>
          <x:t xml:space="preserve"/>
        </x:is>
      </x:c>
      <x:c r="H362" s="7" t="inlineStr">
        <x:is>
          <x:t xml:space="preserve">Operating Effectiveness</x:t>
        </x:is>
      </x:c>
      <x:c r="I362" s="7" t="inlineStr">
        <x:is>
          <x:t xml:space="preserve"/>
        </x:is>
      </x:c>
      <x:c r="J362" s="8" t="n">
        <x:v>46218</x:v>
      </x:c>
      <x:c r="K362" s="7" t="inlineStr">
        <x:is>
          <x:t xml:space="preserve">Not Started</x:t>
        </x:is>
      </x:c>
      <x:c r="L362" s="7" t="inlineStr">
        <x:is>
          <x:t xml:space="preserve"/>
        </x:is>
      </x:c>
      <x:c r="M362" s="6" t="inlineStr">
        <x:is>
          <x:t xml:space="preserve"/>
        </x:is>
      </x:c>
    </x:row>
    <x:row r="363" ht="35" customHeight="1">
      <x:c r="A363" s="7" t="inlineStr">
        <x:is>
          <x:t xml:space="preserve">P202607-0362</x:t>
        </x:is>
      </x:c>
      <x:c r="B363" s="7" t="n">
        <x:v>2026</x:v>
      </x:c>
      <x:c r="C363" s="7" t="inlineStr">
        <x:is>
          <x:t xml:space="preserve">Jul</x:t>
        </x:is>
      </x:c>
      <x:c r="D363" s="7" t="inlineStr">
        <x:is>
          <x:t xml:space="preserve">MCS02</x:t>
        </x:is>
      </x:c>
      <x:c r="E363" s="6" t="inlineStr">
        <x:is>
          <x:t xml:space="preserve">Compliance with Fair Competition laws and requirements</x:t>
        </x:is>
      </x:c>
      <x:c r="F363" s="6" t="inlineStr">
        <x:is>
          <x:t xml:space="preserve">Mary Waititu</x:t>
        </x:is>
      </x:c>
      <x:c r="G363" s="6" t="inlineStr">
        <x:is>
          <x:t xml:space="preserve"/>
        </x:is>
      </x:c>
      <x:c r="H363" s="7" t="inlineStr">
        <x:is>
          <x:t xml:space="preserve">Operating Effectiveness</x:t>
        </x:is>
      </x:c>
      <x:c r="I363" s="7" t="inlineStr">
        <x:is>
          <x:t xml:space="preserve"/>
        </x:is>
      </x:c>
      <x:c r="J363" s="8" t="n">
        <x:v>46218</x:v>
      </x:c>
      <x:c r="K363" s="7" t="inlineStr">
        <x:is>
          <x:t xml:space="preserve">Not Started</x:t>
        </x:is>
      </x:c>
      <x:c r="L363" s="7" t="inlineStr">
        <x:is>
          <x:t xml:space="preserve"/>
        </x:is>
      </x:c>
      <x:c r="M363" s="6" t="inlineStr">
        <x:is>
          <x:t xml:space="preserve"/>
        </x:is>
      </x:c>
    </x:row>
    <x:row r="364" ht="35" customHeight="1">
      <x:c r="A364" s="7" t="inlineStr">
        <x:is>
          <x:t xml:space="preserve">P202607-0363</x:t>
        </x:is>
      </x:c>
      <x:c r="B364" s="7" t="n">
        <x:v>2026</x:v>
      </x:c>
      <x:c r="C364" s="7" t="inlineStr">
        <x:is>
          <x:t xml:space="preserve">Jul</x:t>
        </x:is>
      </x:c>
      <x:c r="D364" s="7" t="inlineStr">
        <x:is>
          <x:t xml:space="preserve">MCS03</x:t>
        </x:is>
      </x:c>
      <x:c r="E364" s="6" t="inlineStr">
        <x:is>
          <x:t xml:space="preserve">Related party transactions and conflict of interests</x:t>
        </x:is>
      </x:c>
      <x:c r="F364" s="6" t="inlineStr">
        <x:is>
          <x:t xml:space="preserve">Mary Waititu Godson Iwuozo</x:t>
        </x:is>
      </x:c>
      <x:c r="G364" s="6" t="inlineStr">
        <x:is>
          <x:t xml:space="preserve"/>
        </x:is>
      </x:c>
      <x:c r="H364" s="7" t="inlineStr">
        <x:is>
          <x:t xml:space="preserve">Operating Effectiveness</x:t>
        </x:is>
      </x:c>
      <x:c r="I364" s="7" t="inlineStr">
        <x:is>
          <x:t xml:space="preserve"/>
        </x:is>
      </x:c>
      <x:c r="J364" s="8" t="n">
        <x:v>46218</x:v>
      </x:c>
      <x:c r="K364" s="7" t="inlineStr">
        <x:is>
          <x:t xml:space="preserve">Not Started</x:t>
        </x:is>
      </x:c>
      <x:c r="L364" s="7" t="inlineStr">
        <x:is>
          <x:t xml:space="preserve"/>
        </x:is>
      </x:c>
      <x:c r="M364" s="6" t="inlineStr">
        <x:is>
          <x:t xml:space="preserve"/>
        </x:is>
      </x:c>
    </x:row>
    <x:row r="365" ht="35" customHeight="1">
      <x:c r="A365" s="7" t="inlineStr">
        <x:is>
          <x:t xml:space="preserve">P202607-0364</x:t>
        </x:is>
      </x:c>
      <x:c r="B365" s="7" t="n">
        <x:v>2026</x:v>
      </x:c>
      <x:c r="C365" s="7" t="inlineStr">
        <x:is>
          <x:t xml:space="preserve">Jul</x:t>
        </x:is>
      </x:c>
      <x:c r="D365" s="7" t="inlineStr">
        <x:is>
          <x:t xml:space="preserve">MCS04</x:t>
        </x:is>
      </x:c>
      <x:c r="E365" s="6" t="inlineStr">
        <x:is>
          <x:t xml:space="preserve">Board of Directors secretarial requirements</x:t>
        </x:is>
      </x:c>
      <x:c r="F365" s="6" t="inlineStr">
        <x:is>
          <x:t xml:space="preserve">Mary Waititu Godson Iwuozo</x:t>
        </x:is>
      </x:c>
      <x:c r="G365" s="6" t="inlineStr">
        <x:is>
          <x:t xml:space="preserve"/>
        </x:is>
      </x:c>
      <x:c r="H365" s="7" t="inlineStr">
        <x:is>
          <x:t xml:space="preserve">Operating Effectiveness</x:t>
        </x:is>
      </x:c>
      <x:c r="I365" s="7" t="inlineStr">
        <x:is>
          <x:t xml:space="preserve"/>
        </x:is>
      </x:c>
      <x:c r="J365" s="8" t="n">
        <x:v>46218</x:v>
      </x:c>
      <x:c r="K365" s="7" t="inlineStr">
        <x:is>
          <x:t xml:space="preserve">Not Started</x:t>
        </x:is>
      </x:c>
      <x:c r="L365" s="7" t="inlineStr">
        <x:is>
          <x:t xml:space="preserve"/>
        </x:is>
      </x:c>
      <x:c r="M365" s="6" t="inlineStr">
        <x:is>
          <x:t xml:space="preserve"/>
        </x:is>
      </x:c>
    </x:row>
    <x:row r="366" ht="35" customHeight="1">
      <x:c r="A366" s="7" t="inlineStr">
        <x:is>
          <x:t xml:space="preserve">P202607-0365</x:t>
        </x:is>
      </x:c>
      <x:c r="B366" s="7" t="n">
        <x:v>2026</x:v>
      </x:c>
      <x:c r="C366" s="7" t="inlineStr">
        <x:is>
          <x:t xml:space="preserve">Jul</x:t>
        </x:is>
      </x:c>
      <x:c r="D366" s="7" t="inlineStr">
        <x:is>
          <x:t xml:space="preserve">MCS05</x:t>
        </x:is>
      </x:c>
      <x:c r="E366" s="6" t="inlineStr">
        <x:is>
          <x:t xml:space="preserve">Health, Safety &amp; Environment</x:t>
        </x:is>
      </x:c>
      <x:c r="F366" s="6" t="inlineStr">
        <x:is>
          <x:t xml:space="preserve">Omoyemi Tuga Yomi Jegede</x:t>
        </x:is>
      </x:c>
      <x:c r="G366" s="6" t="inlineStr">
        <x:is>
          <x:t xml:space="preserve"/>
        </x:is>
      </x:c>
      <x:c r="H366" s="7" t="inlineStr">
        <x:is>
          <x:t xml:space="preserve">Operating Effectiveness</x:t>
        </x:is>
      </x:c>
      <x:c r="I366" s="7" t="inlineStr">
        <x:is>
          <x:t xml:space="preserve"/>
        </x:is>
      </x:c>
      <x:c r="J366" s="8" t="n">
        <x:v>46218</x:v>
      </x:c>
      <x:c r="K366" s="7" t="inlineStr">
        <x:is>
          <x:t xml:space="preserve">Not Started</x:t>
        </x:is>
      </x:c>
      <x:c r="L366" s="7" t="inlineStr">
        <x:is>
          <x:t xml:space="preserve"/>
        </x:is>
      </x:c>
      <x:c r="M366" s="6" t="inlineStr">
        <x:is>
          <x:t xml:space="preserve"/>
        </x:is>
      </x:c>
    </x:row>
    <x:row r="367" ht="35" customHeight="1">
      <x:c r="A367" s="7" t="inlineStr">
        <x:is>
          <x:t xml:space="preserve">P202607-0366</x:t>
        </x:is>
      </x:c>
      <x:c r="B367" s="7" t="n">
        <x:v>2026</x:v>
      </x:c>
      <x:c r="C367" s="7" t="inlineStr">
        <x:is>
          <x:t xml:space="preserve">Jul</x:t>
        </x:is>
      </x:c>
      <x:c r="D367" s="7" t="inlineStr">
        <x:is>
          <x:t xml:space="preserve">MCS06</x:t>
        </x:is>
      </x:c>
      <x:c r="E367" s="6" t="inlineStr">
        <x:is>
          <x:t xml:space="preserve">Risk assessment</x:t>
        </x:is>
      </x:c>
      <x:c r="F367" s="6" t="inlineStr">
        <x:is>
          <x:t xml:space="preserve">Oluwaseun Oyedepo</x:t>
        </x:is>
      </x:c>
      <x:c r="G367" s="6" t="inlineStr">
        <x:is>
          <x:t xml:space="preserve"/>
        </x:is>
      </x:c>
      <x:c r="H367" s="7" t="inlineStr">
        <x:is>
          <x:t xml:space="preserve">Operating Effectiveness</x:t>
        </x:is>
      </x:c>
      <x:c r="I367" s="7" t="inlineStr">
        <x:is>
          <x:t xml:space="preserve"/>
        </x:is>
      </x:c>
      <x:c r="J367" s="8" t="n">
        <x:v>46218</x:v>
      </x:c>
      <x:c r="K367" s="7" t="inlineStr">
        <x:is>
          <x:t xml:space="preserve">Not Started</x:t>
        </x:is>
      </x:c>
      <x:c r="L367" s="7" t="inlineStr">
        <x:is>
          <x:t xml:space="preserve"/>
        </x:is>
      </x:c>
      <x:c r="M367" s="6" t="inlineStr">
        <x:is>
          <x:t xml:space="preserve"/>
        </x:is>
      </x:c>
    </x:row>
    <x:row r="368" ht="35" customHeight="1">
      <x:c r="A368" s="7" t="inlineStr">
        <x:is>
          <x:t xml:space="preserve">P202607-0367</x:t>
        </x:is>
      </x:c>
      <x:c r="B368" s="7" t="n">
        <x:v>2026</x:v>
      </x:c>
      <x:c r="C368" s="7" t="inlineStr">
        <x:is>
          <x:t xml:space="preserve">Jul</x:t>
        </x:is>
      </x:c>
      <x:c r="D368" s="7" t="inlineStr">
        <x:is>
          <x:t xml:space="preserve">MCS07</x:t>
        </x:is>
      </x:c>
      <x:c r="E368" s="6" t="inlineStr">
        <x:is>
          <x:t xml:space="preserve">Mitigation of business risks - Security</x:t>
        </x:is>
      </x:c>
      <x:c r="F368" s="6" t="inlineStr">
        <x:is>
          <x:t xml:space="preserve">Olamide Ayo-Ogunlade Obinna Ojimba</x:t>
        </x:is>
      </x:c>
      <x:c r="G368" s="6" t="inlineStr">
        <x:is>
          <x:t xml:space="preserve"/>
        </x:is>
      </x:c>
      <x:c r="H368" s="7" t="inlineStr">
        <x:is>
          <x:t xml:space="preserve">Operating Effectiveness</x:t>
        </x:is>
      </x:c>
      <x:c r="I368" s="7" t="inlineStr">
        <x:is>
          <x:t xml:space="preserve"/>
        </x:is>
      </x:c>
      <x:c r="J368" s="8" t="n">
        <x:v>46218</x:v>
      </x:c>
      <x:c r="K368" s="7" t="inlineStr">
        <x:is>
          <x:t xml:space="preserve">Not Started</x:t>
        </x:is>
      </x:c>
      <x:c r="L368" s="7" t="inlineStr">
        <x:is>
          <x:t xml:space="preserve"/>
        </x:is>
      </x:c>
      <x:c r="M368" s="6" t="inlineStr">
        <x:is>
          <x:t xml:space="preserve"/>
        </x:is>
      </x:c>
    </x:row>
    <x:row r="369" ht="35" customHeight="1">
      <x:c r="A369" s="7" t="inlineStr">
        <x:is>
          <x:t xml:space="preserve">P202607-0368</x:t>
        </x:is>
      </x:c>
      <x:c r="B369" s="7" t="n">
        <x:v>2026</x:v>
      </x:c>
      <x:c r="C369" s="7" t="inlineStr">
        <x:is>
          <x:t xml:space="preserve">Jul</x:t>
        </x:is>
      </x:c>
      <x:c r="D369" s="7" t="inlineStr">
        <x:is>
          <x:t xml:space="preserve">MCS08</x:t>
        </x:is>
      </x:c>
      <x:c r="E369" s="6" t="inlineStr">
        <x:is>
          <x:t xml:space="preserve">Mitigation of business risks - Group insurance</x:t>
        </x:is>
      </x:c>
      <x:c r="F369" s="6" t="inlineStr">
        <x:is>
          <x:t xml:space="preserve">Victory Olumuyiwa</x:t>
        </x:is>
      </x:c>
      <x:c r="G369" s="6" t="inlineStr">
        <x:is>
          <x:t xml:space="preserve"/>
        </x:is>
      </x:c>
      <x:c r="H369" s="7" t="inlineStr">
        <x:is>
          <x:t xml:space="preserve">Operating Effectiveness</x:t>
        </x:is>
      </x:c>
      <x:c r="I369" s="7" t="inlineStr">
        <x:is>
          <x:t xml:space="preserve"/>
        </x:is>
      </x:c>
      <x:c r="J369" s="8" t="n">
        <x:v>46218</x:v>
      </x:c>
      <x:c r="K369" s="7" t="inlineStr">
        <x:is>
          <x:t xml:space="preserve">Not Started</x:t>
        </x:is>
      </x:c>
      <x:c r="L369" s="7" t="inlineStr">
        <x:is>
          <x:t xml:space="preserve"/>
        </x:is>
      </x:c>
      <x:c r="M369" s="6" t="inlineStr">
        <x:is>
          <x:t xml:space="preserve"/>
        </x:is>
      </x:c>
    </x:row>
    <x:row r="370" ht="35" customHeight="1">
      <x:c r="A370" s="7" t="inlineStr">
        <x:is>
          <x:t xml:space="preserve">P202607-0369</x:t>
        </x:is>
      </x:c>
      <x:c r="B370" s="7" t="n">
        <x:v>2026</x:v>
      </x:c>
      <x:c r="C370" s="7" t="inlineStr">
        <x:is>
          <x:t xml:space="preserve">Jul</x:t>
        </x:is>
      </x:c>
      <x:c r="D370" s="7" t="inlineStr">
        <x:is>
          <x:t xml:space="preserve">MCS09</x:t>
        </x:is>
      </x:c>
      <x:c r="E370" s="6" t="inlineStr">
        <x:is>
          <x:t xml:space="preserve">Mitigation of business risks - Business Resilience System</x:t>
        </x:is>
      </x:c>
      <x:c r="F370" s="6" t="inlineStr">
        <x:is>
          <x:t xml:space="preserve">Oluwaseun Oyedepo</x:t>
        </x:is>
      </x:c>
      <x:c r="G370" s="6" t="inlineStr">
        <x:is>
          <x:t xml:space="preserve"/>
        </x:is>
      </x:c>
      <x:c r="H370" s="7" t="inlineStr">
        <x:is>
          <x:t xml:space="preserve">Operating Effectiveness</x:t>
        </x:is>
      </x:c>
      <x:c r="I370" s="7" t="inlineStr">
        <x:is>
          <x:t xml:space="preserve"/>
        </x:is>
      </x:c>
      <x:c r="J370" s="8" t="n">
        <x:v>46218</x:v>
      </x:c>
      <x:c r="K370" s="7" t="inlineStr">
        <x:is>
          <x:t xml:space="preserve">Not Started</x:t>
        </x:is>
      </x:c>
      <x:c r="L370" s="7" t="inlineStr">
        <x:is>
          <x:t xml:space="preserve"/>
        </x:is>
      </x:c>
      <x:c r="M370" s="6" t="inlineStr">
        <x:is>
          <x:t xml:space="preserve"/>
        </x:is>
      </x:c>
    </x:row>
    <x:row r="371" ht="35" customHeight="1">
      <x:c r="A371" s="7" t="inlineStr">
        <x:is>
          <x:t xml:space="preserve">P202607-0370</x:t>
        </x:is>
      </x:c>
      <x:c r="B371" s="7" t="n">
        <x:v>2026</x:v>
      </x:c>
      <x:c r="C371" s="7" t="inlineStr">
        <x:is>
          <x:t xml:space="preserve">Jul</x:t>
        </x:is>
      </x:c>
      <x:c r="D371" s="7" t="inlineStr">
        <x:is>
          <x:t xml:space="preserve">MCS10</x:t>
        </x:is>
      </x:c>
      <x:c r="E371" s="6" t="inlineStr">
        <x:is>
          <x:t xml:space="preserve">Mitigation of business risks - Remediation of deficiencies and non-compliance with MCS</x:t>
        </x:is>
      </x:c>
      <x:c r="F371" s="6" t="inlineStr">
        <x:is>
          <x:t xml:space="preserve">Oluwaseun Oyedepo</x:t>
        </x:is>
      </x:c>
      <x:c r="G371" s="6" t="inlineStr">
        <x:is>
          <x:t xml:space="preserve"/>
        </x:is>
      </x:c>
      <x:c r="H371" s="7" t="inlineStr">
        <x:is>
          <x:t xml:space="preserve">Operating Effectiveness</x:t>
        </x:is>
      </x:c>
      <x:c r="I371" s="7" t="inlineStr">
        <x:is>
          <x:t xml:space="preserve"/>
        </x:is>
      </x:c>
      <x:c r="J371" s="8" t="n">
        <x:v>46218</x:v>
      </x:c>
      <x:c r="K371" s="7" t="inlineStr">
        <x:is>
          <x:t xml:space="preserve">Not Started</x:t>
        </x:is>
      </x:c>
      <x:c r="L371" s="7" t="inlineStr">
        <x:is>
          <x:t xml:space="preserve"/>
        </x:is>
      </x:c>
      <x:c r="M371" s="6" t="inlineStr">
        <x:is>
          <x:t xml:space="preserve"/>
        </x:is>
      </x:c>
    </x:row>
    <x:row r="372" ht="35" customHeight="1">
      <x:c r="A372" s="7" t="inlineStr">
        <x:is>
          <x:t xml:space="preserve">P202607-0371</x:t>
        </x:is>
      </x:c>
      <x:c r="B372" s="7" t="n">
        <x:v>2026</x:v>
      </x:c>
      <x:c r="C372" s="7" t="inlineStr">
        <x:is>
          <x:t xml:space="preserve">Jul</x:t>
        </x:is>
      </x:c>
      <x:c r="D372" s="7" t="inlineStr">
        <x:is>
          <x:t xml:space="preserve">MCS11</x:t>
        </x:is>
      </x:c>
      <x:c r="E372" s="6" t="inlineStr">
        <x:is>
          <x:t xml:space="preserve">Personal data protection</x:t>
        </x:is>
      </x:c>
      <x:c r="F372" s="6" t="inlineStr">
        <x:is>
          <x:t xml:space="preserve">Olamide Ayo-Ogunlade @</x:t>
        </x:is>
      </x:c>
      <x:c r="G372" s="6" t="inlineStr">
        <x:is>
          <x:t xml:space="preserve"/>
        </x:is>
      </x:c>
      <x:c r="H372" s="7" t="inlineStr">
        <x:is>
          <x:t xml:space="preserve">Operating Effectiveness</x:t>
        </x:is>
      </x:c>
      <x:c r="I372" s="7" t="inlineStr">
        <x:is>
          <x:t xml:space="preserve"/>
        </x:is>
      </x:c>
      <x:c r="J372" s="8" t="n">
        <x:v>46218</x:v>
      </x:c>
      <x:c r="K372" s="7" t="inlineStr">
        <x:is>
          <x:t xml:space="preserve">Not Started</x:t>
        </x:is>
      </x:c>
      <x:c r="L372" s="7" t="inlineStr">
        <x:is>
          <x:t xml:space="preserve"/>
        </x:is>
      </x:c>
      <x:c r="M372" s="6" t="inlineStr">
        <x:is>
          <x:t xml:space="preserve"/>
        </x:is>
      </x:c>
    </x:row>
    <x:row r="373" ht="35" customHeight="1">
      <x:c r="A373" s="7" t="inlineStr">
        <x:is>
          <x:t xml:space="preserve">P202607-0372</x:t>
        </x:is>
      </x:c>
      <x:c r="B373" s="7" t="n">
        <x:v>2026</x:v>
      </x:c>
      <x:c r="C373" s="7" t="inlineStr">
        <x:is>
          <x:t xml:space="preserve">Jul</x:t>
        </x:is>
      </x:c>
      <x:c r="D373" s="7" t="inlineStr">
        <x:is>
          <x:t xml:space="preserve">MCS12</x:t>
        </x:is>
      </x:c>
      <x:c r="E373" s="6" t="inlineStr">
        <x:is>
          <x:t xml:space="preserve">Segregation of duties and user access review</x:t>
        </x:is>
      </x:c>
      <x:c r="F373" s="6" t="inlineStr">
        <x:is>
          <x:t xml:space="preserve">Theophilus Okolie</x:t>
        </x:is>
      </x:c>
      <x:c r="G373" s="6" t="inlineStr">
        <x:is>
          <x:t xml:space="preserve"/>
        </x:is>
      </x:c>
      <x:c r="H373" s="7" t="inlineStr">
        <x:is>
          <x:t xml:space="preserve">Operating Effectiveness</x:t>
        </x:is>
      </x:c>
      <x:c r="I373" s="7" t="inlineStr">
        <x:is>
          <x:t xml:space="preserve"/>
        </x:is>
      </x:c>
      <x:c r="J373" s="8" t="n">
        <x:v>46218</x:v>
      </x:c>
      <x:c r="K373" s="7" t="inlineStr">
        <x:is>
          <x:t xml:space="preserve">Not Started</x:t>
        </x:is>
      </x:c>
      <x:c r="L373" s="7" t="inlineStr">
        <x:is>
          <x:t xml:space="preserve"/>
        </x:is>
      </x:c>
      <x:c r="M373" s="6" t="inlineStr">
        <x:is>
          <x:t xml:space="preserve"/>
        </x:is>
      </x:c>
    </x:row>
    <x:row r="374" ht="35" customHeight="1">
      <x:c r="A374" s="7" t="inlineStr">
        <x:is>
          <x:t xml:space="preserve">P202607-0373</x:t>
        </x:is>
      </x:c>
      <x:c r="B374" s="7" t="n">
        <x:v>2026</x:v>
      </x:c>
      <x:c r="C374" s="7" t="inlineStr">
        <x:is>
          <x:t xml:space="preserve">Jul</x:t>
        </x:is>
      </x:c>
      <x:c r="D374" s="7" t="inlineStr">
        <x:is>
          <x:t xml:space="preserve">MCS13</x:t>
        </x:is>
      </x:c>
      <x:c r="E374" s="6" t="inlineStr">
        <x:is>
          <x:t xml:space="preserve">Delegation of authorities and approval workflows</x:t>
        </x:is>
      </x:c>
      <x:c r="F374" s="6" t="inlineStr">
        <x:is>
          <x:t xml:space="preserve">Ramakant Patil</x:t>
        </x:is>
      </x:c>
      <x:c r="G374" s="6" t="inlineStr">
        <x:is>
          <x:t xml:space="preserve"/>
        </x:is>
      </x:c>
      <x:c r="H374" s="7" t="inlineStr">
        <x:is>
          <x:t xml:space="preserve">Operating Effectiveness</x:t>
        </x:is>
      </x:c>
      <x:c r="I374" s="7" t="inlineStr">
        <x:is>
          <x:t xml:space="preserve"/>
        </x:is>
      </x:c>
      <x:c r="J374" s="8" t="n">
        <x:v>46218</x:v>
      </x:c>
      <x:c r="K374" s="7" t="inlineStr">
        <x:is>
          <x:t xml:space="preserve">Not Started</x:t>
        </x:is>
      </x:c>
      <x:c r="L374" s="7" t="inlineStr">
        <x:is>
          <x:t xml:space="preserve"/>
        </x:is>
      </x:c>
      <x:c r="M374" s="6" t="inlineStr">
        <x:is>
          <x:t xml:space="preserve"/>
        </x:is>
      </x:c>
    </x:row>
    <x:row r="375" ht="35" customHeight="1">
      <x:c r="A375" s="7" t="inlineStr">
        <x:is>
          <x:t xml:space="preserve">P202607-0374</x:t>
        </x:is>
      </x:c>
      <x:c r="B375" s="7" t="n">
        <x:v>2026</x:v>
      </x:c>
      <x:c r="C375" s="7" t="inlineStr">
        <x:is>
          <x:t xml:space="preserve">Jul</x:t>
        </x:is>
      </x:c>
      <x:c r="D375" s="7" t="inlineStr">
        <x:is>
          <x:t xml:space="preserve">MCS14</x:t>
        </x:is>
      </x:c>
      <x:c r="E375" s="6" t="inlineStr">
        <x:is>
          <x:t xml:space="preserve">Litigation disputes</x:t>
        </x:is>
      </x:c>
      <x:c r="F375" s="6" t="inlineStr">
        <x:is>
          <x:t xml:space="preserve">Mary Waititu</x:t>
        </x:is>
      </x:c>
      <x:c r="G375" s="6" t="inlineStr">
        <x:is>
          <x:t xml:space="preserve"/>
        </x:is>
      </x:c>
      <x:c r="H375" s="7" t="inlineStr">
        <x:is>
          <x:t xml:space="preserve">Operating Effectiveness</x:t>
        </x:is>
      </x:c>
      <x:c r="I375" s="7" t="inlineStr">
        <x:is>
          <x:t xml:space="preserve"/>
        </x:is>
      </x:c>
      <x:c r="J375" s="8" t="n">
        <x:v>46218</x:v>
      </x:c>
      <x:c r="K375" s="7" t="inlineStr">
        <x:is>
          <x:t xml:space="preserve">Not Started</x:t>
        </x:is>
      </x:c>
      <x:c r="L375" s="7" t="inlineStr">
        <x:is>
          <x:t xml:space="preserve"/>
        </x:is>
      </x:c>
      <x:c r="M375" s="6" t="inlineStr">
        <x:is>
          <x:t xml:space="preserve"/>
        </x:is>
      </x:c>
    </x:row>
    <x:row r="376" ht="35" customHeight="1">
      <x:c r="A376" s="7" t="inlineStr">
        <x:is>
          <x:t xml:space="preserve">P202607-0375</x:t>
        </x:is>
      </x:c>
      <x:c r="B376" s="7" t="n">
        <x:v>2026</x:v>
      </x:c>
      <x:c r="C376" s="7" t="inlineStr">
        <x:is>
          <x:t xml:space="preserve">Jul</x:t>
        </x:is>
      </x:c>
      <x:c r="D376" s="7" t="inlineStr">
        <x:is>
          <x:t xml:space="preserve">MCS15</x:t>
        </x:is>
      </x:c>
      <x:c r="E376" s="6" t="inlineStr">
        <x:is>
          <x:t xml:space="preserve">Review of contracts by finance</x:t>
        </x:is>
      </x:c>
      <x:c r="F376" s="6" t="inlineStr">
        <x:is>
          <x:t xml:space="preserve">Ovie Itie</x:t>
        </x:is>
      </x:c>
      <x:c r="G376" s="6" t="inlineStr">
        <x:is>
          <x:t xml:space="preserve"/>
        </x:is>
      </x:c>
      <x:c r="H376" s="7" t="inlineStr">
        <x:is>
          <x:t xml:space="preserve">Operating Effectiveness</x:t>
        </x:is>
      </x:c>
      <x:c r="I376" s="7" t="inlineStr">
        <x:is>
          <x:t xml:space="preserve"/>
        </x:is>
      </x:c>
      <x:c r="J376" s="8" t="n">
        <x:v>46218</x:v>
      </x:c>
      <x:c r="K376" s="7" t="inlineStr">
        <x:is>
          <x:t xml:space="preserve">Not Started</x:t>
        </x:is>
      </x:c>
      <x:c r="L376" s="7" t="inlineStr">
        <x:is>
          <x:t xml:space="preserve"/>
        </x:is>
      </x:c>
      <x:c r="M376" s="6" t="inlineStr">
        <x:is>
          <x:t xml:space="preserve"/>
        </x:is>
      </x:c>
    </x:row>
    <x:row r="377" ht="35" customHeight="1">
      <x:c r="A377" s="7" t="inlineStr">
        <x:is>
          <x:t xml:space="preserve">P202607-0376</x:t>
        </x:is>
      </x:c>
      <x:c r="B377" s="7" t="n">
        <x:v>2026</x:v>
      </x:c>
      <x:c r="C377" s="7" t="inlineStr">
        <x:is>
          <x:t xml:space="preserve">Jul</x:t>
        </x:is>
      </x:c>
      <x:c r="D377" s="7" t="inlineStr">
        <x:is>
          <x:t xml:space="preserve">MCS16</x:t>
        </x:is>
      </x:c>
      <x:c r="E377" s="6" t="inlineStr">
        <x:is>
          <x:t xml:space="preserve">Management of titles and permits</x:t>
        </x:is>
      </x:c>
      <x:c r="F377" s="6" t="n"/>
      <x:c r="G377" s="6" t="inlineStr">
        <x:is>
          <x:t xml:space="preserve"/>
        </x:is>
      </x:c>
      <x:c r="H377" s="7" t="inlineStr">
        <x:is>
          <x:t xml:space="preserve">Operating Effectiveness</x:t>
        </x:is>
      </x:c>
      <x:c r="I377" s="7" t="inlineStr">
        <x:is>
          <x:t xml:space="preserve"/>
        </x:is>
      </x:c>
      <x:c r="J377" s="8" t="n">
        <x:v>46218</x:v>
      </x:c>
      <x:c r="K377" s="7" t="inlineStr">
        <x:is>
          <x:t xml:space="preserve">Not Started</x:t>
        </x:is>
      </x:c>
      <x:c r="L377" s="7" t="inlineStr">
        <x:is>
          <x:t xml:space="preserve"/>
        </x:is>
      </x:c>
      <x:c r="M377" s="6" t="inlineStr">
        <x:is>
          <x:t xml:space="preserve"/>
        </x:is>
      </x:c>
    </x:row>
    <x:row r="378" ht="35" customHeight="1">
      <x:c r="A378" s="7" t="inlineStr">
        <x:is>
          <x:t xml:space="preserve">P202607-0377</x:t>
        </x:is>
      </x:c>
      <x:c r="B378" s="7" t="n">
        <x:v>2026</x:v>
      </x:c>
      <x:c r="C378" s="7" t="inlineStr">
        <x:is>
          <x:t xml:space="preserve">Jul</x:t>
        </x:is>
      </x:c>
      <x:c r="D378" s="7" t="inlineStr">
        <x:is>
          <x:t xml:space="preserve">MCS18</x:t>
        </x:is>
      </x:c>
      <x:c r="E378" s="6" t="inlineStr">
        <x:is>
          <x:t xml:space="preserve">Classification and depreciation of property, plant &amp; equipment</x:t>
        </x:is>
      </x:c>
      <x:c r="F378" s="6" t="n"/>
      <x:c r="G378" s="6" t="inlineStr">
        <x:is>
          <x:t xml:space="preserve"/>
        </x:is>
      </x:c>
      <x:c r="H378" s="7" t="inlineStr">
        <x:is>
          <x:t xml:space="preserve">Operating Effectiveness</x:t>
        </x:is>
      </x:c>
      <x:c r="I378" s="7" t="inlineStr">
        <x:is>
          <x:t xml:space="preserve"/>
        </x:is>
      </x:c>
      <x:c r="J378" s="8" t="n">
        <x:v>46218</x:v>
      </x:c>
      <x:c r="K378" s="7" t="inlineStr">
        <x:is>
          <x:t xml:space="preserve">Not Started</x:t>
        </x:is>
      </x:c>
      <x:c r="L378" s="7" t="inlineStr">
        <x:is>
          <x:t xml:space="preserve"/>
        </x:is>
      </x:c>
      <x:c r="M378" s="6" t="inlineStr">
        <x:is>
          <x:t xml:space="preserve"/>
        </x:is>
      </x:c>
    </x:row>
    <x:row r="379" ht="35" customHeight="1">
      <x:c r="A379" s="7" t="inlineStr">
        <x:is>
          <x:t xml:space="preserve">P202607-0378</x:t>
        </x:is>
      </x:c>
      <x:c r="B379" s="7" t="n">
        <x:v>2026</x:v>
      </x:c>
      <x:c r="C379" s="7" t="inlineStr">
        <x:is>
          <x:t xml:space="preserve">Jul</x:t>
        </x:is>
      </x:c>
      <x:c r="D379" s="7" t="inlineStr">
        <x:is>
          <x:t xml:space="preserve">MCS19</x:t>
        </x:is>
      </x:c>
      <x:c r="E379" s="6" t="inlineStr">
        <x:is>
          <x:t xml:space="preserve">Physical verification of Fixed Asset</x:t>
        </x:is>
      </x:c>
      <x:c r="F379" s="6" t="n"/>
      <x:c r="G379" s="6" t="inlineStr">
        <x:is>
          <x:t xml:space="preserve"/>
        </x:is>
      </x:c>
      <x:c r="H379" s="7" t="inlineStr">
        <x:is>
          <x:t xml:space="preserve">Operating Effectiveness</x:t>
        </x:is>
      </x:c>
      <x:c r="I379" s="7" t="inlineStr">
        <x:is>
          <x:t xml:space="preserve"/>
        </x:is>
      </x:c>
      <x:c r="J379" s="8" t="n">
        <x:v>46218</x:v>
      </x:c>
      <x:c r="K379" s="7" t="inlineStr">
        <x:is>
          <x:t xml:space="preserve">Not Started</x:t>
        </x:is>
      </x:c>
      <x:c r="L379" s="7" t="inlineStr">
        <x:is>
          <x:t xml:space="preserve"/>
        </x:is>
      </x:c>
      <x:c r="M379" s="6" t="inlineStr">
        <x:is>
          <x:t xml:space="preserve"/>
        </x:is>
      </x:c>
    </x:row>
    <x:row r="380" ht="35" customHeight="1">
      <x:c r="A380" s="7" t="inlineStr">
        <x:is>
          <x:t xml:space="preserve">P202607-0379</x:t>
        </x:is>
      </x:c>
      <x:c r="B380" s="7" t="n">
        <x:v>2026</x:v>
      </x:c>
      <x:c r="C380" s="7" t="inlineStr">
        <x:is>
          <x:t xml:space="preserve">Jul</x:t>
        </x:is>
      </x:c>
      <x:c r="D380" s="7" t="inlineStr">
        <x:is>
          <x:t xml:space="preserve">MCS20</x:t>
        </x:is>
      </x:c>
      <x:c r="E380" s="6" t="inlineStr">
        <x:is>
          <x:t xml:space="preserve">Management of customer and inventory master data</x:t>
        </x:is>
      </x:c>
      <x:c r="F380" s="6" t="inlineStr">
        <x:is>
          <x:t xml:space="preserve">Yomi Jegede</x:t>
        </x:is>
      </x:c>
      <x:c r="G380" s="6" t="inlineStr">
        <x:is>
          <x:t xml:space="preserve"/>
        </x:is>
      </x:c>
      <x:c r="H380" s="7" t="inlineStr">
        <x:is>
          <x:t xml:space="preserve">Operating Effectiveness</x:t>
        </x:is>
      </x:c>
      <x:c r="I380" s="7" t="inlineStr">
        <x:is>
          <x:t xml:space="preserve"/>
        </x:is>
      </x:c>
      <x:c r="J380" s="8" t="n">
        <x:v>46218</x:v>
      </x:c>
      <x:c r="K380" s="7" t="inlineStr">
        <x:is>
          <x:t xml:space="preserve">Not Started</x:t>
        </x:is>
      </x:c>
      <x:c r="L380" s="7" t="inlineStr">
        <x:is>
          <x:t xml:space="preserve"/>
        </x:is>
      </x:c>
      <x:c r="M380" s="6" t="inlineStr">
        <x:is>
          <x:t xml:space="preserve"/>
        </x:is>
      </x:c>
    </x:row>
    <x:row r="381" ht="35" customHeight="1">
      <x:c r="A381" s="7" t="inlineStr">
        <x:is>
          <x:t xml:space="preserve">P202607-0380</x:t>
        </x:is>
      </x:c>
      <x:c r="B381" s="7" t="n">
        <x:v>2026</x:v>
      </x:c>
      <x:c r="C381" s="7" t="inlineStr">
        <x:is>
          <x:t xml:space="preserve">Jul</x:t>
        </x:is>
      </x:c>
      <x:c r="D381" s="7" t="inlineStr">
        <x:is>
          <x:t xml:space="preserve">MCS21</x:t>
        </x:is>
      </x:c>
      <x:c r="E381" s="6" t="inlineStr">
        <x:is>
          <x:t xml:space="preserve">Price management</x:t>
        </x:is>
      </x:c>
      <x:c r="F381" s="6" t="n"/>
      <x:c r="G381" s="6" t="inlineStr">
        <x:is>
          <x:t xml:space="preserve"/>
        </x:is>
      </x:c>
      <x:c r="H381" s="7" t="inlineStr">
        <x:is>
          <x:t xml:space="preserve">Operating Effectiveness</x:t>
        </x:is>
      </x:c>
      <x:c r="I381" s="7" t="inlineStr">
        <x:is>
          <x:t xml:space="preserve"/>
        </x:is>
      </x:c>
      <x:c r="J381" s="8" t="n">
        <x:v>46218</x:v>
      </x:c>
      <x:c r="K381" s="7" t="inlineStr">
        <x:is>
          <x:t xml:space="preserve">Not Started</x:t>
        </x:is>
      </x:c>
      <x:c r="L381" s="7" t="inlineStr">
        <x:is>
          <x:t xml:space="preserve"/>
        </x:is>
      </x:c>
      <x:c r="M381" s="6" t="inlineStr">
        <x:is>
          <x:t xml:space="preserve"/>
        </x:is>
      </x:c>
    </x:row>
    <x:row r="382" ht="35" customHeight="1">
      <x:c r="A382" s="7" t="inlineStr">
        <x:is>
          <x:t xml:space="preserve">P202607-0381</x:t>
        </x:is>
      </x:c>
      <x:c r="B382" s="7" t="n">
        <x:v>2026</x:v>
      </x:c>
      <x:c r="C382" s="7" t="inlineStr">
        <x:is>
          <x:t xml:space="preserve">Jul</x:t>
        </x:is>
      </x:c>
      <x:c r="D382" s="7" t="inlineStr">
        <x:is>
          <x:t xml:space="preserve">MCS22.1</x:t>
        </x:is>
      </x:c>
      <x:c r="E382" s="6" t="inlineStr">
        <x:is>
          <x:t xml:space="preserve">Control of customer credit limits - Easybuy</x:t>
        </x:is>
      </x:c>
      <x:c r="F382" s="6" t="inlineStr">
        <x:is>
          <x:t xml:space="preserve">Omoyemi Tuga Ogunsanmi Opeyemi Listbon</x:t>
        </x:is>
      </x:c>
      <x:c r="G382" s="6" t="inlineStr">
        <x:is>
          <x:t xml:space="preserve"/>
        </x:is>
      </x:c>
      <x:c r="H382" s="7" t="inlineStr">
        <x:is>
          <x:t xml:space="preserve">Operating Effectiveness</x:t>
        </x:is>
      </x:c>
      <x:c r="I382" s="7" t="inlineStr">
        <x:is>
          <x:t xml:space="preserve"/>
        </x:is>
      </x:c>
      <x:c r="J382" s="8" t="n">
        <x:v>46218</x:v>
      </x:c>
      <x:c r="K382" s="7" t="inlineStr">
        <x:is>
          <x:t xml:space="preserve">Not Started</x:t>
        </x:is>
      </x:c>
      <x:c r="L382" s="7" t="inlineStr">
        <x:is>
          <x:t xml:space="preserve"/>
        </x:is>
      </x:c>
      <x:c r="M382" s="6" t="inlineStr">
        <x:is>
          <x:t xml:space="preserve"/>
        </x:is>
      </x:c>
    </x:row>
    <x:row r="383" ht="35" customHeight="1">
      <x:c r="A383" s="7" t="inlineStr">
        <x:is>
          <x:t xml:space="preserve">P202607-0382</x:t>
        </x:is>
      </x:c>
      <x:c r="B383" s="7" t="n">
        <x:v>2026</x:v>
      </x:c>
      <x:c r="C383" s="7" t="inlineStr">
        <x:is>
          <x:t xml:space="preserve">Jul</x:t>
        </x:is>
      </x:c>
      <x:c r="D383" s="7" t="inlineStr">
        <x:is>
          <x:t xml:space="preserve">MCS22.2</x:t>
        </x:is>
      </x:c>
      <x:c r="E383" s="6" t="inlineStr">
        <x:is>
          <x:t xml:space="preserve">Control of customer credit limits - Partnership</x:t>
        </x:is>
      </x:c>
      <x:c r="F383" s="6" t="inlineStr">
        <x:is>
          <x:t xml:space="preserve">Eno Umoh Ameh Bright Agbo</x:t>
        </x:is>
      </x:c>
      <x:c r="G383" s="6" t="inlineStr">
        <x:is>
          <x:t xml:space="preserve"/>
        </x:is>
      </x:c>
      <x:c r="H383" s="7" t="inlineStr">
        <x:is>
          <x:t xml:space="preserve">Operating Effectiveness</x:t>
        </x:is>
      </x:c>
      <x:c r="I383" s="7" t="inlineStr">
        <x:is>
          <x:t xml:space="preserve"/>
        </x:is>
      </x:c>
      <x:c r="J383" s="8" t="n">
        <x:v>46218</x:v>
      </x:c>
      <x:c r="K383" s="7" t="inlineStr">
        <x:is>
          <x:t xml:space="preserve">Not Started</x:t>
        </x:is>
      </x:c>
      <x:c r="L383" s="7" t="inlineStr">
        <x:is>
          <x:t xml:space="preserve"/>
        </x:is>
      </x:c>
      <x:c r="M383" s="6" t="inlineStr">
        <x:is>
          <x:t xml:space="preserve"/>
        </x:is>
      </x:c>
    </x:row>
    <x:row r="384" ht="35" customHeight="1">
      <x:c r="A384" s="7" t="inlineStr">
        <x:is>
          <x:t xml:space="preserve">P202607-0383</x:t>
        </x:is>
      </x:c>
      <x:c r="B384" s="7" t="n">
        <x:v>2026</x:v>
      </x:c>
      <x:c r="C384" s="7" t="inlineStr">
        <x:is>
          <x:t xml:space="preserve">Jul</x:t>
        </x:is>
      </x:c>
      <x:c r="D384" s="7" t="inlineStr">
        <x:is>
          <x:t xml:space="preserve">MCS23</x:t>
        </x:is>
      </x:c>
      <x:c r="E384" s="6" t="inlineStr">
        <x:is>
          <x:t xml:space="preserve">Invoicing </x:t>
        </x:is>
      </x:c>
      <x:c r="F384" s="6" t="inlineStr">
        <x:is>
          <x:t xml:space="preserve">Ramakant Patil</x:t>
        </x:is>
      </x:c>
      <x:c r="G384" s="6" t="inlineStr">
        <x:is>
          <x:t xml:space="preserve"/>
        </x:is>
      </x:c>
      <x:c r="H384" s="7" t="inlineStr">
        <x:is>
          <x:t xml:space="preserve">Operating Effectiveness</x:t>
        </x:is>
      </x:c>
      <x:c r="I384" s="7" t="inlineStr">
        <x:is>
          <x:t xml:space="preserve"/>
        </x:is>
      </x:c>
      <x:c r="J384" s="8" t="n">
        <x:v>46218</x:v>
      </x:c>
      <x:c r="K384" s="7" t="inlineStr">
        <x:is>
          <x:t xml:space="preserve">Not Started</x:t>
        </x:is>
      </x:c>
      <x:c r="L384" s="7" t="inlineStr">
        <x:is>
          <x:t xml:space="preserve"/>
        </x:is>
      </x:c>
      <x:c r="M384" s="6" t="inlineStr">
        <x:is>
          <x:t xml:space="preserve"/>
        </x:is>
      </x:c>
    </x:row>
    <x:row r="385" ht="35" customHeight="1">
      <x:c r="A385" s="7" t="inlineStr">
        <x:is>
          <x:t xml:space="preserve">P202607-0384</x:t>
        </x:is>
      </x:c>
      <x:c r="B385" s="7" t="n">
        <x:v>2026</x:v>
      </x:c>
      <x:c r="C385" s="7" t="inlineStr">
        <x:is>
          <x:t xml:space="preserve">Jul</x:t>
        </x:is>
      </x:c>
      <x:c r="D385" s="7" t="inlineStr">
        <x:is>
          <x:t xml:space="preserve">MCS24</x:t>
        </x:is>
      </x:c>
      <x:c r="E385" s="6" t="inlineStr">
        <x:is>
          <x:t xml:space="preserve">Accounts receivable valuation</x:t>
        </x:is>
      </x:c>
      <x:c r="F385" s="6" t="inlineStr">
        <x:is>
          <x:t xml:space="preserve">Zainab Yunusah Saadu</x:t>
        </x:is>
      </x:c>
      <x:c r="G385" s="6" t="inlineStr">
        <x:is>
          <x:t xml:space="preserve"/>
        </x:is>
      </x:c>
      <x:c r="H385" s="7" t="inlineStr">
        <x:is>
          <x:t xml:space="preserve">Operating Effectiveness</x:t>
        </x:is>
      </x:c>
      <x:c r="I385" s="7" t="inlineStr">
        <x:is>
          <x:t xml:space="preserve"/>
        </x:is>
      </x:c>
      <x:c r="J385" s="8" t="n">
        <x:v>46218</x:v>
      </x:c>
      <x:c r="K385" s="7" t="inlineStr">
        <x:is>
          <x:t xml:space="preserve">Not Started</x:t>
        </x:is>
      </x:c>
      <x:c r="L385" s="7" t="inlineStr">
        <x:is>
          <x:t xml:space="preserve"/>
        </x:is>
      </x:c>
      <x:c r="M385" s="6" t="inlineStr">
        <x:is>
          <x:t xml:space="preserve"/>
        </x:is>
      </x:c>
    </x:row>
    <x:row r="386" ht="35" customHeight="1">
      <x:c r="A386" s="7" t="inlineStr">
        <x:is>
          <x:t xml:space="preserve">P202607-0385</x:t>
        </x:is>
      </x:c>
      <x:c r="B386" s="7" t="n">
        <x:v>2026</x:v>
      </x:c>
      <x:c r="C386" s="7" t="inlineStr">
        <x:is>
          <x:t xml:space="preserve">Jul</x:t>
        </x:is>
      </x:c>
      <x:c r="D386" s="7" t="inlineStr">
        <x:is>
          <x:t xml:space="preserve">MCS25</x:t>
        </x:is>
      </x:c>
      <x:c r="E386" s="6" t="inlineStr">
        <x:is>
          <x:t xml:space="preserve">Execution of onboarding, offboarding, master data management and transfers of workers</x:t>
        </x:is>
      </x:c>
      <x:c r="F386" s="6" t="n"/>
      <x:c r="G386" s="6" t="inlineStr">
        <x:is>
          <x:t xml:space="preserve"/>
        </x:is>
      </x:c>
      <x:c r="H386" s="7" t="inlineStr">
        <x:is>
          <x:t xml:space="preserve">Operating Effectiveness</x:t>
        </x:is>
      </x:c>
      <x:c r="I386" s="7" t="inlineStr">
        <x:is>
          <x:t xml:space="preserve"/>
        </x:is>
      </x:c>
      <x:c r="J386" s="8" t="n">
        <x:v>46218</x:v>
      </x:c>
      <x:c r="K386" s="7" t="inlineStr">
        <x:is>
          <x:t xml:space="preserve">Not Started</x:t>
        </x:is>
      </x:c>
      <x:c r="L386" s="7" t="inlineStr">
        <x:is>
          <x:t xml:space="preserve"/>
        </x:is>
      </x:c>
      <x:c r="M386" s="6" t="inlineStr">
        <x:is>
          <x:t xml:space="preserve"/>
        </x:is>
      </x:c>
    </x:row>
    <x:row r="387" ht="35" customHeight="1">
      <x:c r="A387" s="7" t="inlineStr">
        <x:is>
          <x:t xml:space="preserve">P202607-0386</x:t>
        </x:is>
      </x:c>
      <x:c r="B387" s="7" t="n">
        <x:v>2026</x:v>
      </x:c>
      <x:c r="C387" s="7" t="inlineStr">
        <x:is>
          <x:t xml:space="preserve">Jul</x:t>
        </x:is>
      </x:c>
      <x:c r="D387" s="7" t="inlineStr">
        <x:is>
          <x:t xml:space="preserve">MCS26</x:t>
        </x:is>
      </x:c>
      <x:c r="E387" s="6" t="inlineStr">
        <x:is>
          <x:t xml:space="preserve">Payroll</x:t>
        </x:is>
      </x:c>
      <x:c r="F387" s="6" t="inlineStr">
        <x:is>
          <x:t xml:space="preserve">Olamide Ayo-Ogunlade Oluwatosin Ogunsekan</x:t>
        </x:is>
      </x:c>
      <x:c r="G387" s="6" t="inlineStr">
        <x:is>
          <x:t xml:space="preserve"/>
        </x:is>
      </x:c>
      <x:c r="H387" s="7" t="inlineStr">
        <x:is>
          <x:t xml:space="preserve">Operating Effectiveness</x:t>
        </x:is>
      </x:c>
      <x:c r="I387" s="7" t="inlineStr">
        <x:is>
          <x:t xml:space="preserve"/>
        </x:is>
      </x:c>
      <x:c r="J387" s="8" t="n">
        <x:v>46218</x:v>
      </x:c>
      <x:c r="K387" s="7" t="inlineStr">
        <x:is>
          <x:t xml:space="preserve">Not Started</x:t>
        </x:is>
      </x:c>
      <x:c r="L387" s="7" t="inlineStr">
        <x:is>
          <x:t xml:space="preserve"/>
        </x:is>
      </x:c>
      <x:c r="M387" s="6" t="inlineStr">
        <x:is>
          <x:t xml:space="preserve"/>
        </x:is>
      </x:c>
    </x:row>
    <x:row r="388" ht="35" customHeight="1">
      <x:c r="A388" s="7" t="inlineStr">
        <x:is>
          <x:t xml:space="preserve">P202607-0387</x:t>
        </x:is>
      </x:c>
      <x:c r="B388" s="7" t="n">
        <x:v>2026</x:v>
      </x:c>
      <x:c r="C388" s="7" t="inlineStr">
        <x:is>
          <x:t xml:space="preserve">Jul</x:t>
        </x:is>
      </x:c>
      <x:c r="D388" s="7" t="inlineStr">
        <x:is>
          <x:t xml:space="preserve">MCS27</x:t>
        </x:is>
      </x:c>
      <x:c r="E388" s="6" t="inlineStr">
        <x:is>
          <x:t xml:space="preserve">Compliance with Labour law</x:t>
        </x:is>
      </x:c>
      <x:c r="F388" s="6" t="inlineStr">
        <x:is>
          <x:t xml:space="preserve">Olamide Ayo-Ogunlade Oluwatosin Ogunsekan</x:t>
        </x:is>
      </x:c>
      <x:c r="G388" s="6" t="inlineStr">
        <x:is>
          <x:t xml:space="preserve"/>
        </x:is>
      </x:c>
      <x:c r="H388" s="7" t="inlineStr">
        <x:is>
          <x:t xml:space="preserve">Operating Effectiveness</x:t>
        </x:is>
      </x:c>
      <x:c r="I388" s="7" t="inlineStr">
        <x:is>
          <x:t xml:space="preserve"/>
        </x:is>
      </x:c>
      <x:c r="J388" s="8" t="n">
        <x:v>46218</x:v>
      </x:c>
      <x:c r="K388" s="7" t="inlineStr">
        <x:is>
          <x:t xml:space="preserve">Not Started</x:t>
        </x:is>
      </x:c>
      <x:c r="L388" s="7" t="inlineStr">
        <x:is>
          <x:t xml:space="preserve"/>
        </x:is>
      </x:c>
      <x:c r="M388" s="6" t="inlineStr">
        <x:is>
          <x:t xml:space="preserve"/>
        </x:is>
      </x:c>
    </x:row>
    <x:row r="389" ht="35" customHeight="1">
      <x:c r="A389" s="7" t="inlineStr">
        <x:is>
          <x:t xml:space="preserve">P202607-0388</x:t>
        </x:is>
      </x:c>
      <x:c r="B389" s="7" t="n">
        <x:v>2026</x:v>
      </x:c>
      <x:c r="C389" s="7" t="inlineStr">
        <x:is>
          <x:t xml:space="preserve">Jul</x:t>
        </x:is>
      </x:c>
      <x:c r="D389" s="7" t="inlineStr">
        <x:is>
          <x:t xml:space="preserve">MCS28</x:t>
        </x:is>
      </x:c>
      <x:c r="E389" s="6" t="inlineStr">
        <x:is>
          <x:t xml:space="preserve">Employee pension and benefit plan</x:t>
        </x:is>
      </x:c>
      <x:c r="F389" s="6" t="inlineStr">
        <x:is>
          <x:t xml:space="preserve">Olamide Ayo-Ogunlade Oluwatosin Ogunsekan</x:t>
        </x:is>
      </x:c>
      <x:c r="G389" s="6" t="inlineStr">
        <x:is>
          <x:t xml:space="preserve"/>
        </x:is>
      </x:c>
      <x:c r="H389" s="7" t="inlineStr">
        <x:is>
          <x:t xml:space="preserve">Operating Effectiveness</x:t>
        </x:is>
      </x:c>
      <x:c r="I389" s="7" t="inlineStr">
        <x:is>
          <x:t xml:space="preserve"/>
        </x:is>
      </x:c>
      <x:c r="J389" s="8" t="n">
        <x:v>46218</x:v>
      </x:c>
      <x:c r="K389" s="7" t="inlineStr">
        <x:is>
          <x:t xml:space="preserve">Not Started</x:t>
        </x:is>
      </x:c>
      <x:c r="L389" s="7" t="inlineStr">
        <x:is>
          <x:t xml:space="preserve"/>
        </x:is>
      </x:c>
      <x:c r="M389" s="6" t="inlineStr">
        <x:is>
          <x:t xml:space="preserve"/>
        </x:is>
      </x:c>
    </x:row>
    <x:row r="390" ht="35" customHeight="1">
      <x:c r="A390" s="7" t="inlineStr">
        <x:is>
          <x:t xml:space="preserve">P202607-0389</x:t>
        </x:is>
      </x:c>
      <x:c r="B390" s="7" t="n">
        <x:v>2026</x:v>
      </x:c>
      <x:c r="C390" s="7" t="inlineStr">
        <x:is>
          <x:t xml:space="preserve">Jul</x:t>
        </x:is>
      </x:c>
      <x:c r="D390" s="7" t="inlineStr">
        <x:is>
          <x:t xml:space="preserve">MCS 29</x:t>
        </x:is>
      </x:c>
      <x:c r="E390" s="6" t="inlineStr">
        <x:is>
          <x:t xml:space="preserve">Management of supplier master data</x:t>
        </x:is>
      </x:c>
      <x:c r="F390" s="6" t="inlineStr">
        <x:is>
          <x:t xml:space="preserve">Ramakant Patil Zainab Yunusah Saadu</x:t>
        </x:is>
      </x:c>
      <x:c r="G390" s="6" t="inlineStr">
        <x:is>
          <x:t xml:space="preserve"/>
        </x:is>
      </x:c>
      <x:c r="H390" s="7" t="inlineStr">
        <x:is>
          <x:t xml:space="preserve">Operating Effectiveness</x:t>
        </x:is>
      </x:c>
      <x:c r="I390" s="7" t="inlineStr">
        <x:is>
          <x:t xml:space="preserve"/>
        </x:is>
      </x:c>
      <x:c r="J390" s="8" t="n">
        <x:v>46218</x:v>
      </x:c>
      <x:c r="K390" s="7" t="inlineStr">
        <x:is>
          <x:t xml:space="preserve">Not Started</x:t>
        </x:is>
      </x:c>
      <x:c r="L390" s="7" t="inlineStr">
        <x:is>
          <x:t xml:space="preserve"/>
        </x:is>
      </x:c>
      <x:c r="M390" s="6" t="inlineStr">
        <x:is>
          <x:t xml:space="preserve"/>
        </x:is>
      </x:c>
    </x:row>
    <x:row r="391" ht="35" customHeight="1">
      <x:c r="A391" s="7" t="inlineStr">
        <x:is>
          <x:t xml:space="preserve">P202607-0390</x:t>
        </x:is>
      </x:c>
      <x:c r="B391" s="7" t="n">
        <x:v>2026</x:v>
      </x:c>
      <x:c r="C391" s="7" t="inlineStr">
        <x:is>
          <x:t xml:space="preserve">Jul</x:t>
        </x:is>
      </x:c>
      <x:c r="D391" s="7" t="inlineStr">
        <x:is>
          <x:t xml:space="preserve">MCS30</x:t>
        </x:is>
      </x:c>
      <x:c r="E391" s="6" t="inlineStr">
        <x:is>
          <x:t xml:space="preserve">Vendor Registration and Performance Management</x:t>
        </x:is>
      </x:c>
      <x:c r="F391" s="6" t="inlineStr">
        <x:is>
          <x:t xml:space="preserve">Ramakant Patil Zainab Yunusah Saadu</x:t>
        </x:is>
      </x:c>
      <x:c r="G391" s="6" t="inlineStr">
        <x:is>
          <x:t xml:space="preserve"/>
        </x:is>
      </x:c>
      <x:c r="H391" s="7" t="inlineStr">
        <x:is>
          <x:t xml:space="preserve">Operating Effectiveness</x:t>
        </x:is>
      </x:c>
      <x:c r="I391" s="7" t="inlineStr">
        <x:is>
          <x:t xml:space="preserve"/>
        </x:is>
      </x:c>
      <x:c r="J391" s="8" t="n">
        <x:v>46218</x:v>
      </x:c>
      <x:c r="K391" s="7" t="inlineStr">
        <x:is>
          <x:t xml:space="preserve">Not Started</x:t>
        </x:is>
      </x:c>
      <x:c r="L391" s="7" t="inlineStr">
        <x:is>
          <x:t xml:space="preserve"/>
        </x:is>
      </x:c>
      <x:c r="M391" s="6" t="inlineStr">
        <x:is>
          <x:t xml:space="preserve"/>
        </x:is>
      </x:c>
    </x:row>
    <x:row r="392" ht="35" customHeight="1">
      <x:c r="A392" s="7" t="inlineStr">
        <x:is>
          <x:t xml:space="preserve">P202607-0391</x:t>
        </x:is>
      </x:c>
      <x:c r="B392" s="7" t="n">
        <x:v>2026</x:v>
      </x:c>
      <x:c r="C392" s="7" t="inlineStr">
        <x:is>
          <x:t xml:space="preserve">Jul</x:t>
        </x:is>
      </x:c>
      <x:c r="D392" s="7" t="inlineStr">
        <x:is>
          <x:t xml:space="preserve">MCS31</x:t>
        </x:is>
      </x:c>
      <x:c r="E392" s="6" t="inlineStr">
        <x:is>
          <x:t xml:space="preserve">Three-way match, two way match and direct vendor invoices</x:t>
        </x:is>
      </x:c>
      <x:c r="F392" s="6" t="inlineStr">
        <x:is>
          <x:t xml:space="preserve">Ramakant Patil Zainab Yunusah Saadu</x:t>
        </x:is>
      </x:c>
      <x:c r="G392" s="6" t="inlineStr">
        <x:is>
          <x:t xml:space="preserve"/>
        </x:is>
      </x:c>
      <x:c r="H392" s="7" t="inlineStr">
        <x:is>
          <x:t xml:space="preserve">Operating Effectiveness</x:t>
        </x:is>
      </x:c>
      <x:c r="I392" s="7" t="inlineStr">
        <x:is>
          <x:t xml:space="preserve"/>
        </x:is>
      </x:c>
      <x:c r="J392" s="8" t="n">
        <x:v>46218</x:v>
      </x:c>
      <x:c r="K392" s="7" t="inlineStr">
        <x:is>
          <x:t xml:space="preserve">Not Started</x:t>
        </x:is>
      </x:c>
      <x:c r="L392" s="7" t="inlineStr">
        <x:is>
          <x:t xml:space="preserve"/>
        </x:is>
      </x:c>
      <x:c r="M392" s="6" t="inlineStr">
        <x:is>
          <x:t xml:space="preserve"/>
        </x:is>
      </x:c>
    </x:row>
    <x:row r="393" ht="35" customHeight="1">
      <x:c r="A393" s="7" t="inlineStr">
        <x:is>
          <x:t xml:space="preserve">P202607-0392</x:t>
        </x:is>
      </x:c>
      <x:c r="B393" s="7" t="n">
        <x:v>2026</x:v>
      </x:c>
      <x:c r="C393" s="7" t="inlineStr">
        <x:is>
          <x:t xml:space="preserve">Jul</x:t>
        </x:is>
      </x:c>
      <x:c r="D393" s="7" t="inlineStr">
        <x:is>
          <x:t xml:space="preserve">MCS32</x:t>
        </x:is>
      </x:c>
      <x:c r="E393" s="6" t="inlineStr">
        <x:is>
          <x:t xml:space="preserve">Payment processing</x:t>
        </x:is>
      </x:c>
      <x:c r="F393" s="6" t="inlineStr">
        <x:is>
          <x:t xml:space="preserve">Ramakant Patil Zainab Yunusah Saadu</x:t>
        </x:is>
      </x:c>
      <x:c r="G393" s="6" t="inlineStr">
        <x:is>
          <x:t xml:space="preserve"/>
        </x:is>
      </x:c>
      <x:c r="H393" s="7" t="inlineStr">
        <x:is>
          <x:t xml:space="preserve">Operating Effectiveness</x:t>
        </x:is>
      </x:c>
      <x:c r="I393" s="7" t="inlineStr">
        <x:is>
          <x:t xml:space="preserve"/>
        </x:is>
      </x:c>
      <x:c r="J393" s="8" t="n">
        <x:v>46218</x:v>
      </x:c>
      <x:c r="K393" s="7" t="inlineStr">
        <x:is>
          <x:t xml:space="preserve">Not Started</x:t>
        </x:is>
      </x:c>
      <x:c r="L393" s="7" t="inlineStr">
        <x:is>
          <x:t xml:space="preserve"/>
        </x:is>
      </x:c>
      <x:c r="M393" s="6" t="inlineStr">
        <x:is>
          <x:t xml:space="preserve"/>
        </x:is>
      </x:c>
    </x:row>
    <x:row r="394" ht="35" customHeight="1">
      <x:c r="A394" s="7" t="inlineStr">
        <x:is>
          <x:t xml:space="preserve">P202607-0393</x:t>
        </x:is>
      </x:c>
      <x:c r="B394" s="7" t="n">
        <x:v>2026</x:v>
      </x:c>
      <x:c r="C394" s="7" t="inlineStr">
        <x:is>
          <x:t xml:space="preserve">Jul</x:t>
        </x:is>
      </x:c>
      <x:c r="D394" s="7" t="inlineStr">
        <x:is>
          <x:t xml:space="preserve">MCS33</x:t>
        </x:is>
      </x:c>
      <x:c r="E394" s="6" t="inlineStr">
        <x:is>
          <x:t xml:space="preserve">3 Accruals for expenditures not invoiced</x:t>
        </x:is>
      </x:c>
      <x:c r="F394" s="6" t="inlineStr">
        <x:is>
          <x:t xml:space="preserve">Ramakant Patil Zainab Yunusah Saadu</x:t>
        </x:is>
      </x:c>
      <x:c r="G394" s="6" t="inlineStr">
        <x:is>
          <x:t xml:space="preserve"/>
        </x:is>
      </x:c>
      <x:c r="H394" s="7" t="inlineStr">
        <x:is>
          <x:t xml:space="preserve">Operating Effectiveness</x:t>
        </x:is>
      </x:c>
      <x:c r="I394" s="7" t="inlineStr">
        <x:is>
          <x:t xml:space="preserve"/>
        </x:is>
      </x:c>
      <x:c r="J394" s="8" t="n">
        <x:v>46218</x:v>
      </x:c>
      <x:c r="K394" s="7" t="inlineStr">
        <x:is>
          <x:t xml:space="preserve">Not Started</x:t>
        </x:is>
      </x:c>
      <x:c r="L394" s="7" t="inlineStr">
        <x:is>
          <x:t xml:space="preserve"/>
        </x:is>
      </x:c>
      <x:c r="M394" s="6" t="inlineStr">
        <x:is>
          <x:t xml:space="preserve"/>
        </x:is>
      </x:c>
    </x:row>
    <x:row r="395" ht="35" customHeight="1">
      <x:c r="A395" s="7" t="inlineStr">
        <x:is>
          <x:t xml:space="preserve">P202607-0394</x:t>
        </x:is>
      </x:c>
      <x:c r="B395" s="7" t="n">
        <x:v>2026</x:v>
      </x:c>
      <x:c r="C395" s="7" t="inlineStr">
        <x:is>
          <x:t xml:space="preserve">Jul</x:t>
        </x:is>
      </x:c>
      <x:c r="D395" s="7" t="inlineStr">
        <x:is>
          <x:t xml:space="preserve">MCS34</x:t>
        </x:is>
      </x:c>
      <x:c r="E395" s="6" t="inlineStr">
        <x:is>
          <x:t xml:space="preserve">Physical Stock Count ,Reconciliation &amp; Valuation</x:t>
        </x:is>
      </x:c>
      <x:c r="F395" s="6" t="inlineStr">
        <x:is>
          <x:t xml:space="preserve">Yomi Jegede Zainab Yunusah Saadu</x:t>
        </x:is>
      </x:c>
      <x:c r="G395" s="6" t="inlineStr">
        <x:is>
          <x:t xml:space="preserve"/>
        </x:is>
      </x:c>
      <x:c r="H395" s="7" t="inlineStr">
        <x:is>
          <x:t xml:space="preserve">Operating Effectiveness</x:t>
        </x:is>
      </x:c>
      <x:c r="I395" s="7" t="inlineStr">
        <x:is>
          <x:t xml:space="preserve"/>
        </x:is>
      </x:c>
      <x:c r="J395" s="8" t="n">
        <x:v>46218</x:v>
      </x:c>
      <x:c r="K395" s="7" t="inlineStr">
        <x:is>
          <x:t xml:space="preserve">Not Started</x:t>
        </x:is>
      </x:c>
      <x:c r="L395" s="7" t="inlineStr">
        <x:is>
          <x:t xml:space="preserve"/>
        </x:is>
      </x:c>
      <x:c r="M395" s="6" t="inlineStr">
        <x:is>
          <x:t xml:space="preserve"/>
        </x:is>
      </x:c>
    </x:row>
    <x:row r="396" ht="35" customHeight="1">
      <x:c r="A396" s="7" t="inlineStr">
        <x:is>
          <x:t xml:space="preserve">P202607-0395</x:t>
        </x:is>
      </x:c>
      <x:c r="B396" s="7" t="n">
        <x:v>2026</x:v>
      </x:c>
      <x:c r="C396" s="7" t="inlineStr">
        <x:is>
          <x:t xml:space="preserve">Jul</x:t>
        </x:is>
      </x:c>
      <x:c r="D396" s="7" t="inlineStr">
        <x:is>
          <x:t xml:space="preserve">MCS35</x:t>
        </x:is>
      </x:c>
      <x:c r="E396" s="6" t="inlineStr">
        <x:is>
          <x:t xml:space="preserve">Inventory Documentation (IMPEX)</x:t>
        </x:is>
      </x:c>
      <x:c r="F396" s="6" t="inlineStr">
        <x:is>
          <x:t xml:space="preserve">Yomi Jegede Zainab Yunusah Saadu</x:t>
        </x:is>
      </x:c>
      <x:c r="G396" s="6" t="inlineStr">
        <x:is>
          <x:t xml:space="preserve"/>
        </x:is>
      </x:c>
      <x:c r="H396" s="7" t="inlineStr">
        <x:is>
          <x:t xml:space="preserve">Operating Effectiveness</x:t>
        </x:is>
      </x:c>
      <x:c r="I396" s="7" t="inlineStr">
        <x:is>
          <x:t xml:space="preserve"/>
        </x:is>
      </x:c>
      <x:c r="J396" s="8" t="n">
        <x:v>46218</x:v>
      </x:c>
      <x:c r="K396" s="7" t="inlineStr">
        <x:is>
          <x:t xml:space="preserve">Not Started</x:t>
        </x:is>
      </x:c>
      <x:c r="L396" s="7" t="inlineStr">
        <x:is>
          <x:t xml:space="preserve"/>
        </x:is>
      </x:c>
      <x:c r="M396" s="6" t="inlineStr">
        <x:is>
          <x:t xml:space="preserve"/>
        </x:is>
      </x:c>
    </x:row>
    <x:row r="397" ht="35" customHeight="1">
      <x:c r="A397" s="7" t="inlineStr">
        <x:is>
          <x:t xml:space="preserve">P202607-0396</x:t>
        </x:is>
      </x:c>
      <x:c r="B397" s="7" t="n">
        <x:v>2026</x:v>
      </x:c>
      <x:c r="C397" s="7" t="inlineStr">
        <x:is>
          <x:t xml:space="preserve">Jul</x:t>
        </x:is>
      </x:c>
      <x:c r="D397" s="7" t="inlineStr">
        <x:is>
          <x:t xml:space="preserve">MCS36</x:t>
        </x:is>
      </x:c>
      <x:c r="E397" s="6" t="inlineStr">
        <x:is>
          <x:t xml:space="preserve">Management of access to IT systems</x:t>
        </x:is>
      </x:c>
      <x:c r="F397" s="6" t="inlineStr">
        <x:is>
          <x:t xml:space="preserve">Theophilus Okolie </x:t>
        </x:is>
      </x:c>
      <x:c r="G397" s="6" t="inlineStr">
        <x:is>
          <x:t xml:space="preserve"/>
        </x:is>
      </x:c>
      <x:c r="H397" s="7" t="inlineStr">
        <x:is>
          <x:t xml:space="preserve">Operating Effectiveness</x:t>
        </x:is>
      </x:c>
      <x:c r="I397" s="7" t="inlineStr">
        <x:is>
          <x:t xml:space="preserve"/>
        </x:is>
      </x:c>
      <x:c r="J397" s="8" t="n">
        <x:v>46218</x:v>
      </x:c>
      <x:c r="K397" s="7" t="inlineStr">
        <x:is>
          <x:t xml:space="preserve">Not Started</x:t>
        </x:is>
      </x:c>
      <x:c r="L397" s="7" t="inlineStr">
        <x:is>
          <x:t xml:space="preserve"/>
        </x:is>
      </x:c>
      <x:c r="M397" s="6" t="inlineStr">
        <x:is>
          <x:t xml:space="preserve"/>
        </x:is>
      </x:c>
    </x:row>
    <x:row r="398" ht="35" customHeight="1">
      <x:c r="A398" s="7" t="inlineStr">
        <x:is>
          <x:t xml:space="preserve">P202607-0397</x:t>
        </x:is>
      </x:c>
      <x:c r="B398" s="7" t="n">
        <x:v>2026</x:v>
      </x:c>
      <x:c r="C398" s="7" t="inlineStr">
        <x:is>
          <x:t xml:space="preserve">Jul</x:t>
        </x:is>
      </x:c>
      <x:c r="D398" s="7" t="inlineStr">
        <x:is>
          <x:t xml:space="preserve">MCS37</x:t>
        </x:is>
      </x:c>
      <x:c r="E398" s="6" t="inlineStr">
        <x:is>
          <x:t xml:space="preserve">Review of IT user access rights to production IT systems</x:t>
        </x:is>
      </x:c>
      <x:c r="F398" s="6" t="inlineStr">
        <x:is>
          <x:t xml:space="preserve">Theophilus Okolie </x:t>
        </x:is>
      </x:c>
      <x:c r="G398" s="6" t="inlineStr">
        <x:is>
          <x:t xml:space="preserve"/>
        </x:is>
      </x:c>
      <x:c r="H398" s="7" t="inlineStr">
        <x:is>
          <x:t xml:space="preserve">Operating Effectiveness</x:t>
        </x:is>
      </x:c>
      <x:c r="I398" s="7" t="inlineStr">
        <x:is>
          <x:t xml:space="preserve"/>
        </x:is>
      </x:c>
      <x:c r="J398" s="8" t="n">
        <x:v>46218</x:v>
      </x:c>
      <x:c r="K398" s="7" t="inlineStr">
        <x:is>
          <x:t xml:space="preserve">Not Started</x:t>
        </x:is>
      </x:c>
      <x:c r="L398" s="7" t="inlineStr">
        <x:is>
          <x:t xml:space="preserve"/>
        </x:is>
      </x:c>
      <x:c r="M398" s="6" t="inlineStr">
        <x:is>
          <x:t xml:space="preserve"/>
        </x:is>
      </x:c>
    </x:row>
    <x:row r="399" ht="35" customHeight="1">
      <x:c r="A399" s="7" t="inlineStr">
        <x:is>
          <x:t xml:space="preserve">P202607-0398</x:t>
        </x:is>
      </x:c>
      <x:c r="B399" s="7" t="n">
        <x:v>2026</x:v>
      </x:c>
      <x:c r="C399" s="7" t="inlineStr">
        <x:is>
          <x:t xml:space="preserve">Jul</x:t>
        </x:is>
      </x:c>
      <x:c r="D399" s="7" t="inlineStr">
        <x:is>
          <x:t xml:space="preserve">MCS38</x:t>
        </x:is>
      </x:c>
      <x:c r="E399" s="6" t="inlineStr">
        <x:is>
          <x:t xml:space="preserve">Security configuration settings and batch job management</x:t>
        </x:is>
      </x:c>
      <x:c r="F399" s="6" t="inlineStr">
        <x:is>
          <x:t xml:space="preserve">Theophilus Okolie </x:t>
        </x:is>
      </x:c>
      <x:c r="G399" s="6" t="inlineStr">
        <x:is>
          <x:t xml:space="preserve"/>
        </x:is>
      </x:c>
      <x:c r="H399" s="7" t="inlineStr">
        <x:is>
          <x:t xml:space="preserve">Operating Effectiveness</x:t>
        </x:is>
      </x:c>
      <x:c r="I399" s="7" t="inlineStr">
        <x:is>
          <x:t xml:space="preserve"/>
        </x:is>
      </x:c>
      <x:c r="J399" s="8" t="n">
        <x:v>46218</x:v>
      </x:c>
      <x:c r="K399" s="7" t="inlineStr">
        <x:is>
          <x:t xml:space="preserve">Not Started</x:t>
        </x:is>
      </x:c>
      <x:c r="L399" s="7" t="inlineStr">
        <x:is>
          <x:t xml:space="preserve"/>
        </x:is>
      </x:c>
      <x:c r="M399" s="6" t="inlineStr">
        <x:is>
          <x:t xml:space="preserve"/>
        </x:is>
      </x:c>
    </x:row>
    <x:row r="400" ht="35" customHeight="1">
      <x:c r="A400" s="7" t="inlineStr">
        <x:is>
          <x:t xml:space="preserve">P202607-0399</x:t>
        </x:is>
      </x:c>
      <x:c r="B400" s="7" t="n">
        <x:v>2026</x:v>
      </x:c>
      <x:c r="C400" s="7" t="inlineStr">
        <x:is>
          <x:t xml:space="preserve">Jul</x:t>
        </x:is>
      </x:c>
      <x:c r="D400" s="7" t="inlineStr">
        <x:is>
          <x:t xml:space="preserve">MCS39</x:t>
        </x:is>
      </x:c>
      <x:c r="E400" s="6" t="inlineStr">
        <x:is>
          <x:t xml:space="preserve">Data backup, storage and restoration process</x:t>
        </x:is>
      </x:c>
      <x:c r="F400" s="6" t="inlineStr">
        <x:is>
          <x:t xml:space="preserve">Theophilus Okolie </x:t>
        </x:is>
      </x:c>
      <x:c r="G400" s="6" t="inlineStr">
        <x:is>
          <x:t xml:space="preserve"/>
        </x:is>
      </x:c>
      <x:c r="H400" s="7" t="inlineStr">
        <x:is>
          <x:t xml:space="preserve">Operating Effectiveness</x:t>
        </x:is>
      </x:c>
      <x:c r="I400" s="7" t="inlineStr">
        <x:is>
          <x:t xml:space="preserve"/>
        </x:is>
      </x:c>
      <x:c r="J400" s="8" t="n">
        <x:v>46218</x:v>
      </x:c>
      <x:c r="K400" s="7" t="inlineStr">
        <x:is>
          <x:t xml:space="preserve">Not Started</x:t>
        </x:is>
      </x:c>
      <x:c r="L400" s="7" t="inlineStr">
        <x:is>
          <x:t xml:space="preserve"/>
        </x:is>
      </x:c>
      <x:c r="M400" s="6" t="inlineStr">
        <x:is>
          <x:t xml:space="preserve"/>
        </x:is>
      </x:c>
    </x:row>
    <x:row r="401" ht="35" customHeight="1">
      <x:c r="A401" s="7" t="inlineStr">
        <x:is>
          <x:t xml:space="preserve">P202607-0400</x:t>
        </x:is>
      </x:c>
      <x:c r="B401" s="7" t="n">
        <x:v>2026</x:v>
      </x:c>
      <x:c r="C401" s="7" t="inlineStr">
        <x:is>
          <x:t xml:space="preserve">Jul</x:t>
        </x:is>
      </x:c>
      <x:c r="D401" s="7" t="inlineStr">
        <x:is>
          <x:t xml:space="preserve">MCS40</x:t>
        </x:is>
      </x:c>
      <x:c r="E401" s="6" t="inlineStr">
        <x:is>
          <x:t xml:space="preserve">Managing changes to IT systems</x:t>
        </x:is>
      </x:c>
      <x:c r="F401" s="6" t="inlineStr">
        <x:is>
          <x:t xml:space="preserve">Theophilus Okolie </x:t>
        </x:is>
      </x:c>
      <x:c r="G401" s="6" t="inlineStr">
        <x:is>
          <x:t xml:space="preserve"/>
        </x:is>
      </x:c>
      <x:c r="H401" s="7" t="inlineStr">
        <x:is>
          <x:t xml:space="preserve">Operating Effectiveness</x:t>
        </x:is>
      </x:c>
      <x:c r="I401" s="7" t="inlineStr">
        <x:is>
          <x:t xml:space="preserve"/>
        </x:is>
      </x:c>
      <x:c r="J401" s="8" t="n">
        <x:v>46218</x:v>
      </x:c>
      <x:c r="K401" s="7" t="inlineStr">
        <x:is>
          <x:t xml:space="preserve">Not Started</x:t>
        </x:is>
      </x:c>
      <x:c r="L401" s="7" t="inlineStr">
        <x:is>
          <x:t xml:space="preserve"/>
        </x:is>
      </x:c>
      <x:c r="M401" s="6" t="inlineStr">
        <x:is>
          <x:t xml:space="preserve"/>
        </x:is>
      </x:c>
    </x:row>
    <x:row r="402" ht="35" customHeight="1">
      <x:c r="A402" s="7" t="inlineStr">
        <x:is>
          <x:t xml:space="preserve">P202607-0401</x:t>
        </x:is>
      </x:c>
      <x:c r="B402" s="7" t="n">
        <x:v>2026</x:v>
      </x:c>
      <x:c r="C402" s="7" t="inlineStr">
        <x:is>
          <x:t xml:space="preserve">Jul</x:t>
        </x:is>
      </x:c>
      <x:c r="D402" s="7" t="inlineStr">
        <x:is>
          <x:t xml:space="preserve">MCS41</x:t>
        </x:is>
      </x:c>
      <x:c r="E402" s="6" t="inlineStr">
        <x:is>
          <x:t xml:space="preserve">Compliance with accounting and reporting standards</x:t>
        </x:is>
      </x:c>
      <x:c r="F402" s="6" t="inlineStr">
        <x:is>
          <x:t xml:space="preserve">Zainab Yunusah Saadu Daniel Banjo</x:t>
        </x:is>
      </x:c>
      <x:c r="G402" s="6" t="inlineStr">
        <x:is>
          <x:t xml:space="preserve"/>
        </x:is>
      </x:c>
      <x:c r="H402" s="7" t="inlineStr">
        <x:is>
          <x:t xml:space="preserve">Operating Effectiveness</x:t>
        </x:is>
      </x:c>
      <x:c r="I402" s="7" t="inlineStr">
        <x:is>
          <x:t xml:space="preserve"/>
        </x:is>
      </x:c>
      <x:c r="J402" s="8" t="n">
        <x:v>46218</x:v>
      </x:c>
      <x:c r="K402" s="7" t="inlineStr">
        <x:is>
          <x:t xml:space="preserve">Not Started</x:t>
        </x:is>
      </x:c>
      <x:c r="L402" s="7" t="inlineStr">
        <x:is>
          <x:t xml:space="preserve"/>
        </x:is>
      </x:c>
      <x:c r="M402" s="6" t="inlineStr">
        <x:is>
          <x:t xml:space="preserve"/>
        </x:is>
      </x:c>
    </x:row>
    <x:row r="403" ht="35" customHeight="1">
      <x:c r="A403" s="7" t="inlineStr">
        <x:is>
          <x:t xml:space="preserve">P202607-0402</x:t>
        </x:is>
      </x:c>
      <x:c r="B403" s="7" t="n">
        <x:v>2026</x:v>
      </x:c>
      <x:c r="C403" s="7" t="inlineStr">
        <x:is>
          <x:t xml:space="preserve">Jul</x:t>
        </x:is>
      </x:c>
      <x:c r="D403" s="7" t="inlineStr">
        <x:is>
          <x:t xml:space="preserve">MCS42</x:t>
        </x:is>
      </x:c>
      <x:c r="E403" s="6" t="inlineStr">
        <x:is>
          <x:t xml:space="preserve">Reconciliation of general ledger accounts</x:t>
        </x:is>
      </x:c>
      <x:c r="F403" s="6" t="inlineStr">
        <x:is>
          <x:t xml:space="preserve">Zainab Yunusah Saadu Daniel Banjo</x:t>
        </x:is>
      </x:c>
      <x:c r="G403" s="6" t="inlineStr">
        <x:is>
          <x:t xml:space="preserve"/>
        </x:is>
      </x:c>
      <x:c r="H403" s="7" t="inlineStr">
        <x:is>
          <x:t xml:space="preserve">Operating Effectiveness</x:t>
        </x:is>
      </x:c>
      <x:c r="I403" s="7" t="inlineStr">
        <x:is>
          <x:t xml:space="preserve"/>
        </x:is>
      </x:c>
      <x:c r="J403" s="8" t="n">
        <x:v>46218</x:v>
      </x:c>
      <x:c r="K403" s="7" t="inlineStr">
        <x:is>
          <x:t xml:space="preserve">Not Started</x:t>
        </x:is>
      </x:c>
      <x:c r="L403" s="7" t="inlineStr">
        <x:is>
          <x:t xml:space="preserve"/>
        </x:is>
      </x:c>
      <x:c r="M403" s="6" t="inlineStr">
        <x:is>
          <x:t xml:space="preserve"/>
        </x:is>
      </x:c>
    </x:row>
    <x:row r="404" ht="35" customHeight="1">
      <x:c r="A404" s="7" t="inlineStr">
        <x:is>
          <x:t xml:space="preserve">P202607-0403</x:t>
        </x:is>
      </x:c>
      <x:c r="B404" s="7" t="n">
        <x:v>2026</x:v>
      </x:c>
      <x:c r="C404" s="7" t="inlineStr">
        <x:is>
          <x:t xml:space="preserve">Jul</x:t>
        </x:is>
      </x:c>
      <x:c r="D404" s="7" t="inlineStr">
        <x:is>
          <x:t xml:space="preserve">MCS43</x:t>
        </x:is>
      </x:c>
      <x:c r="E404" s="6" t="inlineStr">
        <x:is>
          <x:t xml:space="preserve">Reconciliation of bank accounts</x:t>
        </x:is>
      </x:c>
      <x:c r="F404" s="6" t="inlineStr">
        <x:is>
          <x:t xml:space="preserve">Zainab Yunusah Saadu Daniel Banjo</x:t>
        </x:is>
      </x:c>
      <x:c r="G404" s="6" t="inlineStr">
        <x:is>
          <x:t xml:space="preserve"/>
        </x:is>
      </x:c>
      <x:c r="H404" s="7" t="inlineStr">
        <x:is>
          <x:t xml:space="preserve">Operating Effectiveness</x:t>
        </x:is>
      </x:c>
      <x:c r="I404" s="7" t="inlineStr">
        <x:is>
          <x:t xml:space="preserve"/>
        </x:is>
      </x:c>
      <x:c r="J404" s="8" t="n">
        <x:v>46218</x:v>
      </x:c>
      <x:c r="K404" s="7" t="inlineStr">
        <x:is>
          <x:t xml:space="preserve">Not Started</x:t>
        </x:is>
      </x:c>
      <x:c r="L404" s="7" t="inlineStr">
        <x:is>
          <x:t xml:space="preserve"/>
        </x:is>
      </x:c>
      <x:c r="M404" s="6" t="inlineStr">
        <x:is>
          <x:t xml:space="preserve"/>
        </x:is>
      </x:c>
    </x:row>
    <x:row r="405" ht="35" customHeight="1">
      <x:c r="A405" s="7" t="inlineStr">
        <x:is>
          <x:t xml:space="preserve">P202607-0404</x:t>
        </x:is>
      </x:c>
      <x:c r="B405" s="7" t="n">
        <x:v>2026</x:v>
      </x:c>
      <x:c r="C405" s="7" t="inlineStr">
        <x:is>
          <x:t xml:space="preserve">Jul</x:t>
        </x:is>
      </x:c>
      <x:c r="D405" s="7" t="inlineStr">
        <x:is>
          <x:t xml:space="preserve">MCS44</x:t>
        </x:is>
      </x:c>
      <x:c r="E405" s="6" t="inlineStr">
        <x:is>
          <x:t xml:space="preserve">Reconciliation of intercompany balances</x:t>
        </x:is>
      </x:c>
      <x:c r="F405" s="6" t="inlineStr">
        <x:is>
          <x:t xml:space="preserve">Zainab Yunusah Saadu Daniel Banjo</x:t>
        </x:is>
      </x:c>
      <x:c r="G405" s="6" t="inlineStr">
        <x:is>
          <x:t xml:space="preserve"/>
        </x:is>
      </x:c>
      <x:c r="H405" s="7" t="inlineStr">
        <x:is>
          <x:t xml:space="preserve">Operating Effectiveness</x:t>
        </x:is>
      </x:c>
      <x:c r="I405" s="7" t="inlineStr">
        <x:is>
          <x:t xml:space="preserve"/>
        </x:is>
      </x:c>
      <x:c r="J405" s="8" t="n">
        <x:v>46218</x:v>
      </x:c>
      <x:c r="K405" s="7" t="inlineStr">
        <x:is>
          <x:t xml:space="preserve">Not Started</x:t>
        </x:is>
      </x:c>
      <x:c r="L405" s="7" t="inlineStr">
        <x:is>
          <x:t xml:space="preserve"/>
        </x:is>
      </x:c>
      <x:c r="M405" s="6" t="inlineStr">
        <x:is>
          <x:t xml:space="preserve"/>
        </x:is>
      </x:c>
    </x:row>
    <x:row r="406" ht="35" customHeight="1">
      <x:c r="A406" s="7" t="inlineStr">
        <x:is>
          <x:t xml:space="preserve">P202607-0405</x:t>
        </x:is>
      </x:c>
      <x:c r="B406" s="7" t="n">
        <x:v>2026</x:v>
      </x:c>
      <x:c r="C406" s="7" t="inlineStr">
        <x:is>
          <x:t xml:space="preserve">Jul</x:t>
        </x:is>
      </x:c>
      <x:c r="D406" s="7" t="inlineStr">
        <x:is>
          <x:t xml:space="preserve">MCS45</x:t>
        </x:is>
      </x:c>
      <x:c r="E406" s="6" t="inlineStr">
        <x:is>
          <x:t xml:space="preserve">Manual journal entries</x:t>
        </x:is>
      </x:c>
      <x:c r="F406" s="6" t="inlineStr">
        <x:is>
          <x:t xml:space="preserve">Zainab Yunusah Saadu Daniel Banjo</x:t>
        </x:is>
      </x:c>
      <x:c r="G406" s="6" t="inlineStr">
        <x:is>
          <x:t xml:space="preserve"/>
        </x:is>
      </x:c>
      <x:c r="H406" s="7" t="inlineStr">
        <x:is>
          <x:t xml:space="preserve">Operating Effectiveness</x:t>
        </x:is>
      </x:c>
      <x:c r="I406" s="7" t="inlineStr">
        <x:is>
          <x:t xml:space="preserve"/>
        </x:is>
      </x:c>
      <x:c r="J406" s="8" t="n">
        <x:v>46218</x:v>
      </x:c>
      <x:c r="K406" s="7" t="inlineStr">
        <x:is>
          <x:t xml:space="preserve">Not Started</x:t>
        </x:is>
      </x:c>
      <x:c r="L406" s="7" t="inlineStr">
        <x:is>
          <x:t xml:space="preserve"/>
        </x:is>
      </x:c>
      <x:c r="M406" s="6" t="inlineStr">
        <x:is>
          <x:t xml:space="preserve"/>
        </x:is>
      </x:c>
    </x:row>
    <x:row r="407" ht="35" customHeight="1">
      <x:c r="A407" s="7" t="inlineStr">
        <x:is>
          <x:t xml:space="preserve">P202607-0406</x:t>
        </x:is>
      </x:c>
      <x:c r="B407" s="7" t="n">
        <x:v>2026</x:v>
      </x:c>
      <x:c r="C407" s="7" t="inlineStr">
        <x:is>
          <x:t xml:space="preserve">Jul</x:t>
        </x:is>
      </x:c>
      <x:c r="D407" s="7" t="inlineStr">
        <x:is>
          <x:t xml:space="preserve">MCS46</x:t>
        </x:is>
      </x:c>
      <x:c r="E407" s="6" t="inlineStr">
        <x:is>
          <x:t xml:space="preserve">Impairment of goodwill, intangible assets and tangible assets</x:t>
        </x:is>
      </x:c>
      <x:c r="F407" s="6" t="inlineStr">
        <x:is>
          <x:t xml:space="preserve">Zainab Yunusah Saadu Daniel Banjo</x:t>
        </x:is>
      </x:c>
      <x:c r="G407" s="6" t="inlineStr">
        <x:is>
          <x:t xml:space="preserve"/>
        </x:is>
      </x:c>
      <x:c r="H407" s="7" t="inlineStr">
        <x:is>
          <x:t xml:space="preserve">Operating Effectiveness</x:t>
        </x:is>
      </x:c>
      <x:c r="I407" s="7" t="inlineStr">
        <x:is>
          <x:t xml:space="preserve"/>
        </x:is>
      </x:c>
      <x:c r="J407" s="8" t="n">
        <x:v>46218</x:v>
      </x:c>
      <x:c r="K407" s="7" t="inlineStr">
        <x:is>
          <x:t xml:space="preserve">Not Started</x:t>
        </x:is>
      </x:c>
      <x:c r="L407" s="7" t="inlineStr">
        <x:is>
          <x:t xml:space="preserve"/>
        </x:is>
      </x:c>
      <x:c r="M407" s="6" t="inlineStr">
        <x:is>
          <x:t xml:space="preserve"/>
        </x:is>
      </x:c>
    </x:row>
    <x:row r="408" ht="35" customHeight="1">
      <x:c r="A408" s="7" t="inlineStr">
        <x:is>
          <x:t xml:space="preserve">P202607-0407</x:t>
        </x:is>
      </x:c>
      <x:c r="B408" s="7" t="n">
        <x:v>2026</x:v>
      </x:c>
      <x:c r="C408" s="7" t="inlineStr">
        <x:is>
          <x:t xml:space="preserve">Jul</x:t>
        </x:is>
      </x:c>
      <x:c r="D408" s="7" t="inlineStr">
        <x:is>
          <x:t xml:space="preserve">MCS47</x:t>
        </x:is>
      </x:c>
      <x:c r="E408" s="6" t="inlineStr">
        <x:is>
          <x:t xml:space="preserve">Transactions in a foreign currency</x:t>
        </x:is>
      </x:c>
      <x:c r="F408" s="6" t="inlineStr">
        <x:is>
          <x:t xml:space="preserve">Zainab Yunusah Saadu Daniel Banjo</x:t>
        </x:is>
      </x:c>
      <x:c r="G408" s="6" t="inlineStr">
        <x:is>
          <x:t xml:space="preserve"/>
        </x:is>
      </x:c>
      <x:c r="H408" s="7" t="inlineStr">
        <x:is>
          <x:t xml:space="preserve">Operating Effectiveness</x:t>
        </x:is>
      </x:c>
      <x:c r="I408" s="7" t="inlineStr">
        <x:is>
          <x:t xml:space="preserve"/>
        </x:is>
      </x:c>
      <x:c r="J408" s="8" t="n">
        <x:v>46218</x:v>
      </x:c>
      <x:c r="K408" s="7" t="inlineStr">
        <x:is>
          <x:t xml:space="preserve">Not Started</x:t>
        </x:is>
      </x:c>
      <x:c r="L408" s="7" t="inlineStr">
        <x:is>
          <x:t xml:space="preserve"/>
        </x:is>
      </x:c>
      <x:c r="M408" s="6" t="inlineStr">
        <x:is>
          <x:t xml:space="preserve"/>
        </x:is>
      </x:c>
    </x:row>
    <x:row r="409" ht="35" customHeight="1">
      <x:c r="A409" s="7" t="inlineStr">
        <x:is>
          <x:t xml:space="preserve">P202607-0408</x:t>
        </x:is>
      </x:c>
      <x:c r="B409" s="7" t="n">
        <x:v>2026</x:v>
      </x:c>
      <x:c r="C409" s="7" t="inlineStr">
        <x:is>
          <x:t xml:space="preserve">Jul</x:t>
        </x:is>
      </x:c>
      <x:c r="D409" s="7" t="inlineStr">
        <x:is>
          <x:t xml:space="preserve">MCS48</x:t>
        </x:is>
      </x:c>
      <x:c r="E409" s="6" t="inlineStr">
        <x:is>
          <x:t xml:space="preserve">Management of legal structure and consolidation hierarchy</x:t>
        </x:is>
      </x:c>
      <x:c r="F409" s="6" t="inlineStr">
        <x:is>
          <x:t xml:space="preserve">Zainab Yunusah Saadu Daniel Banjo</x:t>
        </x:is>
      </x:c>
      <x:c r="G409" s="6" t="inlineStr">
        <x:is>
          <x:t xml:space="preserve"/>
        </x:is>
      </x:c>
      <x:c r="H409" s="7" t="inlineStr">
        <x:is>
          <x:t xml:space="preserve">Operating Effectiveness</x:t>
        </x:is>
      </x:c>
      <x:c r="I409" s="7" t="inlineStr">
        <x:is>
          <x:t xml:space="preserve"/>
        </x:is>
      </x:c>
      <x:c r="J409" s="8" t="n">
        <x:v>46218</x:v>
      </x:c>
      <x:c r="K409" s="7" t="inlineStr">
        <x:is>
          <x:t xml:space="preserve">Not Started</x:t>
        </x:is>
      </x:c>
      <x:c r="L409" s="7" t="inlineStr">
        <x:is>
          <x:t xml:space="preserve"/>
        </x:is>
      </x:c>
      <x:c r="M409" s="6" t="inlineStr">
        <x:is>
          <x:t xml:space="preserve"/>
        </x:is>
      </x:c>
    </x:row>
    <x:row r="410" ht="35" customHeight="1">
      <x:c r="A410" s="7" t="inlineStr">
        <x:is>
          <x:t xml:space="preserve">P202607-0409</x:t>
        </x:is>
      </x:c>
      <x:c r="B410" s="7" t="n">
        <x:v>2026</x:v>
      </x:c>
      <x:c r="C410" s="7" t="inlineStr">
        <x:is>
          <x:t xml:space="preserve">Jul</x:t>
        </x:is>
      </x:c>
      <x:c r="D410" s="7" t="inlineStr">
        <x:is>
          <x:t xml:space="preserve">MCS49</x:t>
        </x:is>
      </x:c>
      <x:c r="E410" s="6" t="inlineStr">
        <x:is>
          <x:t xml:space="preserve">Consolidation of financial statement</x:t>
        </x:is>
      </x:c>
      <x:c r="F410" s="6" t="inlineStr">
        <x:is>
          <x:t xml:space="preserve">Zainab Yunusah Saadu Daniel Banjo</x:t>
        </x:is>
      </x:c>
      <x:c r="G410" s="6" t="inlineStr">
        <x:is>
          <x:t xml:space="preserve"/>
        </x:is>
      </x:c>
      <x:c r="H410" s="7" t="inlineStr">
        <x:is>
          <x:t xml:space="preserve">Operating Effectiveness</x:t>
        </x:is>
      </x:c>
      <x:c r="I410" s="7" t="inlineStr">
        <x:is>
          <x:t xml:space="preserve"/>
        </x:is>
      </x:c>
      <x:c r="J410" s="8" t="n">
        <x:v>46218</x:v>
      </x:c>
      <x:c r="K410" s="7" t="inlineStr">
        <x:is>
          <x:t xml:space="preserve">Not Started</x:t>
        </x:is>
      </x:c>
      <x:c r="L410" s="7" t="inlineStr">
        <x:is>
          <x:t xml:space="preserve"/>
        </x:is>
      </x:c>
      <x:c r="M410" s="6" t="inlineStr">
        <x:is>
          <x:t xml:space="preserve"/>
        </x:is>
      </x:c>
    </x:row>
    <x:row r="411" ht="35" customHeight="1">
      <x:c r="A411" s="7" t="inlineStr">
        <x:is>
          <x:t xml:space="preserve">P202607-0410</x:t>
        </x:is>
      </x:c>
      <x:c r="B411" s="7" t="n">
        <x:v>2026</x:v>
      </x:c>
      <x:c r="C411" s="7" t="inlineStr">
        <x:is>
          <x:t xml:space="preserve">Jul</x:t>
        </x:is>
      </x:c>
      <x:c r="D411" s="7" t="inlineStr">
        <x:is>
          <x:t xml:space="preserve">MCS50</x:t>
        </x:is>
      </x:c>
      <x:c r="E411" s="6" t="inlineStr">
        <x:is>
          <x:t xml:space="preserve">Statutory financial statements</x:t>
        </x:is>
      </x:c>
      <x:c r="F411" s="6" t="inlineStr">
        <x:is>
          <x:t xml:space="preserve">Zainab Yunusah Saadu Daniel Banjo</x:t>
        </x:is>
      </x:c>
      <x:c r="G411" s="6" t="inlineStr">
        <x:is>
          <x:t xml:space="preserve"/>
        </x:is>
      </x:c>
      <x:c r="H411" s="7" t="inlineStr">
        <x:is>
          <x:t xml:space="preserve">Operating Effectiveness</x:t>
        </x:is>
      </x:c>
      <x:c r="I411" s="7" t="inlineStr">
        <x:is>
          <x:t xml:space="preserve"/>
        </x:is>
      </x:c>
      <x:c r="J411" s="8" t="n">
        <x:v>46218</x:v>
      </x:c>
      <x:c r="K411" s="7" t="inlineStr">
        <x:is>
          <x:t xml:space="preserve">Not Started</x:t>
        </x:is>
      </x:c>
      <x:c r="L411" s="7" t="inlineStr">
        <x:is>
          <x:t xml:space="preserve"/>
        </x:is>
      </x:c>
      <x:c r="M411" s="6" t="inlineStr">
        <x:is>
          <x:t xml:space="preserve"/>
        </x:is>
      </x:c>
    </x:row>
    <x:row r="412" ht="35" customHeight="1">
      <x:c r="A412" s="7" t="inlineStr">
        <x:is>
          <x:t xml:space="preserve">P202607-0411</x:t>
        </x:is>
      </x:c>
      <x:c r="B412" s="7" t="n">
        <x:v>2026</x:v>
      </x:c>
      <x:c r="C412" s="7" t="inlineStr">
        <x:is>
          <x:t xml:space="preserve">Jul</x:t>
        </x:is>
      </x:c>
      <x:c r="D412" s="7" t="inlineStr">
        <x:is>
          <x:t xml:space="preserve">MCS51</x:t>
        </x:is>
      </x:c>
      <x:c r="E412" s="6" t="inlineStr">
        <x:is>
          <x:t xml:space="preserve">Tax risk assessment and reporting</x:t>
        </x:is>
      </x:c>
      <x:c r="F412" s="6" t="n"/>
      <x:c r="G412" s="6" t="inlineStr">
        <x:is>
          <x:t xml:space="preserve"/>
        </x:is>
      </x:c>
      <x:c r="H412" s="7" t="inlineStr">
        <x:is>
          <x:t xml:space="preserve">Operating Effectiveness</x:t>
        </x:is>
      </x:c>
      <x:c r="I412" s="7" t="inlineStr">
        <x:is>
          <x:t xml:space="preserve"/>
        </x:is>
      </x:c>
      <x:c r="J412" s="8" t="n">
        <x:v>46218</x:v>
      </x:c>
      <x:c r="K412" s="7" t="inlineStr">
        <x:is>
          <x:t xml:space="preserve">Not Started</x:t>
        </x:is>
      </x:c>
      <x:c r="L412" s="7" t="inlineStr">
        <x:is>
          <x:t xml:space="preserve"/>
        </x:is>
      </x:c>
      <x:c r="M412" s="6" t="inlineStr">
        <x:is>
          <x:t xml:space="preserve"/>
        </x:is>
      </x:c>
    </x:row>
    <x:row r="413" ht="35" customHeight="1">
      <x:c r="A413" s="7" t="inlineStr">
        <x:is>
          <x:t xml:space="preserve">P202607-0412</x:t>
        </x:is>
      </x:c>
      <x:c r="B413" s="7" t="n">
        <x:v>2026</x:v>
      </x:c>
      <x:c r="C413" s="7" t="inlineStr">
        <x:is>
          <x:t xml:space="preserve">Jul</x:t>
        </x:is>
      </x:c>
      <x:c r="D413" s="7" t="inlineStr">
        <x:is>
          <x:t xml:space="preserve">MCS52</x:t>
        </x:is>
      </x:c>
      <x:c r="E413" s="6" t="inlineStr">
        <x:is>
          <x:t xml:space="preserve">Tax filings and payments</x:t>
        </x:is>
      </x:c>
      <x:c r="F413" s="6" t="n"/>
      <x:c r="G413" s="6" t="inlineStr">
        <x:is>
          <x:t xml:space="preserve"/>
        </x:is>
      </x:c>
      <x:c r="H413" s="7" t="inlineStr">
        <x:is>
          <x:t xml:space="preserve">Operating Effectiveness</x:t>
        </x:is>
      </x:c>
      <x:c r="I413" s="7" t="inlineStr">
        <x:is>
          <x:t xml:space="preserve"/>
        </x:is>
      </x:c>
      <x:c r="J413" s="8" t="n">
        <x:v>46218</x:v>
      </x:c>
      <x:c r="K413" s="7" t="inlineStr">
        <x:is>
          <x:t xml:space="preserve">Not Started</x:t>
        </x:is>
      </x:c>
      <x:c r="L413" s="7" t="inlineStr">
        <x:is>
          <x:t xml:space="preserve"/>
        </x:is>
      </x:c>
      <x:c r="M413" s="6" t="inlineStr">
        <x:is>
          <x:t xml:space="preserve"/>
        </x:is>
      </x:c>
    </x:row>
    <x:row r="414" ht="35" customHeight="1">
      <x:c r="A414" s="7" t="inlineStr">
        <x:is>
          <x:t xml:space="preserve">P202607-0413</x:t>
        </x:is>
      </x:c>
      <x:c r="B414" s="7" t="n">
        <x:v>2026</x:v>
      </x:c>
      <x:c r="C414" s="7" t="inlineStr">
        <x:is>
          <x:t xml:space="preserve">Jul</x:t>
        </x:is>
      </x:c>
      <x:c r="D414" s="7" t="inlineStr">
        <x:is>
          <x:t xml:space="preserve">MCS53</x:t>
        </x:is>
      </x:c>
      <x:c r="E414" s="6" t="inlineStr">
        <x:is>
          <x:t xml:space="preserve">Deferred and current income tax calculations</x:t>
        </x:is>
      </x:c>
      <x:c r="F414" s="6" t="n"/>
      <x:c r="G414" s="6" t="inlineStr">
        <x:is>
          <x:t xml:space="preserve"/>
        </x:is>
      </x:c>
      <x:c r="H414" s="7" t="inlineStr">
        <x:is>
          <x:t xml:space="preserve">Operating Effectiveness</x:t>
        </x:is>
      </x:c>
      <x:c r="I414" s="7" t="inlineStr">
        <x:is>
          <x:t xml:space="preserve"/>
        </x:is>
      </x:c>
      <x:c r="J414" s="8" t="n">
        <x:v>46218</x:v>
      </x:c>
      <x:c r="K414" s="7" t="inlineStr">
        <x:is>
          <x:t xml:space="preserve">Not Started</x:t>
        </x:is>
      </x:c>
      <x:c r="L414" s="7" t="inlineStr">
        <x:is>
          <x:t xml:space="preserve"/>
        </x:is>
      </x:c>
      <x:c r="M414" s="6" t="inlineStr">
        <x:is>
          <x:t xml:space="preserve"/>
        </x:is>
      </x:c>
    </x:row>
    <x:row r="415" ht="35" customHeight="1">
      <x:c r="A415" s="7" t="inlineStr">
        <x:is>
          <x:t xml:space="preserve">P202607-0414</x:t>
        </x:is>
      </x:c>
      <x:c r="B415" s="7" t="n">
        <x:v>2026</x:v>
      </x:c>
      <x:c r="C415" s="7" t="inlineStr">
        <x:is>
          <x:t xml:space="preserve">Jul</x:t>
        </x:is>
      </x:c>
      <x:c r="D415" s="7" t="inlineStr">
        <x:is>
          <x:t xml:space="preserve">MCS54</x:t>
        </x:is>
      </x:c>
      <x:c r="E415" s="6" t="inlineStr">
        <x:is>
          <x:t xml:space="preserve">Transfer pricing</x:t>
        </x:is>
      </x:c>
      <x:c r="F415" s="6" t="n"/>
      <x:c r="G415" s="6" t="inlineStr">
        <x:is>
          <x:t xml:space="preserve"/>
        </x:is>
      </x:c>
      <x:c r="H415" s="7" t="inlineStr">
        <x:is>
          <x:t xml:space="preserve">Operating Effectiveness</x:t>
        </x:is>
      </x:c>
      <x:c r="I415" s="7" t="inlineStr">
        <x:is>
          <x:t xml:space="preserve"/>
        </x:is>
      </x:c>
      <x:c r="J415" s="8" t="n">
        <x:v>46218</x:v>
      </x:c>
      <x:c r="K415" s="7" t="inlineStr">
        <x:is>
          <x:t xml:space="preserve">Not Started</x:t>
        </x:is>
      </x:c>
      <x:c r="L415" s="7" t="inlineStr">
        <x:is>
          <x:t xml:space="preserve"/>
        </x:is>
      </x:c>
      <x:c r="M415" s="6" t="inlineStr">
        <x:is>
          <x:t xml:space="preserve"/>
        </x:is>
      </x:c>
    </x:row>
    <x:row r="416" ht="35" customHeight="1">
      <x:c r="A416" s="7" t="inlineStr">
        <x:is>
          <x:t xml:space="preserve">P202607-0415</x:t>
        </x:is>
      </x:c>
      <x:c r="B416" s="7" t="n">
        <x:v>2026</x:v>
      </x:c>
      <x:c r="C416" s="7" t="inlineStr">
        <x:is>
          <x:t xml:space="preserve">Jul</x:t>
        </x:is>
      </x:c>
      <x:c r="D416" s="7" t="inlineStr">
        <x:is>
          <x:t xml:space="preserve">MCS55</x:t>
        </x:is>
      </x:c>
      <x:c r="E416" s="6" t="inlineStr">
        <x:is>
          <x:t xml:space="preserve">Non-income (indirect) taxes</x:t>
        </x:is>
      </x:c>
      <x:c r="F416" s="6" t="n"/>
      <x:c r="G416" s="6" t="inlineStr">
        <x:is>
          <x:t xml:space="preserve"/>
        </x:is>
      </x:c>
      <x:c r="H416" s="7" t="inlineStr">
        <x:is>
          <x:t xml:space="preserve">Operating Effectiveness</x:t>
        </x:is>
      </x:c>
      <x:c r="I416" s="7" t="inlineStr">
        <x:is>
          <x:t xml:space="preserve"/>
        </x:is>
      </x:c>
      <x:c r="J416" s="8" t="n">
        <x:v>46218</x:v>
      </x:c>
      <x:c r="K416" s="7" t="inlineStr">
        <x:is>
          <x:t xml:space="preserve">Not Started</x:t>
        </x:is>
      </x:c>
      <x:c r="L416" s="7" t="inlineStr">
        <x:is>
          <x:t xml:space="preserve"/>
        </x:is>
      </x:c>
      <x:c r="M416" s="6" t="inlineStr">
        <x:is>
          <x:t xml:space="preserve"/>
        </x:is>
      </x:c>
    </x:row>
    <x:row r="417" ht="35" customHeight="1">
      <x:c r="A417" s="7" t="inlineStr">
        <x:is>
          <x:t xml:space="preserve">P202607-0416</x:t>
        </x:is>
      </x:c>
      <x:c r="B417" s="7" t="n">
        <x:v>2026</x:v>
      </x:c>
      <x:c r="C417" s="7" t="inlineStr">
        <x:is>
          <x:t xml:space="preserve">Jul</x:t>
        </x:is>
      </x:c>
      <x:c r="D417" s="7" t="inlineStr">
        <x:is>
          <x:t xml:space="preserve">MCS56</x:t>
        </x:is>
      </x:c>
      <x:c r="E417" s="6" t="inlineStr">
        <x:is>
          <x:t xml:space="preserve">Bank relations</x:t>
        </x:is>
      </x:c>
      <x:c r="F417" s="6" t="n"/>
      <x:c r="G417" s="6" t="inlineStr">
        <x:is>
          <x:t xml:space="preserve"/>
        </x:is>
      </x:c>
      <x:c r="H417" s="7" t="inlineStr">
        <x:is>
          <x:t xml:space="preserve">Operating Effectiveness</x:t>
        </x:is>
      </x:c>
      <x:c r="I417" s="7" t="inlineStr">
        <x:is>
          <x:t xml:space="preserve"/>
        </x:is>
      </x:c>
      <x:c r="J417" s="8" t="n">
        <x:v>46218</x:v>
      </x:c>
      <x:c r="K417" s="7" t="inlineStr">
        <x:is>
          <x:t xml:space="preserve">Not Started</x:t>
        </x:is>
      </x:c>
      <x:c r="L417" s="7" t="inlineStr">
        <x:is>
          <x:t xml:space="preserve"/>
        </x:is>
      </x:c>
      <x:c r="M417" s="6" t="inlineStr">
        <x:is>
          <x:t xml:space="preserve"/>
        </x:is>
      </x:c>
    </x:row>
    <x:row r="418" ht="35" customHeight="1">
      <x:c r="A418" s="7" t="inlineStr">
        <x:is>
          <x:t xml:space="preserve">P202607-0417</x:t>
        </x:is>
      </x:c>
      <x:c r="B418" s="7" t="n">
        <x:v>2026</x:v>
      </x:c>
      <x:c r="C418" s="7" t="inlineStr">
        <x:is>
          <x:t xml:space="preserve">Jul</x:t>
        </x:is>
      </x:c>
      <x:c r="D418" s="7" t="inlineStr">
        <x:is>
          <x:t xml:space="preserve">MCS57</x:t>
        </x:is>
      </x:c>
      <x:c r="E418" s="6" t="inlineStr">
        <x:is>
          <x:t xml:space="preserve">Cash transactions are not permitted without Regional Controller approval</x:t>
        </x:is>
      </x:c>
      <x:c r="F418" s="6" t="n"/>
      <x:c r="G418" s="6" t="inlineStr">
        <x:is>
          <x:t xml:space="preserve"/>
        </x:is>
      </x:c>
      <x:c r="H418" s="7" t="inlineStr">
        <x:is>
          <x:t xml:space="preserve">Operating Effectiveness</x:t>
        </x:is>
      </x:c>
      <x:c r="I418" s="7" t="inlineStr">
        <x:is>
          <x:t xml:space="preserve"/>
        </x:is>
      </x:c>
      <x:c r="J418" s="8" t="n">
        <x:v>46218</x:v>
      </x:c>
      <x:c r="K418" s="7" t="inlineStr">
        <x:is>
          <x:t xml:space="preserve">Not Started</x:t>
        </x:is>
      </x:c>
      <x:c r="L418" s="7" t="inlineStr">
        <x:is>
          <x:t xml:space="preserve"/>
        </x:is>
      </x:c>
      <x:c r="M418" s="6" t="inlineStr">
        <x:is>
          <x:t xml:space="preserve"/>
        </x:is>
      </x:c>
    </x:row>
    <x:row r="419" ht="35" customHeight="1">
      <x:c r="A419" s="7" t="inlineStr">
        <x:is>
          <x:t xml:space="preserve">P202607-0418</x:t>
        </x:is>
      </x:c>
      <x:c r="B419" s="7" t="n">
        <x:v>2026</x:v>
      </x:c>
      <x:c r="C419" s="7" t="inlineStr">
        <x:is>
          <x:t xml:space="preserve">Jul</x:t>
        </x:is>
      </x:c>
      <x:c r="D419" s="7" t="inlineStr">
        <x:is>
          <x:t xml:space="preserve">MCS58</x:t>
        </x:is>
      </x:c>
      <x:c r="E419" s="6" t="inlineStr">
        <x:is>
          <x:t xml:space="preserve">Secure payment means</x:t>
        </x:is>
      </x:c>
      <x:c r="F419" s="6" t="n"/>
      <x:c r="G419" s="6" t="inlineStr">
        <x:is>
          <x:t xml:space="preserve"/>
        </x:is>
      </x:c>
      <x:c r="H419" s="7" t="inlineStr">
        <x:is>
          <x:t xml:space="preserve">Operating Effectiveness</x:t>
        </x:is>
      </x:c>
      <x:c r="I419" s="7" t="inlineStr">
        <x:is>
          <x:t xml:space="preserve"/>
        </x:is>
      </x:c>
      <x:c r="J419" s="8" t="n">
        <x:v>46218</x:v>
      </x:c>
      <x:c r="K419" s="7" t="inlineStr">
        <x:is>
          <x:t xml:space="preserve">Not Started</x:t>
        </x:is>
      </x:c>
      <x:c r="L419" s="7" t="inlineStr">
        <x:is>
          <x:t xml:space="preserve"/>
        </x:is>
      </x:c>
      <x:c r="M419" s="6" t="inlineStr">
        <x:is>
          <x:t xml:space="preserve"/>
        </x:is>
      </x:c>
    </x:row>
    <x:row r="420" ht="35" customHeight="1">
      <x:c r="A420" s="7" t="inlineStr">
        <x:is>
          <x:t xml:space="preserve">P202607-0419</x:t>
        </x:is>
      </x:c>
      <x:c r="B420" s="7" t="n">
        <x:v>2026</x:v>
      </x:c>
      <x:c r="C420" s="7" t="inlineStr">
        <x:is>
          <x:t xml:space="preserve">Jul</x:t>
        </x:is>
      </x:c>
      <x:c r="D420" s="7" t="inlineStr">
        <x:is>
          <x:t xml:space="preserve">MCS59</x:t>
        </x:is>
      </x:c>
      <x:c r="E420" s="6" t="inlineStr">
        <x:is>
          <x:t xml:space="preserve">Financial instruments, borrowings, commitments and working capital schemes</x:t>
        </x:is>
      </x:c>
      <x:c r="F420" s="6" t="n"/>
      <x:c r="G420" s="6" t="inlineStr">
        <x:is>
          <x:t xml:space="preserve"/>
        </x:is>
      </x:c>
      <x:c r="H420" s="7" t="inlineStr">
        <x:is>
          <x:t xml:space="preserve">Operating Effectiveness</x:t>
        </x:is>
      </x:c>
      <x:c r="I420" s="7" t="inlineStr">
        <x:is>
          <x:t xml:space="preserve"/>
        </x:is>
      </x:c>
      <x:c r="J420" s="8" t="n">
        <x:v>46218</x:v>
      </x:c>
      <x:c r="K420" s="7" t="inlineStr">
        <x:is>
          <x:t xml:space="preserve">Not Started</x:t>
        </x:is>
      </x:c>
      <x:c r="L420" s="7" t="inlineStr">
        <x:is>
          <x:t xml:space="preserve"/>
        </x:is>
      </x:c>
      <x:c r="M420" s="6" t="inlineStr">
        <x:is>
          <x:t xml:space="preserve"/>
        </x:is>
      </x:c>
    </x:row>
    <x:row r="421" ht="35" customHeight="1">
      <x:c r="A421" s="7" t="inlineStr">
        <x:is>
          <x:t xml:space="preserve">P202607-0420</x:t>
        </x:is>
      </x:c>
      <x:c r="B421" s="7" t="n">
        <x:v>2026</x:v>
      </x:c>
      <x:c r="C421" s="7" t="inlineStr">
        <x:is>
          <x:t xml:space="preserve">Jul</x:t>
        </x:is>
      </x:c>
      <x:c r="D421" s="7" t="inlineStr">
        <x:is>
          <x:t xml:space="preserve">MCS60</x:t>
        </x:is>
      </x:c>
      <x:c r="E421" s="6" t="inlineStr">
        <x:is>
          <x:t xml:space="preserve">Forex, interest rate, commodities risks monitoring and hedging</x:t>
        </x:is>
      </x:c>
      <x:c r="F421" s="6" t="n"/>
      <x:c r="G421" s="6" t="inlineStr">
        <x:is>
          <x:t xml:space="preserve"/>
        </x:is>
      </x:c>
      <x:c r="H421" s="7" t="inlineStr">
        <x:is>
          <x:t xml:space="preserve">Operating Effectiveness</x:t>
        </x:is>
      </x:c>
      <x:c r="I421" s="7" t="inlineStr">
        <x:is>
          <x:t xml:space="preserve"/>
        </x:is>
      </x:c>
      <x:c r="J421" s="8" t="n">
        <x:v>46218</x:v>
      </x:c>
      <x:c r="K421" s="7" t="inlineStr">
        <x:is>
          <x:t xml:space="preserve">Not Started</x:t>
        </x:is>
      </x:c>
      <x:c r="L421" s="7" t="inlineStr">
        <x:is>
          <x:t xml:space="preserve"/>
        </x:is>
      </x:c>
      <x:c r="M421" s="6" t="inlineStr">
        <x:is>
          <x:t xml:space="preserve"/>
        </x:is>
      </x:c>
    </x:row>
    <x:row r="422" ht="35" customHeight="1">
      <x:c r="A422" s="7" t="inlineStr">
        <x:is>
          <x:t xml:space="preserve">P202608-0421</x:t>
        </x:is>
      </x:c>
      <x:c r="B422" s="7" t="n">
        <x:v>2026</x:v>
      </x:c>
      <x:c r="C422" s="7" t="inlineStr">
        <x:is>
          <x:t xml:space="preserve">Aug</x:t>
        </x:is>
      </x:c>
      <x:c r="D422" s="7" t="inlineStr">
        <x:is>
          <x:t xml:space="preserve">MCS01</x:t>
        </x:is>
      </x:c>
      <x:c r="E422" s="6" t="inlineStr">
        <x:is>
          <x:t xml:space="preserve">Communication and promotion of the Code of Business Conduct and speak-up culture</x:t>
        </x:is>
      </x:c>
      <x:c r="F422" s="6" t="inlineStr">
        <x:is>
          <x:t xml:space="preserve">Omoyemi Tuga Olamide Ayo-Ogunlade </x:t>
        </x:is>
      </x:c>
      <x:c r="G422" s="6" t="inlineStr">
        <x:is>
          <x:t xml:space="preserve"/>
        </x:is>
      </x:c>
      <x:c r="H422" s="7" t="inlineStr">
        <x:is>
          <x:t xml:space="preserve">Operating Effectiveness</x:t>
        </x:is>
      </x:c>
      <x:c r="I422" s="7" t="inlineStr">
        <x:is>
          <x:t xml:space="preserve"/>
        </x:is>
      </x:c>
      <x:c r="J422" s="8" t="n">
        <x:v>46249</x:v>
      </x:c>
      <x:c r="K422" s="7" t="inlineStr">
        <x:is>
          <x:t xml:space="preserve">Not Started</x:t>
        </x:is>
      </x:c>
      <x:c r="L422" s="7" t="inlineStr">
        <x:is>
          <x:t xml:space="preserve"/>
        </x:is>
      </x:c>
      <x:c r="M422" s="6" t="inlineStr">
        <x:is>
          <x:t xml:space="preserve"/>
        </x:is>
      </x:c>
    </x:row>
    <x:row r="423" ht="35" customHeight="1">
      <x:c r="A423" s="7" t="inlineStr">
        <x:is>
          <x:t xml:space="preserve">P202608-0422</x:t>
        </x:is>
      </x:c>
      <x:c r="B423" s="7" t="n">
        <x:v>2026</x:v>
      </x:c>
      <x:c r="C423" s="7" t="inlineStr">
        <x:is>
          <x:t xml:space="preserve">Aug</x:t>
        </x:is>
      </x:c>
      <x:c r="D423" s="7" t="inlineStr">
        <x:is>
          <x:t xml:space="preserve">MCS02</x:t>
        </x:is>
      </x:c>
      <x:c r="E423" s="6" t="inlineStr">
        <x:is>
          <x:t xml:space="preserve">Compliance with Fair Competition laws and requirements</x:t>
        </x:is>
      </x:c>
      <x:c r="F423" s="6" t="inlineStr">
        <x:is>
          <x:t xml:space="preserve">Mary Waititu</x:t>
        </x:is>
      </x:c>
      <x:c r="G423" s="6" t="inlineStr">
        <x:is>
          <x:t xml:space="preserve"/>
        </x:is>
      </x:c>
      <x:c r="H423" s="7" t="inlineStr">
        <x:is>
          <x:t xml:space="preserve">Operating Effectiveness</x:t>
        </x:is>
      </x:c>
      <x:c r="I423" s="7" t="inlineStr">
        <x:is>
          <x:t xml:space="preserve"/>
        </x:is>
      </x:c>
      <x:c r="J423" s="8" t="n">
        <x:v>46249</x:v>
      </x:c>
      <x:c r="K423" s="7" t="inlineStr">
        <x:is>
          <x:t xml:space="preserve">Not Started</x:t>
        </x:is>
      </x:c>
      <x:c r="L423" s="7" t="inlineStr">
        <x:is>
          <x:t xml:space="preserve"/>
        </x:is>
      </x:c>
      <x:c r="M423" s="6" t="inlineStr">
        <x:is>
          <x:t xml:space="preserve"/>
        </x:is>
      </x:c>
    </x:row>
    <x:row r="424" ht="35" customHeight="1">
      <x:c r="A424" s="7" t="inlineStr">
        <x:is>
          <x:t xml:space="preserve">P202608-0423</x:t>
        </x:is>
      </x:c>
      <x:c r="B424" s="7" t="n">
        <x:v>2026</x:v>
      </x:c>
      <x:c r="C424" s="7" t="inlineStr">
        <x:is>
          <x:t xml:space="preserve">Aug</x:t>
        </x:is>
      </x:c>
      <x:c r="D424" s="7" t="inlineStr">
        <x:is>
          <x:t xml:space="preserve">MCS03</x:t>
        </x:is>
      </x:c>
      <x:c r="E424" s="6" t="inlineStr">
        <x:is>
          <x:t xml:space="preserve">Related party transactions and conflict of interests</x:t>
        </x:is>
      </x:c>
      <x:c r="F424" s="6" t="inlineStr">
        <x:is>
          <x:t xml:space="preserve">Mary Waititu Godson Iwuozo</x:t>
        </x:is>
      </x:c>
      <x:c r="G424" s="6" t="inlineStr">
        <x:is>
          <x:t xml:space="preserve"/>
        </x:is>
      </x:c>
      <x:c r="H424" s="7" t="inlineStr">
        <x:is>
          <x:t xml:space="preserve">Operating Effectiveness</x:t>
        </x:is>
      </x:c>
      <x:c r="I424" s="7" t="inlineStr">
        <x:is>
          <x:t xml:space="preserve"/>
        </x:is>
      </x:c>
      <x:c r="J424" s="8" t="n">
        <x:v>46249</x:v>
      </x:c>
      <x:c r="K424" s="7" t="inlineStr">
        <x:is>
          <x:t xml:space="preserve">Not Started</x:t>
        </x:is>
      </x:c>
      <x:c r="L424" s="7" t="inlineStr">
        <x:is>
          <x:t xml:space="preserve"/>
        </x:is>
      </x:c>
      <x:c r="M424" s="6" t="inlineStr">
        <x:is>
          <x:t xml:space="preserve"/>
        </x:is>
      </x:c>
    </x:row>
    <x:row r="425" ht="35" customHeight="1">
      <x:c r="A425" s="7" t="inlineStr">
        <x:is>
          <x:t xml:space="preserve">P202608-0424</x:t>
        </x:is>
      </x:c>
      <x:c r="B425" s="7" t="n">
        <x:v>2026</x:v>
      </x:c>
      <x:c r="C425" s="7" t="inlineStr">
        <x:is>
          <x:t xml:space="preserve">Aug</x:t>
        </x:is>
      </x:c>
      <x:c r="D425" s="7" t="inlineStr">
        <x:is>
          <x:t xml:space="preserve">MCS04</x:t>
        </x:is>
      </x:c>
      <x:c r="E425" s="6" t="inlineStr">
        <x:is>
          <x:t xml:space="preserve">Board of Directors secretarial requirements</x:t>
        </x:is>
      </x:c>
      <x:c r="F425" s="6" t="inlineStr">
        <x:is>
          <x:t xml:space="preserve">Mary Waititu Godson Iwuozo</x:t>
        </x:is>
      </x:c>
      <x:c r="G425" s="6" t="inlineStr">
        <x:is>
          <x:t xml:space="preserve"/>
        </x:is>
      </x:c>
      <x:c r="H425" s="7" t="inlineStr">
        <x:is>
          <x:t xml:space="preserve">Operating Effectiveness</x:t>
        </x:is>
      </x:c>
      <x:c r="I425" s="7" t="inlineStr">
        <x:is>
          <x:t xml:space="preserve"/>
        </x:is>
      </x:c>
      <x:c r="J425" s="8" t="n">
        <x:v>46249</x:v>
      </x:c>
      <x:c r="K425" s="7" t="inlineStr">
        <x:is>
          <x:t xml:space="preserve">Not Started</x:t>
        </x:is>
      </x:c>
      <x:c r="L425" s="7" t="inlineStr">
        <x:is>
          <x:t xml:space="preserve"/>
        </x:is>
      </x:c>
      <x:c r="M425" s="6" t="inlineStr">
        <x:is>
          <x:t xml:space="preserve"/>
        </x:is>
      </x:c>
    </x:row>
    <x:row r="426" ht="35" customHeight="1">
      <x:c r="A426" s="7" t="inlineStr">
        <x:is>
          <x:t xml:space="preserve">P202608-0425</x:t>
        </x:is>
      </x:c>
      <x:c r="B426" s="7" t="n">
        <x:v>2026</x:v>
      </x:c>
      <x:c r="C426" s="7" t="inlineStr">
        <x:is>
          <x:t xml:space="preserve">Aug</x:t>
        </x:is>
      </x:c>
      <x:c r="D426" s="7" t="inlineStr">
        <x:is>
          <x:t xml:space="preserve">MCS05</x:t>
        </x:is>
      </x:c>
      <x:c r="E426" s="6" t="inlineStr">
        <x:is>
          <x:t xml:space="preserve">Health, Safety &amp; Environment</x:t>
        </x:is>
      </x:c>
      <x:c r="F426" s="6" t="inlineStr">
        <x:is>
          <x:t xml:space="preserve">Omoyemi Tuga Yomi Jegede</x:t>
        </x:is>
      </x:c>
      <x:c r="G426" s="6" t="inlineStr">
        <x:is>
          <x:t xml:space="preserve"/>
        </x:is>
      </x:c>
      <x:c r="H426" s="7" t="inlineStr">
        <x:is>
          <x:t xml:space="preserve">Operating Effectiveness</x:t>
        </x:is>
      </x:c>
      <x:c r="I426" s="7" t="inlineStr">
        <x:is>
          <x:t xml:space="preserve"/>
        </x:is>
      </x:c>
      <x:c r="J426" s="8" t="n">
        <x:v>46249</x:v>
      </x:c>
      <x:c r="K426" s="7" t="inlineStr">
        <x:is>
          <x:t xml:space="preserve">Not Started</x:t>
        </x:is>
      </x:c>
      <x:c r="L426" s="7" t="inlineStr">
        <x:is>
          <x:t xml:space="preserve"/>
        </x:is>
      </x:c>
      <x:c r="M426" s="6" t="inlineStr">
        <x:is>
          <x:t xml:space="preserve"/>
        </x:is>
      </x:c>
    </x:row>
    <x:row r="427" ht="35" customHeight="1">
      <x:c r="A427" s="7" t="inlineStr">
        <x:is>
          <x:t xml:space="preserve">P202608-0426</x:t>
        </x:is>
      </x:c>
      <x:c r="B427" s="7" t="n">
        <x:v>2026</x:v>
      </x:c>
      <x:c r="C427" s="7" t="inlineStr">
        <x:is>
          <x:t xml:space="preserve">Aug</x:t>
        </x:is>
      </x:c>
      <x:c r="D427" s="7" t="inlineStr">
        <x:is>
          <x:t xml:space="preserve">MCS06</x:t>
        </x:is>
      </x:c>
      <x:c r="E427" s="6" t="inlineStr">
        <x:is>
          <x:t xml:space="preserve">Risk assessment</x:t>
        </x:is>
      </x:c>
      <x:c r="F427" s="6" t="inlineStr">
        <x:is>
          <x:t xml:space="preserve">Oluwaseun Oyedepo</x:t>
        </x:is>
      </x:c>
      <x:c r="G427" s="6" t="inlineStr">
        <x:is>
          <x:t xml:space="preserve"/>
        </x:is>
      </x:c>
      <x:c r="H427" s="7" t="inlineStr">
        <x:is>
          <x:t xml:space="preserve">Operating Effectiveness</x:t>
        </x:is>
      </x:c>
      <x:c r="I427" s="7" t="inlineStr">
        <x:is>
          <x:t xml:space="preserve"/>
        </x:is>
      </x:c>
      <x:c r="J427" s="8" t="n">
        <x:v>46249</x:v>
      </x:c>
      <x:c r="K427" s="7" t="inlineStr">
        <x:is>
          <x:t xml:space="preserve">Not Started</x:t>
        </x:is>
      </x:c>
      <x:c r="L427" s="7" t="inlineStr">
        <x:is>
          <x:t xml:space="preserve"/>
        </x:is>
      </x:c>
      <x:c r="M427" s="6" t="inlineStr">
        <x:is>
          <x:t xml:space="preserve"/>
        </x:is>
      </x:c>
    </x:row>
    <x:row r="428" ht="35" customHeight="1">
      <x:c r="A428" s="7" t="inlineStr">
        <x:is>
          <x:t xml:space="preserve">P202608-0427</x:t>
        </x:is>
      </x:c>
      <x:c r="B428" s="7" t="n">
        <x:v>2026</x:v>
      </x:c>
      <x:c r="C428" s="7" t="inlineStr">
        <x:is>
          <x:t xml:space="preserve">Aug</x:t>
        </x:is>
      </x:c>
      <x:c r="D428" s="7" t="inlineStr">
        <x:is>
          <x:t xml:space="preserve">MCS07</x:t>
        </x:is>
      </x:c>
      <x:c r="E428" s="6" t="inlineStr">
        <x:is>
          <x:t xml:space="preserve">Mitigation of business risks - Security</x:t>
        </x:is>
      </x:c>
      <x:c r="F428" s="6" t="inlineStr">
        <x:is>
          <x:t xml:space="preserve">Olamide Ayo-Ogunlade Obinna Ojimba</x:t>
        </x:is>
      </x:c>
      <x:c r="G428" s="6" t="inlineStr">
        <x:is>
          <x:t xml:space="preserve"/>
        </x:is>
      </x:c>
      <x:c r="H428" s="7" t="inlineStr">
        <x:is>
          <x:t xml:space="preserve">Operating Effectiveness</x:t>
        </x:is>
      </x:c>
      <x:c r="I428" s="7" t="inlineStr">
        <x:is>
          <x:t xml:space="preserve"/>
        </x:is>
      </x:c>
      <x:c r="J428" s="8" t="n">
        <x:v>46249</x:v>
      </x:c>
      <x:c r="K428" s="7" t="inlineStr">
        <x:is>
          <x:t xml:space="preserve">Not Started</x:t>
        </x:is>
      </x:c>
      <x:c r="L428" s="7" t="inlineStr">
        <x:is>
          <x:t xml:space="preserve"/>
        </x:is>
      </x:c>
      <x:c r="M428" s="6" t="inlineStr">
        <x:is>
          <x:t xml:space="preserve"/>
        </x:is>
      </x:c>
    </x:row>
    <x:row r="429" ht="35" customHeight="1">
      <x:c r="A429" s="7" t="inlineStr">
        <x:is>
          <x:t xml:space="preserve">P202608-0428</x:t>
        </x:is>
      </x:c>
      <x:c r="B429" s="7" t="n">
        <x:v>2026</x:v>
      </x:c>
      <x:c r="C429" s="7" t="inlineStr">
        <x:is>
          <x:t xml:space="preserve">Aug</x:t>
        </x:is>
      </x:c>
      <x:c r="D429" s="7" t="inlineStr">
        <x:is>
          <x:t xml:space="preserve">MCS08</x:t>
        </x:is>
      </x:c>
      <x:c r="E429" s="6" t="inlineStr">
        <x:is>
          <x:t xml:space="preserve">Mitigation of business risks - Group insurance</x:t>
        </x:is>
      </x:c>
      <x:c r="F429" s="6" t="inlineStr">
        <x:is>
          <x:t xml:space="preserve">Victory Olumuyiwa</x:t>
        </x:is>
      </x:c>
      <x:c r="G429" s="6" t="inlineStr">
        <x:is>
          <x:t xml:space="preserve"/>
        </x:is>
      </x:c>
      <x:c r="H429" s="7" t="inlineStr">
        <x:is>
          <x:t xml:space="preserve">Operating Effectiveness</x:t>
        </x:is>
      </x:c>
      <x:c r="I429" s="7" t="inlineStr">
        <x:is>
          <x:t xml:space="preserve"/>
        </x:is>
      </x:c>
      <x:c r="J429" s="8" t="n">
        <x:v>46249</x:v>
      </x:c>
      <x:c r="K429" s="7" t="inlineStr">
        <x:is>
          <x:t xml:space="preserve">Not Started</x:t>
        </x:is>
      </x:c>
      <x:c r="L429" s="7" t="inlineStr">
        <x:is>
          <x:t xml:space="preserve"/>
        </x:is>
      </x:c>
      <x:c r="M429" s="6" t="inlineStr">
        <x:is>
          <x:t xml:space="preserve"/>
        </x:is>
      </x:c>
    </x:row>
    <x:row r="430" ht="35" customHeight="1">
      <x:c r="A430" s="7" t="inlineStr">
        <x:is>
          <x:t xml:space="preserve">P202608-0429</x:t>
        </x:is>
      </x:c>
      <x:c r="B430" s="7" t="n">
        <x:v>2026</x:v>
      </x:c>
      <x:c r="C430" s="7" t="inlineStr">
        <x:is>
          <x:t xml:space="preserve">Aug</x:t>
        </x:is>
      </x:c>
      <x:c r="D430" s="7" t="inlineStr">
        <x:is>
          <x:t xml:space="preserve">MCS09</x:t>
        </x:is>
      </x:c>
      <x:c r="E430" s="6" t="inlineStr">
        <x:is>
          <x:t xml:space="preserve">Mitigation of business risks - Business Resilience System</x:t>
        </x:is>
      </x:c>
      <x:c r="F430" s="6" t="inlineStr">
        <x:is>
          <x:t xml:space="preserve">Oluwaseun Oyedepo</x:t>
        </x:is>
      </x:c>
      <x:c r="G430" s="6" t="inlineStr">
        <x:is>
          <x:t xml:space="preserve"/>
        </x:is>
      </x:c>
      <x:c r="H430" s="7" t="inlineStr">
        <x:is>
          <x:t xml:space="preserve">Operating Effectiveness</x:t>
        </x:is>
      </x:c>
      <x:c r="I430" s="7" t="inlineStr">
        <x:is>
          <x:t xml:space="preserve"/>
        </x:is>
      </x:c>
      <x:c r="J430" s="8" t="n">
        <x:v>46249</x:v>
      </x:c>
      <x:c r="K430" s="7" t="inlineStr">
        <x:is>
          <x:t xml:space="preserve">Not Started</x:t>
        </x:is>
      </x:c>
      <x:c r="L430" s="7" t="inlineStr">
        <x:is>
          <x:t xml:space="preserve"/>
        </x:is>
      </x:c>
      <x:c r="M430" s="6" t="inlineStr">
        <x:is>
          <x:t xml:space="preserve"/>
        </x:is>
      </x:c>
    </x:row>
    <x:row r="431" ht="35" customHeight="1">
      <x:c r="A431" s="7" t="inlineStr">
        <x:is>
          <x:t xml:space="preserve">P202608-0430</x:t>
        </x:is>
      </x:c>
      <x:c r="B431" s="7" t="n">
        <x:v>2026</x:v>
      </x:c>
      <x:c r="C431" s="7" t="inlineStr">
        <x:is>
          <x:t xml:space="preserve">Aug</x:t>
        </x:is>
      </x:c>
      <x:c r="D431" s="7" t="inlineStr">
        <x:is>
          <x:t xml:space="preserve">MCS10</x:t>
        </x:is>
      </x:c>
      <x:c r="E431" s="6" t="inlineStr">
        <x:is>
          <x:t xml:space="preserve">Mitigation of business risks - Remediation of deficiencies and non-compliance with MCS</x:t>
        </x:is>
      </x:c>
      <x:c r="F431" s="6" t="inlineStr">
        <x:is>
          <x:t xml:space="preserve">Oluwaseun Oyedepo</x:t>
        </x:is>
      </x:c>
      <x:c r="G431" s="6" t="inlineStr">
        <x:is>
          <x:t xml:space="preserve"/>
        </x:is>
      </x:c>
      <x:c r="H431" s="7" t="inlineStr">
        <x:is>
          <x:t xml:space="preserve">Operating Effectiveness</x:t>
        </x:is>
      </x:c>
      <x:c r="I431" s="7" t="inlineStr">
        <x:is>
          <x:t xml:space="preserve"/>
        </x:is>
      </x:c>
      <x:c r="J431" s="8" t="n">
        <x:v>46249</x:v>
      </x:c>
      <x:c r="K431" s="7" t="inlineStr">
        <x:is>
          <x:t xml:space="preserve">Not Started</x:t>
        </x:is>
      </x:c>
      <x:c r="L431" s="7" t="inlineStr">
        <x:is>
          <x:t xml:space="preserve"/>
        </x:is>
      </x:c>
      <x:c r="M431" s="6" t="inlineStr">
        <x:is>
          <x:t xml:space="preserve"/>
        </x:is>
      </x:c>
    </x:row>
    <x:row r="432" ht="35" customHeight="1">
      <x:c r="A432" s="7" t="inlineStr">
        <x:is>
          <x:t xml:space="preserve">P202608-0431</x:t>
        </x:is>
      </x:c>
      <x:c r="B432" s="7" t="n">
        <x:v>2026</x:v>
      </x:c>
      <x:c r="C432" s="7" t="inlineStr">
        <x:is>
          <x:t xml:space="preserve">Aug</x:t>
        </x:is>
      </x:c>
      <x:c r="D432" s="7" t="inlineStr">
        <x:is>
          <x:t xml:space="preserve">MCS11</x:t>
        </x:is>
      </x:c>
      <x:c r="E432" s="6" t="inlineStr">
        <x:is>
          <x:t xml:space="preserve">Personal data protection</x:t>
        </x:is>
      </x:c>
      <x:c r="F432" s="6" t="inlineStr">
        <x:is>
          <x:t xml:space="preserve">Olamide Ayo-Ogunlade @</x:t>
        </x:is>
      </x:c>
      <x:c r="G432" s="6" t="inlineStr">
        <x:is>
          <x:t xml:space="preserve"/>
        </x:is>
      </x:c>
      <x:c r="H432" s="7" t="inlineStr">
        <x:is>
          <x:t xml:space="preserve">Operating Effectiveness</x:t>
        </x:is>
      </x:c>
      <x:c r="I432" s="7" t="inlineStr">
        <x:is>
          <x:t xml:space="preserve"/>
        </x:is>
      </x:c>
      <x:c r="J432" s="8" t="n">
        <x:v>46249</x:v>
      </x:c>
      <x:c r="K432" s="7" t="inlineStr">
        <x:is>
          <x:t xml:space="preserve">Not Started</x:t>
        </x:is>
      </x:c>
      <x:c r="L432" s="7" t="inlineStr">
        <x:is>
          <x:t xml:space="preserve"/>
        </x:is>
      </x:c>
      <x:c r="M432" s="6" t="inlineStr">
        <x:is>
          <x:t xml:space="preserve"/>
        </x:is>
      </x:c>
    </x:row>
    <x:row r="433" ht="35" customHeight="1">
      <x:c r="A433" s="7" t="inlineStr">
        <x:is>
          <x:t xml:space="preserve">P202608-0432</x:t>
        </x:is>
      </x:c>
      <x:c r="B433" s="7" t="n">
        <x:v>2026</x:v>
      </x:c>
      <x:c r="C433" s="7" t="inlineStr">
        <x:is>
          <x:t xml:space="preserve">Aug</x:t>
        </x:is>
      </x:c>
      <x:c r="D433" s="7" t="inlineStr">
        <x:is>
          <x:t xml:space="preserve">MCS12</x:t>
        </x:is>
      </x:c>
      <x:c r="E433" s="6" t="inlineStr">
        <x:is>
          <x:t xml:space="preserve">Segregation of duties and user access review</x:t>
        </x:is>
      </x:c>
      <x:c r="F433" s="6" t="inlineStr">
        <x:is>
          <x:t xml:space="preserve">Theophilus Okolie</x:t>
        </x:is>
      </x:c>
      <x:c r="G433" s="6" t="inlineStr">
        <x:is>
          <x:t xml:space="preserve"/>
        </x:is>
      </x:c>
      <x:c r="H433" s="7" t="inlineStr">
        <x:is>
          <x:t xml:space="preserve">Operating Effectiveness</x:t>
        </x:is>
      </x:c>
      <x:c r="I433" s="7" t="inlineStr">
        <x:is>
          <x:t xml:space="preserve"/>
        </x:is>
      </x:c>
      <x:c r="J433" s="8" t="n">
        <x:v>46249</x:v>
      </x:c>
      <x:c r="K433" s="7" t="inlineStr">
        <x:is>
          <x:t xml:space="preserve">Not Started</x:t>
        </x:is>
      </x:c>
      <x:c r="L433" s="7" t="inlineStr">
        <x:is>
          <x:t xml:space="preserve"/>
        </x:is>
      </x:c>
      <x:c r="M433" s="6" t="inlineStr">
        <x:is>
          <x:t xml:space="preserve"/>
        </x:is>
      </x:c>
    </x:row>
    <x:row r="434" ht="35" customHeight="1">
      <x:c r="A434" s="7" t="inlineStr">
        <x:is>
          <x:t xml:space="preserve">P202608-0433</x:t>
        </x:is>
      </x:c>
      <x:c r="B434" s="7" t="n">
        <x:v>2026</x:v>
      </x:c>
      <x:c r="C434" s="7" t="inlineStr">
        <x:is>
          <x:t xml:space="preserve">Aug</x:t>
        </x:is>
      </x:c>
      <x:c r="D434" s="7" t="inlineStr">
        <x:is>
          <x:t xml:space="preserve">MCS13</x:t>
        </x:is>
      </x:c>
      <x:c r="E434" s="6" t="inlineStr">
        <x:is>
          <x:t xml:space="preserve">Delegation of authorities and approval workflows</x:t>
        </x:is>
      </x:c>
      <x:c r="F434" s="6" t="inlineStr">
        <x:is>
          <x:t xml:space="preserve">Ramakant Patil</x:t>
        </x:is>
      </x:c>
      <x:c r="G434" s="6" t="inlineStr">
        <x:is>
          <x:t xml:space="preserve"/>
        </x:is>
      </x:c>
      <x:c r="H434" s="7" t="inlineStr">
        <x:is>
          <x:t xml:space="preserve">Operating Effectiveness</x:t>
        </x:is>
      </x:c>
      <x:c r="I434" s="7" t="inlineStr">
        <x:is>
          <x:t xml:space="preserve"/>
        </x:is>
      </x:c>
      <x:c r="J434" s="8" t="n">
        <x:v>46249</x:v>
      </x:c>
      <x:c r="K434" s="7" t="inlineStr">
        <x:is>
          <x:t xml:space="preserve">Not Started</x:t>
        </x:is>
      </x:c>
      <x:c r="L434" s="7" t="inlineStr">
        <x:is>
          <x:t xml:space="preserve"/>
        </x:is>
      </x:c>
      <x:c r="M434" s="6" t="inlineStr">
        <x:is>
          <x:t xml:space="preserve"/>
        </x:is>
      </x:c>
    </x:row>
    <x:row r="435" ht="35" customHeight="1">
      <x:c r="A435" s="7" t="inlineStr">
        <x:is>
          <x:t xml:space="preserve">P202608-0434</x:t>
        </x:is>
      </x:c>
      <x:c r="B435" s="7" t="n">
        <x:v>2026</x:v>
      </x:c>
      <x:c r="C435" s="7" t="inlineStr">
        <x:is>
          <x:t xml:space="preserve">Aug</x:t>
        </x:is>
      </x:c>
      <x:c r="D435" s="7" t="inlineStr">
        <x:is>
          <x:t xml:space="preserve">MCS14</x:t>
        </x:is>
      </x:c>
      <x:c r="E435" s="6" t="inlineStr">
        <x:is>
          <x:t xml:space="preserve">Litigation disputes</x:t>
        </x:is>
      </x:c>
      <x:c r="F435" s="6" t="inlineStr">
        <x:is>
          <x:t xml:space="preserve">Mary Waititu</x:t>
        </x:is>
      </x:c>
      <x:c r="G435" s="6" t="inlineStr">
        <x:is>
          <x:t xml:space="preserve"/>
        </x:is>
      </x:c>
      <x:c r="H435" s="7" t="inlineStr">
        <x:is>
          <x:t xml:space="preserve">Operating Effectiveness</x:t>
        </x:is>
      </x:c>
      <x:c r="I435" s="7" t="inlineStr">
        <x:is>
          <x:t xml:space="preserve"/>
        </x:is>
      </x:c>
      <x:c r="J435" s="8" t="n">
        <x:v>46249</x:v>
      </x:c>
      <x:c r="K435" s="7" t="inlineStr">
        <x:is>
          <x:t xml:space="preserve">Not Started</x:t>
        </x:is>
      </x:c>
      <x:c r="L435" s="7" t="inlineStr">
        <x:is>
          <x:t xml:space="preserve"/>
        </x:is>
      </x:c>
      <x:c r="M435" s="6" t="inlineStr">
        <x:is>
          <x:t xml:space="preserve"/>
        </x:is>
      </x:c>
    </x:row>
    <x:row r="436" ht="35" customHeight="1">
      <x:c r="A436" s="7" t="inlineStr">
        <x:is>
          <x:t xml:space="preserve">P202608-0435</x:t>
        </x:is>
      </x:c>
      <x:c r="B436" s="7" t="n">
        <x:v>2026</x:v>
      </x:c>
      <x:c r="C436" s="7" t="inlineStr">
        <x:is>
          <x:t xml:space="preserve">Aug</x:t>
        </x:is>
      </x:c>
      <x:c r="D436" s="7" t="inlineStr">
        <x:is>
          <x:t xml:space="preserve">MCS15</x:t>
        </x:is>
      </x:c>
      <x:c r="E436" s="6" t="inlineStr">
        <x:is>
          <x:t xml:space="preserve">Review of contracts by finance</x:t>
        </x:is>
      </x:c>
      <x:c r="F436" s="6" t="inlineStr">
        <x:is>
          <x:t xml:space="preserve">Ovie Itie</x:t>
        </x:is>
      </x:c>
      <x:c r="G436" s="6" t="inlineStr">
        <x:is>
          <x:t xml:space="preserve"/>
        </x:is>
      </x:c>
      <x:c r="H436" s="7" t="inlineStr">
        <x:is>
          <x:t xml:space="preserve">Operating Effectiveness</x:t>
        </x:is>
      </x:c>
      <x:c r="I436" s="7" t="inlineStr">
        <x:is>
          <x:t xml:space="preserve"/>
        </x:is>
      </x:c>
      <x:c r="J436" s="8" t="n">
        <x:v>46249</x:v>
      </x:c>
      <x:c r="K436" s="7" t="inlineStr">
        <x:is>
          <x:t xml:space="preserve">Not Started</x:t>
        </x:is>
      </x:c>
      <x:c r="L436" s="7" t="inlineStr">
        <x:is>
          <x:t xml:space="preserve"/>
        </x:is>
      </x:c>
      <x:c r="M436" s="6" t="inlineStr">
        <x:is>
          <x:t xml:space="preserve"/>
        </x:is>
      </x:c>
    </x:row>
    <x:row r="437" ht="35" customHeight="1">
      <x:c r="A437" s="7" t="inlineStr">
        <x:is>
          <x:t xml:space="preserve">P202608-0436</x:t>
        </x:is>
      </x:c>
      <x:c r="B437" s="7" t="n">
        <x:v>2026</x:v>
      </x:c>
      <x:c r="C437" s="7" t="inlineStr">
        <x:is>
          <x:t xml:space="preserve">Aug</x:t>
        </x:is>
      </x:c>
      <x:c r="D437" s="7" t="inlineStr">
        <x:is>
          <x:t xml:space="preserve">MCS16</x:t>
        </x:is>
      </x:c>
      <x:c r="E437" s="6" t="inlineStr">
        <x:is>
          <x:t xml:space="preserve">Management of titles and permits</x:t>
        </x:is>
      </x:c>
      <x:c r="F437" s="6" t="n"/>
      <x:c r="G437" s="6" t="inlineStr">
        <x:is>
          <x:t xml:space="preserve"/>
        </x:is>
      </x:c>
      <x:c r="H437" s="7" t="inlineStr">
        <x:is>
          <x:t xml:space="preserve">Operating Effectiveness</x:t>
        </x:is>
      </x:c>
      <x:c r="I437" s="7" t="inlineStr">
        <x:is>
          <x:t xml:space="preserve"/>
        </x:is>
      </x:c>
      <x:c r="J437" s="8" t="n">
        <x:v>46249</x:v>
      </x:c>
      <x:c r="K437" s="7" t="inlineStr">
        <x:is>
          <x:t xml:space="preserve">Not Started</x:t>
        </x:is>
      </x:c>
      <x:c r="L437" s="7" t="inlineStr">
        <x:is>
          <x:t xml:space="preserve"/>
        </x:is>
      </x:c>
      <x:c r="M437" s="6" t="inlineStr">
        <x:is>
          <x:t xml:space="preserve"/>
        </x:is>
      </x:c>
    </x:row>
    <x:row r="438" ht="35" customHeight="1">
      <x:c r="A438" s="7" t="inlineStr">
        <x:is>
          <x:t xml:space="preserve">P202608-0437</x:t>
        </x:is>
      </x:c>
      <x:c r="B438" s="7" t="n">
        <x:v>2026</x:v>
      </x:c>
      <x:c r="C438" s="7" t="inlineStr">
        <x:is>
          <x:t xml:space="preserve">Aug</x:t>
        </x:is>
      </x:c>
      <x:c r="D438" s="7" t="inlineStr">
        <x:is>
          <x:t xml:space="preserve">MCS18</x:t>
        </x:is>
      </x:c>
      <x:c r="E438" s="6" t="inlineStr">
        <x:is>
          <x:t xml:space="preserve">Classification and depreciation of property, plant &amp; equipment</x:t>
        </x:is>
      </x:c>
      <x:c r="F438" s="6" t="n"/>
      <x:c r="G438" s="6" t="inlineStr">
        <x:is>
          <x:t xml:space="preserve"/>
        </x:is>
      </x:c>
      <x:c r="H438" s="7" t="inlineStr">
        <x:is>
          <x:t xml:space="preserve">Operating Effectiveness</x:t>
        </x:is>
      </x:c>
      <x:c r="I438" s="7" t="inlineStr">
        <x:is>
          <x:t xml:space="preserve"/>
        </x:is>
      </x:c>
      <x:c r="J438" s="8" t="n">
        <x:v>46249</x:v>
      </x:c>
      <x:c r="K438" s="7" t="inlineStr">
        <x:is>
          <x:t xml:space="preserve">Not Started</x:t>
        </x:is>
      </x:c>
      <x:c r="L438" s="7" t="inlineStr">
        <x:is>
          <x:t xml:space="preserve"/>
        </x:is>
      </x:c>
      <x:c r="M438" s="6" t="inlineStr">
        <x:is>
          <x:t xml:space="preserve"/>
        </x:is>
      </x:c>
    </x:row>
    <x:row r="439" ht="35" customHeight="1">
      <x:c r="A439" s="7" t="inlineStr">
        <x:is>
          <x:t xml:space="preserve">P202608-0438</x:t>
        </x:is>
      </x:c>
      <x:c r="B439" s="7" t="n">
        <x:v>2026</x:v>
      </x:c>
      <x:c r="C439" s="7" t="inlineStr">
        <x:is>
          <x:t xml:space="preserve">Aug</x:t>
        </x:is>
      </x:c>
      <x:c r="D439" s="7" t="inlineStr">
        <x:is>
          <x:t xml:space="preserve">MCS19</x:t>
        </x:is>
      </x:c>
      <x:c r="E439" s="6" t="inlineStr">
        <x:is>
          <x:t xml:space="preserve">Physical verification of Fixed Asset</x:t>
        </x:is>
      </x:c>
      <x:c r="F439" s="6" t="n"/>
      <x:c r="G439" s="6" t="inlineStr">
        <x:is>
          <x:t xml:space="preserve"/>
        </x:is>
      </x:c>
      <x:c r="H439" s="7" t="inlineStr">
        <x:is>
          <x:t xml:space="preserve">Operating Effectiveness</x:t>
        </x:is>
      </x:c>
      <x:c r="I439" s="7" t="inlineStr">
        <x:is>
          <x:t xml:space="preserve"/>
        </x:is>
      </x:c>
      <x:c r="J439" s="8" t="n">
        <x:v>46249</x:v>
      </x:c>
      <x:c r="K439" s="7" t="inlineStr">
        <x:is>
          <x:t xml:space="preserve">Not Started</x:t>
        </x:is>
      </x:c>
      <x:c r="L439" s="7" t="inlineStr">
        <x:is>
          <x:t xml:space="preserve"/>
        </x:is>
      </x:c>
      <x:c r="M439" s="6" t="inlineStr">
        <x:is>
          <x:t xml:space="preserve"/>
        </x:is>
      </x:c>
    </x:row>
    <x:row r="440" ht="35" customHeight="1">
      <x:c r="A440" s="7" t="inlineStr">
        <x:is>
          <x:t xml:space="preserve">P202608-0439</x:t>
        </x:is>
      </x:c>
      <x:c r="B440" s="7" t="n">
        <x:v>2026</x:v>
      </x:c>
      <x:c r="C440" s="7" t="inlineStr">
        <x:is>
          <x:t xml:space="preserve">Aug</x:t>
        </x:is>
      </x:c>
      <x:c r="D440" s="7" t="inlineStr">
        <x:is>
          <x:t xml:space="preserve">MCS20</x:t>
        </x:is>
      </x:c>
      <x:c r="E440" s="6" t="inlineStr">
        <x:is>
          <x:t xml:space="preserve">Management of customer and inventory master data</x:t>
        </x:is>
      </x:c>
      <x:c r="F440" s="6" t="inlineStr">
        <x:is>
          <x:t xml:space="preserve">Yomi Jegede</x:t>
        </x:is>
      </x:c>
      <x:c r="G440" s="6" t="inlineStr">
        <x:is>
          <x:t xml:space="preserve"/>
        </x:is>
      </x:c>
      <x:c r="H440" s="7" t="inlineStr">
        <x:is>
          <x:t xml:space="preserve">Operating Effectiveness</x:t>
        </x:is>
      </x:c>
      <x:c r="I440" s="7" t="inlineStr">
        <x:is>
          <x:t xml:space="preserve"/>
        </x:is>
      </x:c>
      <x:c r="J440" s="8" t="n">
        <x:v>46249</x:v>
      </x:c>
      <x:c r="K440" s="7" t="inlineStr">
        <x:is>
          <x:t xml:space="preserve">Not Started</x:t>
        </x:is>
      </x:c>
      <x:c r="L440" s="7" t="inlineStr">
        <x:is>
          <x:t xml:space="preserve"/>
        </x:is>
      </x:c>
      <x:c r="M440" s="6" t="inlineStr">
        <x:is>
          <x:t xml:space="preserve"/>
        </x:is>
      </x:c>
    </x:row>
    <x:row r="441" ht="35" customHeight="1">
      <x:c r="A441" s="7" t="inlineStr">
        <x:is>
          <x:t xml:space="preserve">P202608-0440</x:t>
        </x:is>
      </x:c>
      <x:c r="B441" s="7" t="n">
        <x:v>2026</x:v>
      </x:c>
      <x:c r="C441" s="7" t="inlineStr">
        <x:is>
          <x:t xml:space="preserve">Aug</x:t>
        </x:is>
      </x:c>
      <x:c r="D441" s="7" t="inlineStr">
        <x:is>
          <x:t xml:space="preserve">MCS21</x:t>
        </x:is>
      </x:c>
      <x:c r="E441" s="6" t="inlineStr">
        <x:is>
          <x:t xml:space="preserve">Price management</x:t>
        </x:is>
      </x:c>
      <x:c r="F441" s="6" t="n"/>
      <x:c r="G441" s="6" t="inlineStr">
        <x:is>
          <x:t xml:space="preserve"/>
        </x:is>
      </x:c>
      <x:c r="H441" s="7" t="inlineStr">
        <x:is>
          <x:t xml:space="preserve">Operating Effectiveness</x:t>
        </x:is>
      </x:c>
      <x:c r="I441" s="7" t="inlineStr">
        <x:is>
          <x:t xml:space="preserve"/>
        </x:is>
      </x:c>
      <x:c r="J441" s="8" t="n">
        <x:v>46249</x:v>
      </x:c>
      <x:c r="K441" s="7" t="inlineStr">
        <x:is>
          <x:t xml:space="preserve">Not Started</x:t>
        </x:is>
      </x:c>
      <x:c r="L441" s="7" t="inlineStr">
        <x:is>
          <x:t xml:space="preserve"/>
        </x:is>
      </x:c>
      <x:c r="M441" s="6" t="inlineStr">
        <x:is>
          <x:t xml:space="preserve"/>
        </x:is>
      </x:c>
    </x:row>
    <x:row r="442" ht="35" customHeight="1">
      <x:c r="A442" s="7" t="inlineStr">
        <x:is>
          <x:t xml:space="preserve">P202608-0441</x:t>
        </x:is>
      </x:c>
      <x:c r="B442" s="7" t="n">
        <x:v>2026</x:v>
      </x:c>
      <x:c r="C442" s="7" t="inlineStr">
        <x:is>
          <x:t xml:space="preserve">Aug</x:t>
        </x:is>
      </x:c>
      <x:c r="D442" s="7" t="inlineStr">
        <x:is>
          <x:t xml:space="preserve">MCS22.1</x:t>
        </x:is>
      </x:c>
      <x:c r="E442" s="6" t="inlineStr">
        <x:is>
          <x:t xml:space="preserve">Control of customer credit limits - Easybuy</x:t>
        </x:is>
      </x:c>
      <x:c r="F442" s="6" t="inlineStr">
        <x:is>
          <x:t xml:space="preserve">Omoyemi Tuga Ogunsanmi Opeyemi Listbon</x:t>
        </x:is>
      </x:c>
      <x:c r="G442" s="6" t="inlineStr">
        <x:is>
          <x:t xml:space="preserve"/>
        </x:is>
      </x:c>
      <x:c r="H442" s="7" t="inlineStr">
        <x:is>
          <x:t xml:space="preserve">Operating Effectiveness</x:t>
        </x:is>
      </x:c>
      <x:c r="I442" s="7" t="inlineStr">
        <x:is>
          <x:t xml:space="preserve"/>
        </x:is>
      </x:c>
      <x:c r="J442" s="8" t="n">
        <x:v>46249</x:v>
      </x:c>
      <x:c r="K442" s="7" t="inlineStr">
        <x:is>
          <x:t xml:space="preserve">Not Started</x:t>
        </x:is>
      </x:c>
      <x:c r="L442" s="7" t="inlineStr">
        <x:is>
          <x:t xml:space="preserve"/>
        </x:is>
      </x:c>
      <x:c r="M442" s="6" t="inlineStr">
        <x:is>
          <x:t xml:space="preserve"/>
        </x:is>
      </x:c>
    </x:row>
    <x:row r="443" ht="35" customHeight="1">
      <x:c r="A443" s="7" t="inlineStr">
        <x:is>
          <x:t xml:space="preserve">P202608-0442</x:t>
        </x:is>
      </x:c>
      <x:c r="B443" s="7" t="n">
        <x:v>2026</x:v>
      </x:c>
      <x:c r="C443" s="7" t="inlineStr">
        <x:is>
          <x:t xml:space="preserve">Aug</x:t>
        </x:is>
      </x:c>
      <x:c r="D443" s="7" t="inlineStr">
        <x:is>
          <x:t xml:space="preserve">MCS22.2</x:t>
        </x:is>
      </x:c>
      <x:c r="E443" s="6" t="inlineStr">
        <x:is>
          <x:t xml:space="preserve">Control of customer credit limits - Partnership</x:t>
        </x:is>
      </x:c>
      <x:c r="F443" s="6" t="inlineStr">
        <x:is>
          <x:t xml:space="preserve">Eno Umoh Ameh Bright Agbo</x:t>
        </x:is>
      </x:c>
      <x:c r="G443" s="6" t="inlineStr">
        <x:is>
          <x:t xml:space="preserve"/>
        </x:is>
      </x:c>
      <x:c r="H443" s="7" t="inlineStr">
        <x:is>
          <x:t xml:space="preserve">Operating Effectiveness</x:t>
        </x:is>
      </x:c>
      <x:c r="I443" s="7" t="inlineStr">
        <x:is>
          <x:t xml:space="preserve"/>
        </x:is>
      </x:c>
      <x:c r="J443" s="8" t="n">
        <x:v>46249</x:v>
      </x:c>
      <x:c r="K443" s="7" t="inlineStr">
        <x:is>
          <x:t xml:space="preserve">Not Started</x:t>
        </x:is>
      </x:c>
      <x:c r="L443" s="7" t="inlineStr">
        <x:is>
          <x:t xml:space="preserve"/>
        </x:is>
      </x:c>
      <x:c r="M443" s="6" t="inlineStr">
        <x:is>
          <x:t xml:space="preserve"/>
        </x:is>
      </x:c>
    </x:row>
    <x:row r="444" ht="35" customHeight="1">
      <x:c r="A444" s="7" t="inlineStr">
        <x:is>
          <x:t xml:space="preserve">P202608-0443</x:t>
        </x:is>
      </x:c>
      <x:c r="B444" s="7" t="n">
        <x:v>2026</x:v>
      </x:c>
      <x:c r="C444" s="7" t="inlineStr">
        <x:is>
          <x:t xml:space="preserve">Aug</x:t>
        </x:is>
      </x:c>
      <x:c r="D444" s="7" t="inlineStr">
        <x:is>
          <x:t xml:space="preserve">MCS23</x:t>
        </x:is>
      </x:c>
      <x:c r="E444" s="6" t="inlineStr">
        <x:is>
          <x:t xml:space="preserve">Invoicing </x:t>
        </x:is>
      </x:c>
      <x:c r="F444" s="6" t="inlineStr">
        <x:is>
          <x:t xml:space="preserve">Ramakant Patil</x:t>
        </x:is>
      </x:c>
      <x:c r="G444" s="6" t="inlineStr">
        <x:is>
          <x:t xml:space="preserve"/>
        </x:is>
      </x:c>
      <x:c r="H444" s="7" t="inlineStr">
        <x:is>
          <x:t xml:space="preserve">Operating Effectiveness</x:t>
        </x:is>
      </x:c>
      <x:c r="I444" s="7" t="inlineStr">
        <x:is>
          <x:t xml:space="preserve"/>
        </x:is>
      </x:c>
      <x:c r="J444" s="8" t="n">
        <x:v>46249</x:v>
      </x:c>
      <x:c r="K444" s="7" t="inlineStr">
        <x:is>
          <x:t xml:space="preserve">Not Started</x:t>
        </x:is>
      </x:c>
      <x:c r="L444" s="7" t="inlineStr">
        <x:is>
          <x:t xml:space="preserve"/>
        </x:is>
      </x:c>
      <x:c r="M444" s="6" t="inlineStr">
        <x:is>
          <x:t xml:space="preserve"/>
        </x:is>
      </x:c>
    </x:row>
    <x:row r="445" ht="35" customHeight="1">
      <x:c r="A445" s="7" t="inlineStr">
        <x:is>
          <x:t xml:space="preserve">P202608-0444</x:t>
        </x:is>
      </x:c>
      <x:c r="B445" s="7" t="n">
        <x:v>2026</x:v>
      </x:c>
      <x:c r="C445" s="7" t="inlineStr">
        <x:is>
          <x:t xml:space="preserve">Aug</x:t>
        </x:is>
      </x:c>
      <x:c r="D445" s="7" t="inlineStr">
        <x:is>
          <x:t xml:space="preserve">MCS24</x:t>
        </x:is>
      </x:c>
      <x:c r="E445" s="6" t="inlineStr">
        <x:is>
          <x:t xml:space="preserve">Accounts receivable valuation</x:t>
        </x:is>
      </x:c>
      <x:c r="F445" s="6" t="inlineStr">
        <x:is>
          <x:t xml:space="preserve">Zainab Yunusah Saadu</x:t>
        </x:is>
      </x:c>
      <x:c r="G445" s="6" t="inlineStr">
        <x:is>
          <x:t xml:space="preserve"/>
        </x:is>
      </x:c>
      <x:c r="H445" s="7" t="inlineStr">
        <x:is>
          <x:t xml:space="preserve">Operating Effectiveness</x:t>
        </x:is>
      </x:c>
      <x:c r="I445" s="7" t="inlineStr">
        <x:is>
          <x:t xml:space="preserve"/>
        </x:is>
      </x:c>
      <x:c r="J445" s="8" t="n">
        <x:v>46249</x:v>
      </x:c>
      <x:c r="K445" s="7" t="inlineStr">
        <x:is>
          <x:t xml:space="preserve">Not Started</x:t>
        </x:is>
      </x:c>
      <x:c r="L445" s="7" t="inlineStr">
        <x:is>
          <x:t xml:space="preserve"/>
        </x:is>
      </x:c>
      <x:c r="M445" s="6" t="inlineStr">
        <x:is>
          <x:t xml:space="preserve"/>
        </x:is>
      </x:c>
    </x:row>
    <x:row r="446" ht="35" customHeight="1">
      <x:c r="A446" s="7" t="inlineStr">
        <x:is>
          <x:t xml:space="preserve">P202608-0445</x:t>
        </x:is>
      </x:c>
      <x:c r="B446" s="7" t="n">
        <x:v>2026</x:v>
      </x:c>
      <x:c r="C446" s="7" t="inlineStr">
        <x:is>
          <x:t xml:space="preserve">Aug</x:t>
        </x:is>
      </x:c>
      <x:c r="D446" s="7" t="inlineStr">
        <x:is>
          <x:t xml:space="preserve">MCS25</x:t>
        </x:is>
      </x:c>
      <x:c r="E446" s="6" t="inlineStr">
        <x:is>
          <x:t xml:space="preserve">Execution of onboarding, offboarding, master data management and transfers of workers</x:t>
        </x:is>
      </x:c>
      <x:c r="F446" s="6" t="n"/>
      <x:c r="G446" s="6" t="inlineStr">
        <x:is>
          <x:t xml:space="preserve"/>
        </x:is>
      </x:c>
      <x:c r="H446" s="7" t="inlineStr">
        <x:is>
          <x:t xml:space="preserve">Operating Effectiveness</x:t>
        </x:is>
      </x:c>
      <x:c r="I446" s="7" t="inlineStr">
        <x:is>
          <x:t xml:space="preserve"/>
        </x:is>
      </x:c>
      <x:c r="J446" s="8" t="n">
        <x:v>46249</x:v>
      </x:c>
      <x:c r="K446" s="7" t="inlineStr">
        <x:is>
          <x:t xml:space="preserve">Not Started</x:t>
        </x:is>
      </x:c>
      <x:c r="L446" s="7" t="inlineStr">
        <x:is>
          <x:t xml:space="preserve"/>
        </x:is>
      </x:c>
      <x:c r="M446" s="6" t="inlineStr">
        <x:is>
          <x:t xml:space="preserve"/>
        </x:is>
      </x:c>
    </x:row>
    <x:row r="447" ht="35" customHeight="1">
      <x:c r="A447" s="7" t="inlineStr">
        <x:is>
          <x:t xml:space="preserve">P202608-0446</x:t>
        </x:is>
      </x:c>
      <x:c r="B447" s="7" t="n">
        <x:v>2026</x:v>
      </x:c>
      <x:c r="C447" s="7" t="inlineStr">
        <x:is>
          <x:t xml:space="preserve">Aug</x:t>
        </x:is>
      </x:c>
      <x:c r="D447" s="7" t="inlineStr">
        <x:is>
          <x:t xml:space="preserve">MCS26</x:t>
        </x:is>
      </x:c>
      <x:c r="E447" s="6" t="inlineStr">
        <x:is>
          <x:t xml:space="preserve">Payroll</x:t>
        </x:is>
      </x:c>
      <x:c r="F447" s="6" t="inlineStr">
        <x:is>
          <x:t xml:space="preserve">Olamide Ayo-Ogunlade Oluwatosin Ogunsekan</x:t>
        </x:is>
      </x:c>
      <x:c r="G447" s="6" t="inlineStr">
        <x:is>
          <x:t xml:space="preserve"/>
        </x:is>
      </x:c>
      <x:c r="H447" s="7" t="inlineStr">
        <x:is>
          <x:t xml:space="preserve">Operating Effectiveness</x:t>
        </x:is>
      </x:c>
      <x:c r="I447" s="7" t="inlineStr">
        <x:is>
          <x:t xml:space="preserve"/>
        </x:is>
      </x:c>
      <x:c r="J447" s="8" t="n">
        <x:v>46249</x:v>
      </x:c>
      <x:c r="K447" s="7" t="inlineStr">
        <x:is>
          <x:t xml:space="preserve">Not Started</x:t>
        </x:is>
      </x:c>
      <x:c r="L447" s="7" t="inlineStr">
        <x:is>
          <x:t xml:space="preserve"/>
        </x:is>
      </x:c>
      <x:c r="M447" s="6" t="inlineStr">
        <x:is>
          <x:t xml:space="preserve"/>
        </x:is>
      </x:c>
    </x:row>
    <x:row r="448" ht="35" customHeight="1">
      <x:c r="A448" s="7" t="inlineStr">
        <x:is>
          <x:t xml:space="preserve">P202608-0447</x:t>
        </x:is>
      </x:c>
      <x:c r="B448" s="7" t="n">
        <x:v>2026</x:v>
      </x:c>
      <x:c r="C448" s="7" t="inlineStr">
        <x:is>
          <x:t xml:space="preserve">Aug</x:t>
        </x:is>
      </x:c>
      <x:c r="D448" s="7" t="inlineStr">
        <x:is>
          <x:t xml:space="preserve">MCS27</x:t>
        </x:is>
      </x:c>
      <x:c r="E448" s="6" t="inlineStr">
        <x:is>
          <x:t xml:space="preserve">Compliance with Labour law</x:t>
        </x:is>
      </x:c>
      <x:c r="F448" s="6" t="inlineStr">
        <x:is>
          <x:t xml:space="preserve">Olamide Ayo-Ogunlade Oluwatosin Ogunsekan</x:t>
        </x:is>
      </x:c>
      <x:c r="G448" s="6" t="inlineStr">
        <x:is>
          <x:t xml:space="preserve"/>
        </x:is>
      </x:c>
      <x:c r="H448" s="7" t="inlineStr">
        <x:is>
          <x:t xml:space="preserve">Operating Effectiveness</x:t>
        </x:is>
      </x:c>
      <x:c r="I448" s="7" t="inlineStr">
        <x:is>
          <x:t xml:space="preserve"/>
        </x:is>
      </x:c>
      <x:c r="J448" s="8" t="n">
        <x:v>46249</x:v>
      </x:c>
      <x:c r="K448" s="7" t="inlineStr">
        <x:is>
          <x:t xml:space="preserve">Not Started</x:t>
        </x:is>
      </x:c>
      <x:c r="L448" s="7" t="inlineStr">
        <x:is>
          <x:t xml:space="preserve"/>
        </x:is>
      </x:c>
      <x:c r="M448" s="6" t="inlineStr">
        <x:is>
          <x:t xml:space="preserve"/>
        </x:is>
      </x:c>
    </x:row>
    <x:row r="449" ht="35" customHeight="1">
      <x:c r="A449" s="7" t="inlineStr">
        <x:is>
          <x:t xml:space="preserve">P202608-0448</x:t>
        </x:is>
      </x:c>
      <x:c r="B449" s="7" t="n">
        <x:v>2026</x:v>
      </x:c>
      <x:c r="C449" s="7" t="inlineStr">
        <x:is>
          <x:t xml:space="preserve">Aug</x:t>
        </x:is>
      </x:c>
      <x:c r="D449" s="7" t="inlineStr">
        <x:is>
          <x:t xml:space="preserve">MCS28</x:t>
        </x:is>
      </x:c>
      <x:c r="E449" s="6" t="inlineStr">
        <x:is>
          <x:t xml:space="preserve">Employee pension and benefit plan</x:t>
        </x:is>
      </x:c>
      <x:c r="F449" s="6" t="inlineStr">
        <x:is>
          <x:t xml:space="preserve">Olamide Ayo-Ogunlade Oluwatosin Ogunsekan</x:t>
        </x:is>
      </x:c>
      <x:c r="G449" s="6" t="inlineStr">
        <x:is>
          <x:t xml:space="preserve"/>
        </x:is>
      </x:c>
      <x:c r="H449" s="7" t="inlineStr">
        <x:is>
          <x:t xml:space="preserve">Operating Effectiveness</x:t>
        </x:is>
      </x:c>
      <x:c r="I449" s="7" t="inlineStr">
        <x:is>
          <x:t xml:space="preserve"/>
        </x:is>
      </x:c>
      <x:c r="J449" s="8" t="n">
        <x:v>46249</x:v>
      </x:c>
      <x:c r="K449" s="7" t="inlineStr">
        <x:is>
          <x:t xml:space="preserve">Not Started</x:t>
        </x:is>
      </x:c>
      <x:c r="L449" s="7" t="inlineStr">
        <x:is>
          <x:t xml:space="preserve"/>
        </x:is>
      </x:c>
      <x:c r="M449" s="6" t="inlineStr">
        <x:is>
          <x:t xml:space="preserve"/>
        </x:is>
      </x:c>
    </x:row>
    <x:row r="450" ht="35" customHeight="1">
      <x:c r="A450" s="7" t="inlineStr">
        <x:is>
          <x:t xml:space="preserve">P202608-0449</x:t>
        </x:is>
      </x:c>
      <x:c r="B450" s="7" t="n">
        <x:v>2026</x:v>
      </x:c>
      <x:c r="C450" s="7" t="inlineStr">
        <x:is>
          <x:t xml:space="preserve">Aug</x:t>
        </x:is>
      </x:c>
      <x:c r="D450" s="7" t="inlineStr">
        <x:is>
          <x:t xml:space="preserve">MCS 29</x:t>
        </x:is>
      </x:c>
      <x:c r="E450" s="6" t="inlineStr">
        <x:is>
          <x:t xml:space="preserve">Management of supplier master data</x:t>
        </x:is>
      </x:c>
      <x:c r="F450" s="6" t="inlineStr">
        <x:is>
          <x:t xml:space="preserve">Ramakant Patil Zainab Yunusah Saadu</x:t>
        </x:is>
      </x:c>
      <x:c r="G450" s="6" t="inlineStr">
        <x:is>
          <x:t xml:space="preserve"/>
        </x:is>
      </x:c>
      <x:c r="H450" s="7" t="inlineStr">
        <x:is>
          <x:t xml:space="preserve">Operating Effectiveness</x:t>
        </x:is>
      </x:c>
      <x:c r="I450" s="7" t="inlineStr">
        <x:is>
          <x:t xml:space="preserve"/>
        </x:is>
      </x:c>
      <x:c r="J450" s="8" t="n">
        <x:v>46249</x:v>
      </x:c>
      <x:c r="K450" s="7" t="inlineStr">
        <x:is>
          <x:t xml:space="preserve">Not Started</x:t>
        </x:is>
      </x:c>
      <x:c r="L450" s="7" t="inlineStr">
        <x:is>
          <x:t xml:space="preserve"/>
        </x:is>
      </x:c>
      <x:c r="M450" s="6" t="inlineStr">
        <x:is>
          <x:t xml:space="preserve"/>
        </x:is>
      </x:c>
    </x:row>
    <x:row r="451" ht="35" customHeight="1">
      <x:c r="A451" s="7" t="inlineStr">
        <x:is>
          <x:t xml:space="preserve">P202608-0450</x:t>
        </x:is>
      </x:c>
      <x:c r="B451" s="7" t="n">
        <x:v>2026</x:v>
      </x:c>
      <x:c r="C451" s="7" t="inlineStr">
        <x:is>
          <x:t xml:space="preserve">Aug</x:t>
        </x:is>
      </x:c>
      <x:c r="D451" s="7" t="inlineStr">
        <x:is>
          <x:t xml:space="preserve">MCS30</x:t>
        </x:is>
      </x:c>
      <x:c r="E451" s="6" t="inlineStr">
        <x:is>
          <x:t xml:space="preserve">Vendor Registration and Performance Management</x:t>
        </x:is>
      </x:c>
      <x:c r="F451" s="6" t="inlineStr">
        <x:is>
          <x:t xml:space="preserve">Ramakant Patil Zainab Yunusah Saadu</x:t>
        </x:is>
      </x:c>
      <x:c r="G451" s="6" t="inlineStr">
        <x:is>
          <x:t xml:space="preserve"/>
        </x:is>
      </x:c>
      <x:c r="H451" s="7" t="inlineStr">
        <x:is>
          <x:t xml:space="preserve">Operating Effectiveness</x:t>
        </x:is>
      </x:c>
      <x:c r="I451" s="7" t="inlineStr">
        <x:is>
          <x:t xml:space="preserve"/>
        </x:is>
      </x:c>
      <x:c r="J451" s="8" t="n">
        <x:v>46249</x:v>
      </x:c>
      <x:c r="K451" s="7" t="inlineStr">
        <x:is>
          <x:t xml:space="preserve">Not Started</x:t>
        </x:is>
      </x:c>
      <x:c r="L451" s="7" t="inlineStr">
        <x:is>
          <x:t xml:space="preserve"/>
        </x:is>
      </x:c>
      <x:c r="M451" s="6" t="inlineStr">
        <x:is>
          <x:t xml:space="preserve"/>
        </x:is>
      </x:c>
    </x:row>
    <x:row r="452" ht="35" customHeight="1">
      <x:c r="A452" s="7" t="inlineStr">
        <x:is>
          <x:t xml:space="preserve">P202608-0451</x:t>
        </x:is>
      </x:c>
      <x:c r="B452" s="7" t="n">
        <x:v>2026</x:v>
      </x:c>
      <x:c r="C452" s="7" t="inlineStr">
        <x:is>
          <x:t xml:space="preserve">Aug</x:t>
        </x:is>
      </x:c>
      <x:c r="D452" s="7" t="inlineStr">
        <x:is>
          <x:t xml:space="preserve">MCS31</x:t>
        </x:is>
      </x:c>
      <x:c r="E452" s="6" t="inlineStr">
        <x:is>
          <x:t xml:space="preserve">Three-way match, two way match and direct vendor invoices</x:t>
        </x:is>
      </x:c>
      <x:c r="F452" s="6" t="inlineStr">
        <x:is>
          <x:t xml:space="preserve">Ramakant Patil Zainab Yunusah Saadu</x:t>
        </x:is>
      </x:c>
      <x:c r="G452" s="6" t="inlineStr">
        <x:is>
          <x:t xml:space="preserve"/>
        </x:is>
      </x:c>
      <x:c r="H452" s="7" t="inlineStr">
        <x:is>
          <x:t xml:space="preserve">Operating Effectiveness</x:t>
        </x:is>
      </x:c>
      <x:c r="I452" s="7" t="inlineStr">
        <x:is>
          <x:t xml:space="preserve"/>
        </x:is>
      </x:c>
      <x:c r="J452" s="8" t="n">
        <x:v>46249</x:v>
      </x:c>
      <x:c r="K452" s="7" t="inlineStr">
        <x:is>
          <x:t xml:space="preserve">Not Started</x:t>
        </x:is>
      </x:c>
      <x:c r="L452" s="7" t="inlineStr">
        <x:is>
          <x:t xml:space="preserve"/>
        </x:is>
      </x:c>
      <x:c r="M452" s="6" t="inlineStr">
        <x:is>
          <x:t xml:space="preserve"/>
        </x:is>
      </x:c>
    </x:row>
    <x:row r="453" ht="35" customHeight="1">
      <x:c r="A453" s="7" t="inlineStr">
        <x:is>
          <x:t xml:space="preserve">P202608-0452</x:t>
        </x:is>
      </x:c>
      <x:c r="B453" s="7" t="n">
        <x:v>2026</x:v>
      </x:c>
      <x:c r="C453" s="7" t="inlineStr">
        <x:is>
          <x:t xml:space="preserve">Aug</x:t>
        </x:is>
      </x:c>
      <x:c r="D453" s="7" t="inlineStr">
        <x:is>
          <x:t xml:space="preserve">MCS32</x:t>
        </x:is>
      </x:c>
      <x:c r="E453" s="6" t="inlineStr">
        <x:is>
          <x:t xml:space="preserve">Payment processing</x:t>
        </x:is>
      </x:c>
      <x:c r="F453" s="6" t="inlineStr">
        <x:is>
          <x:t xml:space="preserve">Ramakant Patil Zainab Yunusah Saadu</x:t>
        </x:is>
      </x:c>
      <x:c r="G453" s="6" t="inlineStr">
        <x:is>
          <x:t xml:space="preserve"/>
        </x:is>
      </x:c>
      <x:c r="H453" s="7" t="inlineStr">
        <x:is>
          <x:t xml:space="preserve">Operating Effectiveness</x:t>
        </x:is>
      </x:c>
      <x:c r="I453" s="7" t="inlineStr">
        <x:is>
          <x:t xml:space="preserve"/>
        </x:is>
      </x:c>
      <x:c r="J453" s="8" t="n">
        <x:v>46249</x:v>
      </x:c>
      <x:c r="K453" s="7" t="inlineStr">
        <x:is>
          <x:t xml:space="preserve">Not Started</x:t>
        </x:is>
      </x:c>
      <x:c r="L453" s="7" t="inlineStr">
        <x:is>
          <x:t xml:space="preserve"/>
        </x:is>
      </x:c>
      <x:c r="M453" s="6" t="inlineStr">
        <x:is>
          <x:t xml:space="preserve"/>
        </x:is>
      </x:c>
    </x:row>
    <x:row r="454" ht="35" customHeight="1">
      <x:c r="A454" s="7" t="inlineStr">
        <x:is>
          <x:t xml:space="preserve">P202608-0453</x:t>
        </x:is>
      </x:c>
      <x:c r="B454" s="7" t="n">
        <x:v>2026</x:v>
      </x:c>
      <x:c r="C454" s="7" t="inlineStr">
        <x:is>
          <x:t xml:space="preserve">Aug</x:t>
        </x:is>
      </x:c>
      <x:c r="D454" s="7" t="inlineStr">
        <x:is>
          <x:t xml:space="preserve">MCS33</x:t>
        </x:is>
      </x:c>
      <x:c r="E454" s="6" t="inlineStr">
        <x:is>
          <x:t xml:space="preserve">3 Accruals for expenditures not invoiced</x:t>
        </x:is>
      </x:c>
      <x:c r="F454" s="6" t="inlineStr">
        <x:is>
          <x:t xml:space="preserve">Ramakant Patil Zainab Yunusah Saadu</x:t>
        </x:is>
      </x:c>
      <x:c r="G454" s="6" t="inlineStr">
        <x:is>
          <x:t xml:space="preserve"/>
        </x:is>
      </x:c>
      <x:c r="H454" s="7" t="inlineStr">
        <x:is>
          <x:t xml:space="preserve">Operating Effectiveness</x:t>
        </x:is>
      </x:c>
      <x:c r="I454" s="7" t="inlineStr">
        <x:is>
          <x:t xml:space="preserve"/>
        </x:is>
      </x:c>
      <x:c r="J454" s="8" t="n">
        <x:v>46249</x:v>
      </x:c>
      <x:c r="K454" s="7" t="inlineStr">
        <x:is>
          <x:t xml:space="preserve">Not Started</x:t>
        </x:is>
      </x:c>
      <x:c r="L454" s="7" t="inlineStr">
        <x:is>
          <x:t xml:space="preserve"/>
        </x:is>
      </x:c>
      <x:c r="M454" s="6" t="inlineStr">
        <x:is>
          <x:t xml:space="preserve"/>
        </x:is>
      </x:c>
    </x:row>
    <x:row r="455" ht="35" customHeight="1">
      <x:c r="A455" s="7" t="inlineStr">
        <x:is>
          <x:t xml:space="preserve">P202608-0454</x:t>
        </x:is>
      </x:c>
      <x:c r="B455" s="7" t="n">
        <x:v>2026</x:v>
      </x:c>
      <x:c r="C455" s="7" t="inlineStr">
        <x:is>
          <x:t xml:space="preserve">Aug</x:t>
        </x:is>
      </x:c>
      <x:c r="D455" s="7" t="inlineStr">
        <x:is>
          <x:t xml:space="preserve">MCS34</x:t>
        </x:is>
      </x:c>
      <x:c r="E455" s="6" t="inlineStr">
        <x:is>
          <x:t xml:space="preserve">Physical Stock Count ,Reconciliation &amp; Valuation</x:t>
        </x:is>
      </x:c>
      <x:c r="F455" s="6" t="inlineStr">
        <x:is>
          <x:t xml:space="preserve">Yomi Jegede Zainab Yunusah Saadu</x:t>
        </x:is>
      </x:c>
      <x:c r="G455" s="6" t="inlineStr">
        <x:is>
          <x:t xml:space="preserve"/>
        </x:is>
      </x:c>
      <x:c r="H455" s="7" t="inlineStr">
        <x:is>
          <x:t xml:space="preserve">Operating Effectiveness</x:t>
        </x:is>
      </x:c>
      <x:c r="I455" s="7" t="inlineStr">
        <x:is>
          <x:t xml:space="preserve"/>
        </x:is>
      </x:c>
      <x:c r="J455" s="8" t="n">
        <x:v>46249</x:v>
      </x:c>
      <x:c r="K455" s="7" t="inlineStr">
        <x:is>
          <x:t xml:space="preserve">Not Started</x:t>
        </x:is>
      </x:c>
      <x:c r="L455" s="7" t="inlineStr">
        <x:is>
          <x:t xml:space="preserve"/>
        </x:is>
      </x:c>
      <x:c r="M455" s="6" t="inlineStr">
        <x:is>
          <x:t xml:space="preserve"/>
        </x:is>
      </x:c>
    </x:row>
    <x:row r="456" ht="35" customHeight="1">
      <x:c r="A456" s="7" t="inlineStr">
        <x:is>
          <x:t xml:space="preserve">P202608-0455</x:t>
        </x:is>
      </x:c>
      <x:c r="B456" s="7" t="n">
        <x:v>2026</x:v>
      </x:c>
      <x:c r="C456" s="7" t="inlineStr">
        <x:is>
          <x:t xml:space="preserve">Aug</x:t>
        </x:is>
      </x:c>
      <x:c r="D456" s="7" t="inlineStr">
        <x:is>
          <x:t xml:space="preserve">MCS35</x:t>
        </x:is>
      </x:c>
      <x:c r="E456" s="6" t="inlineStr">
        <x:is>
          <x:t xml:space="preserve">Inventory Documentation (IMPEX)</x:t>
        </x:is>
      </x:c>
      <x:c r="F456" s="6" t="inlineStr">
        <x:is>
          <x:t xml:space="preserve">Yomi Jegede Zainab Yunusah Saadu</x:t>
        </x:is>
      </x:c>
      <x:c r="G456" s="6" t="inlineStr">
        <x:is>
          <x:t xml:space="preserve"/>
        </x:is>
      </x:c>
      <x:c r="H456" s="7" t="inlineStr">
        <x:is>
          <x:t xml:space="preserve">Operating Effectiveness</x:t>
        </x:is>
      </x:c>
      <x:c r="I456" s="7" t="inlineStr">
        <x:is>
          <x:t xml:space="preserve"/>
        </x:is>
      </x:c>
      <x:c r="J456" s="8" t="n">
        <x:v>46249</x:v>
      </x:c>
      <x:c r="K456" s="7" t="inlineStr">
        <x:is>
          <x:t xml:space="preserve">Not Started</x:t>
        </x:is>
      </x:c>
      <x:c r="L456" s="7" t="inlineStr">
        <x:is>
          <x:t xml:space="preserve"/>
        </x:is>
      </x:c>
      <x:c r="M456" s="6" t="inlineStr">
        <x:is>
          <x:t xml:space="preserve"/>
        </x:is>
      </x:c>
    </x:row>
    <x:row r="457" ht="35" customHeight="1">
      <x:c r="A457" s="7" t="inlineStr">
        <x:is>
          <x:t xml:space="preserve">P202608-0456</x:t>
        </x:is>
      </x:c>
      <x:c r="B457" s="7" t="n">
        <x:v>2026</x:v>
      </x:c>
      <x:c r="C457" s="7" t="inlineStr">
        <x:is>
          <x:t xml:space="preserve">Aug</x:t>
        </x:is>
      </x:c>
      <x:c r="D457" s="7" t="inlineStr">
        <x:is>
          <x:t xml:space="preserve">MCS36</x:t>
        </x:is>
      </x:c>
      <x:c r="E457" s="6" t="inlineStr">
        <x:is>
          <x:t xml:space="preserve">Management of access to IT systems</x:t>
        </x:is>
      </x:c>
      <x:c r="F457" s="6" t="inlineStr">
        <x:is>
          <x:t xml:space="preserve">Theophilus Okolie </x:t>
        </x:is>
      </x:c>
      <x:c r="G457" s="6" t="inlineStr">
        <x:is>
          <x:t xml:space="preserve"/>
        </x:is>
      </x:c>
      <x:c r="H457" s="7" t="inlineStr">
        <x:is>
          <x:t xml:space="preserve">Operating Effectiveness</x:t>
        </x:is>
      </x:c>
      <x:c r="I457" s="7" t="inlineStr">
        <x:is>
          <x:t xml:space="preserve"/>
        </x:is>
      </x:c>
      <x:c r="J457" s="8" t="n">
        <x:v>46249</x:v>
      </x:c>
      <x:c r="K457" s="7" t="inlineStr">
        <x:is>
          <x:t xml:space="preserve">Not Started</x:t>
        </x:is>
      </x:c>
      <x:c r="L457" s="7" t="inlineStr">
        <x:is>
          <x:t xml:space="preserve"/>
        </x:is>
      </x:c>
      <x:c r="M457" s="6" t="inlineStr">
        <x:is>
          <x:t xml:space="preserve"/>
        </x:is>
      </x:c>
    </x:row>
    <x:row r="458" ht="35" customHeight="1">
      <x:c r="A458" s="7" t="inlineStr">
        <x:is>
          <x:t xml:space="preserve">P202608-0457</x:t>
        </x:is>
      </x:c>
      <x:c r="B458" s="7" t="n">
        <x:v>2026</x:v>
      </x:c>
      <x:c r="C458" s="7" t="inlineStr">
        <x:is>
          <x:t xml:space="preserve">Aug</x:t>
        </x:is>
      </x:c>
      <x:c r="D458" s="7" t="inlineStr">
        <x:is>
          <x:t xml:space="preserve">MCS37</x:t>
        </x:is>
      </x:c>
      <x:c r="E458" s="6" t="inlineStr">
        <x:is>
          <x:t xml:space="preserve">Review of IT user access rights to production IT systems</x:t>
        </x:is>
      </x:c>
      <x:c r="F458" s="6" t="inlineStr">
        <x:is>
          <x:t xml:space="preserve">Theophilus Okolie </x:t>
        </x:is>
      </x:c>
      <x:c r="G458" s="6" t="inlineStr">
        <x:is>
          <x:t xml:space="preserve"/>
        </x:is>
      </x:c>
      <x:c r="H458" s="7" t="inlineStr">
        <x:is>
          <x:t xml:space="preserve">Operating Effectiveness</x:t>
        </x:is>
      </x:c>
      <x:c r="I458" s="7" t="inlineStr">
        <x:is>
          <x:t xml:space="preserve"/>
        </x:is>
      </x:c>
      <x:c r="J458" s="8" t="n">
        <x:v>46249</x:v>
      </x:c>
      <x:c r="K458" s="7" t="inlineStr">
        <x:is>
          <x:t xml:space="preserve">Not Started</x:t>
        </x:is>
      </x:c>
      <x:c r="L458" s="7" t="inlineStr">
        <x:is>
          <x:t xml:space="preserve"/>
        </x:is>
      </x:c>
      <x:c r="M458" s="6" t="inlineStr">
        <x:is>
          <x:t xml:space="preserve"/>
        </x:is>
      </x:c>
    </x:row>
    <x:row r="459" ht="35" customHeight="1">
      <x:c r="A459" s="7" t="inlineStr">
        <x:is>
          <x:t xml:space="preserve">P202608-0458</x:t>
        </x:is>
      </x:c>
      <x:c r="B459" s="7" t="n">
        <x:v>2026</x:v>
      </x:c>
      <x:c r="C459" s="7" t="inlineStr">
        <x:is>
          <x:t xml:space="preserve">Aug</x:t>
        </x:is>
      </x:c>
      <x:c r="D459" s="7" t="inlineStr">
        <x:is>
          <x:t xml:space="preserve">MCS38</x:t>
        </x:is>
      </x:c>
      <x:c r="E459" s="6" t="inlineStr">
        <x:is>
          <x:t xml:space="preserve">Security configuration settings and batch job management</x:t>
        </x:is>
      </x:c>
      <x:c r="F459" s="6" t="inlineStr">
        <x:is>
          <x:t xml:space="preserve">Theophilus Okolie </x:t>
        </x:is>
      </x:c>
      <x:c r="G459" s="6" t="inlineStr">
        <x:is>
          <x:t xml:space="preserve"/>
        </x:is>
      </x:c>
      <x:c r="H459" s="7" t="inlineStr">
        <x:is>
          <x:t xml:space="preserve">Operating Effectiveness</x:t>
        </x:is>
      </x:c>
      <x:c r="I459" s="7" t="inlineStr">
        <x:is>
          <x:t xml:space="preserve"/>
        </x:is>
      </x:c>
      <x:c r="J459" s="8" t="n">
        <x:v>46249</x:v>
      </x:c>
      <x:c r="K459" s="7" t="inlineStr">
        <x:is>
          <x:t xml:space="preserve">Not Started</x:t>
        </x:is>
      </x:c>
      <x:c r="L459" s="7" t="inlineStr">
        <x:is>
          <x:t xml:space="preserve"/>
        </x:is>
      </x:c>
      <x:c r="M459" s="6" t="inlineStr">
        <x:is>
          <x:t xml:space="preserve"/>
        </x:is>
      </x:c>
    </x:row>
    <x:row r="460" ht="35" customHeight="1">
      <x:c r="A460" s="7" t="inlineStr">
        <x:is>
          <x:t xml:space="preserve">P202608-0459</x:t>
        </x:is>
      </x:c>
      <x:c r="B460" s="7" t="n">
        <x:v>2026</x:v>
      </x:c>
      <x:c r="C460" s="7" t="inlineStr">
        <x:is>
          <x:t xml:space="preserve">Aug</x:t>
        </x:is>
      </x:c>
      <x:c r="D460" s="7" t="inlineStr">
        <x:is>
          <x:t xml:space="preserve">MCS39</x:t>
        </x:is>
      </x:c>
      <x:c r="E460" s="6" t="inlineStr">
        <x:is>
          <x:t xml:space="preserve">Data backup, storage and restoration process</x:t>
        </x:is>
      </x:c>
      <x:c r="F460" s="6" t="inlineStr">
        <x:is>
          <x:t xml:space="preserve">Theophilus Okolie </x:t>
        </x:is>
      </x:c>
      <x:c r="G460" s="6" t="inlineStr">
        <x:is>
          <x:t xml:space="preserve"/>
        </x:is>
      </x:c>
      <x:c r="H460" s="7" t="inlineStr">
        <x:is>
          <x:t xml:space="preserve">Operating Effectiveness</x:t>
        </x:is>
      </x:c>
      <x:c r="I460" s="7" t="inlineStr">
        <x:is>
          <x:t xml:space="preserve"/>
        </x:is>
      </x:c>
      <x:c r="J460" s="8" t="n">
        <x:v>46249</x:v>
      </x:c>
      <x:c r="K460" s="7" t="inlineStr">
        <x:is>
          <x:t xml:space="preserve">Not Started</x:t>
        </x:is>
      </x:c>
      <x:c r="L460" s="7" t="inlineStr">
        <x:is>
          <x:t xml:space="preserve"/>
        </x:is>
      </x:c>
      <x:c r="M460" s="6" t="inlineStr">
        <x:is>
          <x:t xml:space="preserve"/>
        </x:is>
      </x:c>
    </x:row>
    <x:row r="461" ht="35" customHeight="1">
      <x:c r="A461" s="7" t="inlineStr">
        <x:is>
          <x:t xml:space="preserve">P202608-0460</x:t>
        </x:is>
      </x:c>
      <x:c r="B461" s="7" t="n">
        <x:v>2026</x:v>
      </x:c>
      <x:c r="C461" s="7" t="inlineStr">
        <x:is>
          <x:t xml:space="preserve">Aug</x:t>
        </x:is>
      </x:c>
      <x:c r="D461" s="7" t="inlineStr">
        <x:is>
          <x:t xml:space="preserve">MCS40</x:t>
        </x:is>
      </x:c>
      <x:c r="E461" s="6" t="inlineStr">
        <x:is>
          <x:t xml:space="preserve">Managing changes to IT systems</x:t>
        </x:is>
      </x:c>
      <x:c r="F461" s="6" t="inlineStr">
        <x:is>
          <x:t xml:space="preserve">Theophilus Okolie </x:t>
        </x:is>
      </x:c>
      <x:c r="G461" s="6" t="inlineStr">
        <x:is>
          <x:t xml:space="preserve"/>
        </x:is>
      </x:c>
      <x:c r="H461" s="7" t="inlineStr">
        <x:is>
          <x:t xml:space="preserve">Operating Effectiveness</x:t>
        </x:is>
      </x:c>
      <x:c r="I461" s="7" t="inlineStr">
        <x:is>
          <x:t xml:space="preserve"/>
        </x:is>
      </x:c>
      <x:c r="J461" s="8" t="n">
        <x:v>46249</x:v>
      </x:c>
      <x:c r="K461" s="7" t="inlineStr">
        <x:is>
          <x:t xml:space="preserve">Not Started</x:t>
        </x:is>
      </x:c>
      <x:c r="L461" s="7" t="inlineStr">
        <x:is>
          <x:t xml:space="preserve"/>
        </x:is>
      </x:c>
      <x:c r="M461" s="6" t="inlineStr">
        <x:is>
          <x:t xml:space="preserve"/>
        </x:is>
      </x:c>
    </x:row>
    <x:row r="462" ht="35" customHeight="1">
      <x:c r="A462" s="7" t="inlineStr">
        <x:is>
          <x:t xml:space="preserve">P202608-0461</x:t>
        </x:is>
      </x:c>
      <x:c r="B462" s="7" t="n">
        <x:v>2026</x:v>
      </x:c>
      <x:c r="C462" s="7" t="inlineStr">
        <x:is>
          <x:t xml:space="preserve">Aug</x:t>
        </x:is>
      </x:c>
      <x:c r="D462" s="7" t="inlineStr">
        <x:is>
          <x:t xml:space="preserve">MCS41</x:t>
        </x:is>
      </x:c>
      <x:c r="E462" s="6" t="inlineStr">
        <x:is>
          <x:t xml:space="preserve">Compliance with accounting and reporting standards</x:t>
        </x:is>
      </x:c>
      <x:c r="F462" s="6" t="inlineStr">
        <x:is>
          <x:t xml:space="preserve">Zainab Yunusah Saadu Daniel Banjo</x:t>
        </x:is>
      </x:c>
      <x:c r="G462" s="6" t="inlineStr">
        <x:is>
          <x:t xml:space="preserve"/>
        </x:is>
      </x:c>
      <x:c r="H462" s="7" t="inlineStr">
        <x:is>
          <x:t xml:space="preserve">Operating Effectiveness</x:t>
        </x:is>
      </x:c>
      <x:c r="I462" s="7" t="inlineStr">
        <x:is>
          <x:t xml:space="preserve"/>
        </x:is>
      </x:c>
      <x:c r="J462" s="8" t="n">
        <x:v>46249</x:v>
      </x:c>
      <x:c r="K462" s="7" t="inlineStr">
        <x:is>
          <x:t xml:space="preserve">Not Started</x:t>
        </x:is>
      </x:c>
      <x:c r="L462" s="7" t="inlineStr">
        <x:is>
          <x:t xml:space="preserve"/>
        </x:is>
      </x:c>
      <x:c r="M462" s="6" t="inlineStr">
        <x:is>
          <x:t xml:space="preserve"/>
        </x:is>
      </x:c>
    </x:row>
    <x:row r="463" ht="35" customHeight="1">
      <x:c r="A463" s="7" t="inlineStr">
        <x:is>
          <x:t xml:space="preserve">P202608-0462</x:t>
        </x:is>
      </x:c>
      <x:c r="B463" s="7" t="n">
        <x:v>2026</x:v>
      </x:c>
      <x:c r="C463" s="7" t="inlineStr">
        <x:is>
          <x:t xml:space="preserve">Aug</x:t>
        </x:is>
      </x:c>
      <x:c r="D463" s="7" t="inlineStr">
        <x:is>
          <x:t xml:space="preserve">MCS42</x:t>
        </x:is>
      </x:c>
      <x:c r="E463" s="6" t="inlineStr">
        <x:is>
          <x:t xml:space="preserve">Reconciliation of general ledger accounts</x:t>
        </x:is>
      </x:c>
      <x:c r="F463" s="6" t="inlineStr">
        <x:is>
          <x:t xml:space="preserve">Zainab Yunusah Saadu Daniel Banjo</x:t>
        </x:is>
      </x:c>
      <x:c r="G463" s="6" t="inlineStr">
        <x:is>
          <x:t xml:space="preserve"/>
        </x:is>
      </x:c>
      <x:c r="H463" s="7" t="inlineStr">
        <x:is>
          <x:t xml:space="preserve">Operating Effectiveness</x:t>
        </x:is>
      </x:c>
      <x:c r="I463" s="7" t="inlineStr">
        <x:is>
          <x:t xml:space="preserve"/>
        </x:is>
      </x:c>
      <x:c r="J463" s="8" t="n">
        <x:v>46249</x:v>
      </x:c>
      <x:c r="K463" s="7" t="inlineStr">
        <x:is>
          <x:t xml:space="preserve">Not Started</x:t>
        </x:is>
      </x:c>
      <x:c r="L463" s="7" t="inlineStr">
        <x:is>
          <x:t xml:space="preserve"/>
        </x:is>
      </x:c>
      <x:c r="M463" s="6" t="inlineStr">
        <x:is>
          <x:t xml:space="preserve"/>
        </x:is>
      </x:c>
    </x:row>
    <x:row r="464" ht="35" customHeight="1">
      <x:c r="A464" s="7" t="inlineStr">
        <x:is>
          <x:t xml:space="preserve">P202608-0463</x:t>
        </x:is>
      </x:c>
      <x:c r="B464" s="7" t="n">
        <x:v>2026</x:v>
      </x:c>
      <x:c r="C464" s="7" t="inlineStr">
        <x:is>
          <x:t xml:space="preserve">Aug</x:t>
        </x:is>
      </x:c>
      <x:c r="D464" s="7" t="inlineStr">
        <x:is>
          <x:t xml:space="preserve">MCS43</x:t>
        </x:is>
      </x:c>
      <x:c r="E464" s="6" t="inlineStr">
        <x:is>
          <x:t xml:space="preserve">Reconciliation of bank accounts</x:t>
        </x:is>
      </x:c>
      <x:c r="F464" s="6" t="inlineStr">
        <x:is>
          <x:t xml:space="preserve">Zainab Yunusah Saadu Daniel Banjo</x:t>
        </x:is>
      </x:c>
      <x:c r="G464" s="6" t="inlineStr">
        <x:is>
          <x:t xml:space="preserve"/>
        </x:is>
      </x:c>
      <x:c r="H464" s="7" t="inlineStr">
        <x:is>
          <x:t xml:space="preserve">Operating Effectiveness</x:t>
        </x:is>
      </x:c>
      <x:c r="I464" s="7" t="inlineStr">
        <x:is>
          <x:t xml:space="preserve"/>
        </x:is>
      </x:c>
      <x:c r="J464" s="8" t="n">
        <x:v>46249</x:v>
      </x:c>
      <x:c r="K464" s="7" t="inlineStr">
        <x:is>
          <x:t xml:space="preserve">Not Started</x:t>
        </x:is>
      </x:c>
      <x:c r="L464" s="7" t="inlineStr">
        <x:is>
          <x:t xml:space="preserve"/>
        </x:is>
      </x:c>
      <x:c r="M464" s="6" t="inlineStr">
        <x:is>
          <x:t xml:space="preserve"/>
        </x:is>
      </x:c>
    </x:row>
    <x:row r="465" ht="35" customHeight="1">
      <x:c r="A465" s="7" t="inlineStr">
        <x:is>
          <x:t xml:space="preserve">P202608-0464</x:t>
        </x:is>
      </x:c>
      <x:c r="B465" s="7" t="n">
        <x:v>2026</x:v>
      </x:c>
      <x:c r="C465" s="7" t="inlineStr">
        <x:is>
          <x:t xml:space="preserve">Aug</x:t>
        </x:is>
      </x:c>
      <x:c r="D465" s="7" t="inlineStr">
        <x:is>
          <x:t xml:space="preserve">MCS44</x:t>
        </x:is>
      </x:c>
      <x:c r="E465" s="6" t="inlineStr">
        <x:is>
          <x:t xml:space="preserve">Reconciliation of intercompany balances</x:t>
        </x:is>
      </x:c>
      <x:c r="F465" s="6" t="inlineStr">
        <x:is>
          <x:t xml:space="preserve">Zainab Yunusah Saadu Daniel Banjo</x:t>
        </x:is>
      </x:c>
      <x:c r="G465" s="6" t="inlineStr">
        <x:is>
          <x:t xml:space="preserve"/>
        </x:is>
      </x:c>
      <x:c r="H465" s="7" t="inlineStr">
        <x:is>
          <x:t xml:space="preserve">Operating Effectiveness</x:t>
        </x:is>
      </x:c>
      <x:c r="I465" s="7" t="inlineStr">
        <x:is>
          <x:t xml:space="preserve"/>
        </x:is>
      </x:c>
      <x:c r="J465" s="8" t="n">
        <x:v>46249</x:v>
      </x:c>
      <x:c r="K465" s="7" t="inlineStr">
        <x:is>
          <x:t xml:space="preserve">Not Started</x:t>
        </x:is>
      </x:c>
      <x:c r="L465" s="7" t="inlineStr">
        <x:is>
          <x:t xml:space="preserve"/>
        </x:is>
      </x:c>
      <x:c r="M465" s="6" t="inlineStr">
        <x:is>
          <x:t xml:space="preserve"/>
        </x:is>
      </x:c>
    </x:row>
    <x:row r="466" ht="35" customHeight="1">
      <x:c r="A466" s="7" t="inlineStr">
        <x:is>
          <x:t xml:space="preserve">P202608-0465</x:t>
        </x:is>
      </x:c>
      <x:c r="B466" s="7" t="n">
        <x:v>2026</x:v>
      </x:c>
      <x:c r="C466" s="7" t="inlineStr">
        <x:is>
          <x:t xml:space="preserve">Aug</x:t>
        </x:is>
      </x:c>
      <x:c r="D466" s="7" t="inlineStr">
        <x:is>
          <x:t xml:space="preserve">MCS45</x:t>
        </x:is>
      </x:c>
      <x:c r="E466" s="6" t="inlineStr">
        <x:is>
          <x:t xml:space="preserve">Manual journal entries</x:t>
        </x:is>
      </x:c>
      <x:c r="F466" s="6" t="inlineStr">
        <x:is>
          <x:t xml:space="preserve">Zainab Yunusah Saadu Daniel Banjo</x:t>
        </x:is>
      </x:c>
      <x:c r="G466" s="6" t="inlineStr">
        <x:is>
          <x:t xml:space="preserve"/>
        </x:is>
      </x:c>
      <x:c r="H466" s="7" t="inlineStr">
        <x:is>
          <x:t xml:space="preserve">Operating Effectiveness</x:t>
        </x:is>
      </x:c>
      <x:c r="I466" s="7" t="inlineStr">
        <x:is>
          <x:t xml:space="preserve"/>
        </x:is>
      </x:c>
      <x:c r="J466" s="8" t="n">
        <x:v>46249</x:v>
      </x:c>
      <x:c r="K466" s="7" t="inlineStr">
        <x:is>
          <x:t xml:space="preserve">Not Started</x:t>
        </x:is>
      </x:c>
      <x:c r="L466" s="7" t="inlineStr">
        <x:is>
          <x:t xml:space="preserve"/>
        </x:is>
      </x:c>
      <x:c r="M466" s="6" t="inlineStr">
        <x:is>
          <x:t xml:space="preserve"/>
        </x:is>
      </x:c>
    </x:row>
    <x:row r="467" ht="35" customHeight="1">
      <x:c r="A467" s="7" t="inlineStr">
        <x:is>
          <x:t xml:space="preserve">P202608-0466</x:t>
        </x:is>
      </x:c>
      <x:c r="B467" s="7" t="n">
        <x:v>2026</x:v>
      </x:c>
      <x:c r="C467" s="7" t="inlineStr">
        <x:is>
          <x:t xml:space="preserve">Aug</x:t>
        </x:is>
      </x:c>
      <x:c r="D467" s="7" t="inlineStr">
        <x:is>
          <x:t xml:space="preserve">MCS46</x:t>
        </x:is>
      </x:c>
      <x:c r="E467" s="6" t="inlineStr">
        <x:is>
          <x:t xml:space="preserve">Impairment of goodwill, intangible assets and tangible assets</x:t>
        </x:is>
      </x:c>
      <x:c r="F467" s="6" t="inlineStr">
        <x:is>
          <x:t xml:space="preserve">Zainab Yunusah Saadu Daniel Banjo</x:t>
        </x:is>
      </x:c>
      <x:c r="G467" s="6" t="inlineStr">
        <x:is>
          <x:t xml:space="preserve"/>
        </x:is>
      </x:c>
      <x:c r="H467" s="7" t="inlineStr">
        <x:is>
          <x:t xml:space="preserve">Operating Effectiveness</x:t>
        </x:is>
      </x:c>
      <x:c r="I467" s="7" t="inlineStr">
        <x:is>
          <x:t xml:space="preserve"/>
        </x:is>
      </x:c>
      <x:c r="J467" s="8" t="n">
        <x:v>46249</x:v>
      </x:c>
      <x:c r="K467" s="7" t="inlineStr">
        <x:is>
          <x:t xml:space="preserve">Not Started</x:t>
        </x:is>
      </x:c>
      <x:c r="L467" s="7" t="inlineStr">
        <x:is>
          <x:t xml:space="preserve"/>
        </x:is>
      </x:c>
      <x:c r="M467" s="6" t="inlineStr">
        <x:is>
          <x:t xml:space="preserve"/>
        </x:is>
      </x:c>
    </x:row>
    <x:row r="468" ht="35" customHeight="1">
      <x:c r="A468" s="7" t="inlineStr">
        <x:is>
          <x:t xml:space="preserve">P202608-0467</x:t>
        </x:is>
      </x:c>
      <x:c r="B468" s="7" t="n">
        <x:v>2026</x:v>
      </x:c>
      <x:c r="C468" s="7" t="inlineStr">
        <x:is>
          <x:t xml:space="preserve">Aug</x:t>
        </x:is>
      </x:c>
      <x:c r="D468" s="7" t="inlineStr">
        <x:is>
          <x:t xml:space="preserve">MCS47</x:t>
        </x:is>
      </x:c>
      <x:c r="E468" s="6" t="inlineStr">
        <x:is>
          <x:t xml:space="preserve">Transactions in a foreign currency</x:t>
        </x:is>
      </x:c>
      <x:c r="F468" s="6" t="inlineStr">
        <x:is>
          <x:t xml:space="preserve">Zainab Yunusah Saadu Daniel Banjo</x:t>
        </x:is>
      </x:c>
      <x:c r="G468" s="6" t="inlineStr">
        <x:is>
          <x:t xml:space="preserve"/>
        </x:is>
      </x:c>
      <x:c r="H468" s="7" t="inlineStr">
        <x:is>
          <x:t xml:space="preserve">Operating Effectiveness</x:t>
        </x:is>
      </x:c>
      <x:c r="I468" s="7" t="inlineStr">
        <x:is>
          <x:t xml:space="preserve"/>
        </x:is>
      </x:c>
      <x:c r="J468" s="8" t="n">
        <x:v>46249</x:v>
      </x:c>
      <x:c r="K468" s="7" t="inlineStr">
        <x:is>
          <x:t xml:space="preserve">Not Started</x:t>
        </x:is>
      </x:c>
      <x:c r="L468" s="7" t="inlineStr">
        <x:is>
          <x:t xml:space="preserve"/>
        </x:is>
      </x:c>
      <x:c r="M468" s="6" t="inlineStr">
        <x:is>
          <x:t xml:space="preserve"/>
        </x:is>
      </x:c>
    </x:row>
    <x:row r="469" ht="35" customHeight="1">
      <x:c r="A469" s="7" t="inlineStr">
        <x:is>
          <x:t xml:space="preserve">P202608-0468</x:t>
        </x:is>
      </x:c>
      <x:c r="B469" s="7" t="n">
        <x:v>2026</x:v>
      </x:c>
      <x:c r="C469" s="7" t="inlineStr">
        <x:is>
          <x:t xml:space="preserve">Aug</x:t>
        </x:is>
      </x:c>
      <x:c r="D469" s="7" t="inlineStr">
        <x:is>
          <x:t xml:space="preserve">MCS48</x:t>
        </x:is>
      </x:c>
      <x:c r="E469" s="6" t="inlineStr">
        <x:is>
          <x:t xml:space="preserve">Management of legal structure and consolidation hierarchy</x:t>
        </x:is>
      </x:c>
      <x:c r="F469" s="6" t="inlineStr">
        <x:is>
          <x:t xml:space="preserve">Zainab Yunusah Saadu Daniel Banjo</x:t>
        </x:is>
      </x:c>
      <x:c r="G469" s="6" t="inlineStr">
        <x:is>
          <x:t xml:space="preserve"/>
        </x:is>
      </x:c>
      <x:c r="H469" s="7" t="inlineStr">
        <x:is>
          <x:t xml:space="preserve">Operating Effectiveness</x:t>
        </x:is>
      </x:c>
      <x:c r="I469" s="7" t="inlineStr">
        <x:is>
          <x:t xml:space="preserve"/>
        </x:is>
      </x:c>
      <x:c r="J469" s="8" t="n">
        <x:v>46249</x:v>
      </x:c>
      <x:c r="K469" s="7" t="inlineStr">
        <x:is>
          <x:t xml:space="preserve">Not Started</x:t>
        </x:is>
      </x:c>
      <x:c r="L469" s="7" t="inlineStr">
        <x:is>
          <x:t xml:space="preserve"/>
        </x:is>
      </x:c>
      <x:c r="M469" s="6" t="inlineStr">
        <x:is>
          <x:t xml:space="preserve"/>
        </x:is>
      </x:c>
    </x:row>
    <x:row r="470" ht="35" customHeight="1">
      <x:c r="A470" s="7" t="inlineStr">
        <x:is>
          <x:t xml:space="preserve">P202608-0469</x:t>
        </x:is>
      </x:c>
      <x:c r="B470" s="7" t="n">
        <x:v>2026</x:v>
      </x:c>
      <x:c r="C470" s="7" t="inlineStr">
        <x:is>
          <x:t xml:space="preserve">Aug</x:t>
        </x:is>
      </x:c>
      <x:c r="D470" s="7" t="inlineStr">
        <x:is>
          <x:t xml:space="preserve">MCS49</x:t>
        </x:is>
      </x:c>
      <x:c r="E470" s="6" t="inlineStr">
        <x:is>
          <x:t xml:space="preserve">Consolidation of financial statement</x:t>
        </x:is>
      </x:c>
      <x:c r="F470" s="6" t="inlineStr">
        <x:is>
          <x:t xml:space="preserve">Zainab Yunusah Saadu Daniel Banjo</x:t>
        </x:is>
      </x:c>
      <x:c r="G470" s="6" t="inlineStr">
        <x:is>
          <x:t xml:space="preserve"/>
        </x:is>
      </x:c>
      <x:c r="H470" s="7" t="inlineStr">
        <x:is>
          <x:t xml:space="preserve">Operating Effectiveness</x:t>
        </x:is>
      </x:c>
      <x:c r="I470" s="7" t="inlineStr">
        <x:is>
          <x:t xml:space="preserve"/>
        </x:is>
      </x:c>
      <x:c r="J470" s="8" t="n">
        <x:v>46249</x:v>
      </x:c>
      <x:c r="K470" s="7" t="inlineStr">
        <x:is>
          <x:t xml:space="preserve">Not Started</x:t>
        </x:is>
      </x:c>
      <x:c r="L470" s="7" t="inlineStr">
        <x:is>
          <x:t xml:space="preserve"/>
        </x:is>
      </x:c>
      <x:c r="M470" s="6" t="inlineStr">
        <x:is>
          <x:t xml:space="preserve"/>
        </x:is>
      </x:c>
    </x:row>
    <x:row r="471" ht="35" customHeight="1">
      <x:c r="A471" s="7" t="inlineStr">
        <x:is>
          <x:t xml:space="preserve">P202608-0470</x:t>
        </x:is>
      </x:c>
      <x:c r="B471" s="7" t="n">
        <x:v>2026</x:v>
      </x:c>
      <x:c r="C471" s="7" t="inlineStr">
        <x:is>
          <x:t xml:space="preserve">Aug</x:t>
        </x:is>
      </x:c>
      <x:c r="D471" s="7" t="inlineStr">
        <x:is>
          <x:t xml:space="preserve">MCS50</x:t>
        </x:is>
      </x:c>
      <x:c r="E471" s="6" t="inlineStr">
        <x:is>
          <x:t xml:space="preserve">Statutory financial statements</x:t>
        </x:is>
      </x:c>
      <x:c r="F471" s="6" t="inlineStr">
        <x:is>
          <x:t xml:space="preserve">Zainab Yunusah Saadu Daniel Banjo</x:t>
        </x:is>
      </x:c>
      <x:c r="G471" s="6" t="inlineStr">
        <x:is>
          <x:t xml:space="preserve"/>
        </x:is>
      </x:c>
      <x:c r="H471" s="7" t="inlineStr">
        <x:is>
          <x:t xml:space="preserve">Operating Effectiveness</x:t>
        </x:is>
      </x:c>
      <x:c r="I471" s="7" t="inlineStr">
        <x:is>
          <x:t xml:space="preserve"/>
        </x:is>
      </x:c>
      <x:c r="J471" s="8" t="n">
        <x:v>46249</x:v>
      </x:c>
      <x:c r="K471" s="7" t="inlineStr">
        <x:is>
          <x:t xml:space="preserve">Not Started</x:t>
        </x:is>
      </x:c>
      <x:c r="L471" s="7" t="inlineStr">
        <x:is>
          <x:t xml:space="preserve"/>
        </x:is>
      </x:c>
      <x:c r="M471" s="6" t="inlineStr">
        <x:is>
          <x:t xml:space="preserve"/>
        </x:is>
      </x:c>
    </x:row>
    <x:row r="472" ht="35" customHeight="1">
      <x:c r="A472" s="7" t="inlineStr">
        <x:is>
          <x:t xml:space="preserve">P202608-0471</x:t>
        </x:is>
      </x:c>
      <x:c r="B472" s="7" t="n">
        <x:v>2026</x:v>
      </x:c>
      <x:c r="C472" s="7" t="inlineStr">
        <x:is>
          <x:t xml:space="preserve">Aug</x:t>
        </x:is>
      </x:c>
      <x:c r="D472" s="7" t="inlineStr">
        <x:is>
          <x:t xml:space="preserve">MCS51</x:t>
        </x:is>
      </x:c>
      <x:c r="E472" s="6" t="inlineStr">
        <x:is>
          <x:t xml:space="preserve">Tax risk assessment and reporting</x:t>
        </x:is>
      </x:c>
      <x:c r="F472" s="6" t="n"/>
      <x:c r="G472" s="6" t="inlineStr">
        <x:is>
          <x:t xml:space="preserve"/>
        </x:is>
      </x:c>
      <x:c r="H472" s="7" t="inlineStr">
        <x:is>
          <x:t xml:space="preserve">Operating Effectiveness</x:t>
        </x:is>
      </x:c>
      <x:c r="I472" s="7" t="inlineStr">
        <x:is>
          <x:t xml:space="preserve"/>
        </x:is>
      </x:c>
      <x:c r="J472" s="8" t="n">
        <x:v>46249</x:v>
      </x:c>
      <x:c r="K472" s="7" t="inlineStr">
        <x:is>
          <x:t xml:space="preserve">Not Started</x:t>
        </x:is>
      </x:c>
      <x:c r="L472" s="7" t="inlineStr">
        <x:is>
          <x:t xml:space="preserve"/>
        </x:is>
      </x:c>
      <x:c r="M472" s="6" t="inlineStr">
        <x:is>
          <x:t xml:space="preserve"/>
        </x:is>
      </x:c>
    </x:row>
    <x:row r="473" ht="35" customHeight="1">
      <x:c r="A473" s="7" t="inlineStr">
        <x:is>
          <x:t xml:space="preserve">P202608-0472</x:t>
        </x:is>
      </x:c>
      <x:c r="B473" s="7" t="n">
        <x:v>2026</x:v>
      </x:c>
      <x:c r="C473" s="7" t="inlineStr">
        <x:is>
          <x:t xml:space="preserve">Aug</x:t>
        </x:is>
      </x:c>
      <x:c r="D473" s="7" t="inlineStr">
        <x:is>
          <x:t xml:space="preserve">MCS52</x:t>
        </x:is>
      </x:c>
      <x:c r="E473" s="6" t="inlineStr">
        <x:is>
          <x:t xml:space="preserve">Tax filings and payments</x:t>
        </x:is>
      </x:c>
      <x:c r="F473" s="6" t="n"/>
      <x:c r="G473" s="6" t="inlineStr">
        <x:is>
          <x:t xml:space="preserve"/>
        </x:is>
      </x:c>
      <x:c r="H473" s="7" t="inlineStr">
        <x:is>
          <x:t xml:space="preserve">Operating Effectiveness</x:t>
        </x:is>
      </x:c>
      <x:c r="I473" s="7" t="inlineStr">
        <x:is>
          <x:t xml:space="preserve"/>
        </x:is>
      </x:c>
      <x:c r="J473" s="8" t="n">
        <x:v>46249</x:v>
      </x:c>
      <x:c r="K473" s="7" t="inlineStr">
        <x:is>
          <x:t xml:space="preserve">Not Started</x:t>
        </x:is>
      </x:c>
      <x:c r="L473" s="7" t="inlineStr">
        <x:is>
          <x:t xml:space="preserve"/>
        </x:is>
      </x:c>
      <x:c r="M473" s="6" t="inlineStr">
        <x:is>
          <x:t xml:space="preserve"/>
        </x:is>
      </x:c>
    </x:row>
    <x:row r="474" ht="35" customHeight="1">
      <x:c r="A474" s="7" t="inlineStr">
        <x:is>
          <x:t xml:space="preserve">P202608-0473</x:t>
        </x:is>
      </x:c>
      <x:c r="B474" s="7" t="n">
        <x:v>2026</x:v>
      </x:c>
      <x:c r="C474" s="7" t="inlineStr">
        <x:is>
          <x:t xml:space="preserve">Aug</x:t>
        </x:is>
      </x:c>
      <x:c r="D474" s="7" t="inlineStr">
        <x:is>
          <x:t xml:space="preserve">MCS53</x:t>
        </x:is>
      </x:c>
      <x:c r="E474" s="6" t="inlineStr">
        <x:is>
          <x:t xml:space="preserve">Deferred and current income tax calculations</x:t>
        </x:is>
      </x:c>
      <x:c r="F474" s="6" t="n"/>
      <x:c r="G474" s="6" t="inlineStr">
        <x:is>
          <x:t xml:space="preserve"/>
        </x:is>
      </x:c>
      <x:c r="H474" s="7" t="inlineStr">
        <x:is>
          <x:t xml:space="preserve">Operating Effectiveness</x:t>
        </x:is>
      </x:c>
      <x:c r="I474" s="7" t="inlineStr">
        <x:is>
          <x:t xml:space="preserve"/>
        </x:is>
      </x:c>
      <x:c r="J474" s="8" t="n">
        <x:v>46249</x:v>
      </x:c>
      <x:c r="K474" s="7" t="inlineStr">
        <x:is>
          <x:t xml:space="preserve">Not Started</x:t>
        </x:is>
      </x:c>
      <x:c r="L474" s="7" t="inlineStr">
        <x:is>
          <x:t xml:space="preserve"/>
        </x:is>
      </x:c>
      <x:c r="M474" s="6" t="inlineStr">
        <x:is>
          <x:t xml:space="preserve"/>
        </x:is>
      </x:c>
    </x:row>
    <x:row r="475" ht="35" customHeight="1">
      <x:c r="A475" s="7" t="inlineStr">
        <x:is>
          <x:t xml:space="preserve">P202608-0474</x:t>
        </x:is>
      </x:c>
      <x:c r="B475" s="7" t="n">
        <x:v>2026</x:v>
      </x:c>
      <x:c r="C475" s="7" t="inlineStr">
        <x:is>
          <x:t xml:space="preserve">Aug</x:t>
        </x:is>
      </x:c>
      <x:c r="D475" s="7" t="inlineStr">
        <x:is>
          <x:t xml:space="preserve">MCS54</x:t>
        </x:is>
      </x:c>
      <x:c r="E475" s="6" t="inlineStr">
        <x:is>
          <x:t xml:space="preserve">Transfer pricing</x:t>
        </x:is>
      </x:c>
      <x:c r="F475" s="6" t="n"/>
      <x:c r="G475" s="6" t="inlineStr">
        <x:is>
          <x:t xml:space="preserve"/>
        </x:is>
      </x:c>
      <x:c r="H475" s="7" t="inlineStr">
        <x:is>
          <x:t xml:space="preserve">Operating Effectiveness</x:t>
        </x:is>
      </x:c>
      <x:c r="I475" s="7" t="inlineStr">
        <x:is>
          <x:t xml:space="preserve"/>
        </x:is>
      </x:c>
      <x:c r="J475" s="8" t="n">
        <x:v>46249</x:v>
      </x:c>
      <x:c r="K475" s="7" t="inlineStr">
        <x:is>
          <x:t xml:space="preserve">Not Started</x:t>
        </x:is>
      </x:c>
      <x:c r="L475" s="7" t="inlineStr">
        <x:is>
          <x:t xml:space="preserve"/>
        </x:is>
      </x:c>
      <x:c r="M475" s="6" t="inlineStr">
        <x:is>
          <x:t xml:space="preserve"/>
        </x:is>
      </x:c>
    </x:row>
    <x:row r="476" ht="35" customHeight="1">
      <x:c r="A476" s="7" t="inlineStr">
        <x:is>
          <x:t xml:space="preserve">P202608-0475</x:t>
        </x:is>
      </x:c>
      <x:c r="B476" s="7" t="n">
        <x:v>2026</x:v>
      </x:c>
      <x:c r="C476" s="7" t="inlineStr">
        <x:is>
          <x:t xml:space="preserve">Aug</x:t>
        </x:is>
      </x:c>
      <x:c r="D476" s="7" t="inlineStr">
        <x:is>
          <x:t xml:space="preserve">MCS55</x:t>
        </x:is>
      </x:c>
      <x:c r="E476" s="6" t="inlineStr">
        <x:is>
          <x:t xml:space="preserve">Non-income (indirect) taxes</x:t>
        </x:is>
      </x:c>
      <x:c r="F476" s="6" t="n"/>
      <x:c r="G476" s="6" t="inlineStr">
        <x:is>
          <x:t xml:space="preserve"/>
        </x:is>
      </x:c>
      <x:c r="H476" s="7" t="inlineStr">
        <x:is>
          <x:t xml:space="preserve">Operating Effectiveness</x:t>
        </x:is>
      </x:c>
      <x:c r="I476" s="7" t="inlineStr">
        <x:is>
          <x:t xml:space="preserve"/>
        </x:is>
      </x:c>
      <x:c r="J476" s="8" t="n">
        <x:v>46249</x:v>
      </x:c>
      <x:c r="K476" s="7" t="inlineStr">
        <x:is>
          <x:t xml:space="preserve">Not Started</x:t>
        </x:is>
      </x:c>
      <x:c r="L476" s="7" t="inlineStr">
        <x:is>
          <x:t xml:space="preserve"/>
        </x:is>
      </x:c>
      <x:c r="M476" s="6" t="inlineStr">
        <x:is>
          <x:t xml:space="preserve"/>
        </x:is>
      </x:c>
    </x:row>
    <x:row r="477" ht="35" customHeight="1">
      <x:c r="A477" s="7" t="inlineStr">
        <x:is>
          <x:t xml:space="preserve">P202608-0476</x:t>
        </x:is>
      </x:c>
      <x:c r="B477" s="7" t="n">
        <x:v>2026</x:v>
      </x:c>
      <x:c r="C477" s="7" t="inlineStr">
        <x:is>
          <x:t xml:space="preserve">Aug</x:t>
        </x:is>
      </x:c>
      <x:c r="D477" s="7" t="inlineStr">
        <x:is>
          <x:t xml:space="preserve">MCS56</x:t>
        </x:is>
      </x:c>
      <x:c r="E477" s="6" t="inlineStr">
        <x:is>
          <x:t xml:space="preserve">Bank relations</x:t>
        </x:is>
      </x:c>
      <x:c r="F477" s="6" t="n"/>
      <x:c r="G477" s="6" t="inlineStr">
        <x:is>
          <x:t xml:space="preserve"/>
        </x:is>
      </x:c>
      <x:c r="H477" s="7" t="inlineStr">
        <x:is>
          <x:t xml:space="preserve">Operating Effectiveness</x:t>
        </x:is>
      </x:c>
      <x:c r="I477" s="7" t="inlineStr">
        <x:is>
          <x:t xml:space="preserve"/>
        </x:is>
      </x:c>
      <x:c r="J477" s="8" t="n">
        <x:v>46249</x:v>
      </x:c>
      <x:c r="K477" s="7" t="inlineStr">
        <x:is>
          <x:t xml:space="preserve">Not Started</x:t>
        </x:is>
      </x:c>
      <x:c r="L477" s="7" t="inlineStr">
        <x:is>
          <x:t xml:space="preserve"/>
        </x:is>
      </x:c>
      <x:c r="M477" s="6" t="inlineStr">
        <x:is>
          <x:t xml:space="preserve"/>
        </x:is>
      </x:c>
    </x:row>
    <x:row r="478" ht="35" customHeight="1">
      <x:c r="A478" s="7" t="inlineStr">
        <x:is>
          <x:t xml:space="preserve">P202608-0477</x:t>
        </x:is>
      </x:c>
      <x:c r="B478" s="7" t="n">
        <x:v>2026</x:v>
      </x:c>
      <x:c r="C478" s="7" t="inlineStr">
        <x:is>
          <x:t xml:space="preserve">Aug</x:t>
        </x:is>
      </x:c>
      <x:c r="D478" s="7" t="inlineStr">
        <x:is>
          <x:t xml:space="preserve">MCS57</x:t>
        </x:is>
      </x:c>
      <x:c r="E478" s="6" t="inlineStr">
        <x:is>
          <x:t xml:space="preserve">Cash transactions are not permitted without Regional Controller approval</x:t>
        </x:is>
      </x:c>
      <x:c r="F478" s="6" t="n"/>
      <x:c r="G478" s="6" t="inlineStr">
        <x:is>
          <x:t xml:space="preserve"/>
        </x:is>
      </x:c>
      <x:c r="H478" s="7" t="inlineStr">
        <x:is>
          <x:t xml:space="preserve">Operating Effectiveness</x:t>
        </x:is>
      </x:c>
      <x:c r="I478" s="7" t="inlineStr">
        <x:is>
          <x:t xml:space="preserve"/>
        </x:is>
      </x:c>
      <x:c r="J478" s="8" t="n">
        <x:v>46249</x:v>
      </x:c>
      <x:c r="K478" s="7" t="inlineStr">
        <x:is>
          <x:t xml:space="preserve">Not Started</x:t>
        </x:is>
      </x:c>
      <x:c r="L478" s="7" t="inlineStr">
        <x:is>
          <x:t xml:space="preserve"/>
        </x:is>
      </x:c>
      <x:c r="M478" s="6" t="inlineStr">
        <x:is>
          <x:t xml:space="preserve"/>
        </x:is>
      </x:c>
    </x:row>
    <x:row r="479" ht="35" customHeight="1">
      <x:c r="A479" s="7" t="inlineStr">
        <x:is>
          <x:t xml:space="preserve">P202608-0478</x:t>
        </x:is>
      </x:c>
      <x:c r="B479" s="7" t="n">
        <x:v>2026</x:v>
      </x:c>
      <x:c r="C479" s="7" t="inlineStr">
        <x:is>
          <x:t xml:space="preserve">Aug</x:t>
        </x:is>
      </x:c>
      <x:c r="D479" s="7" t="inlineStr">
        <x:is>
          <x:t xml:space="preserve">MCS58</x:t>
        </x:is>
      </x:c>
      <x:c r="E479" s="6" t="inlineStr">
        <x:is>
          <x:t xml:space="preserve">Secure payment means</x:t>
        </x:is>
      </x:c>
      <x:c r="F479" s="6" t="n"/>
      <x:c r="G479" s="6" t="inlineStr">
        <x:is>
          <x:t xml:space="preserve"/>
        </x:is>
      </x:c>
      <x:c r="H479" s="7" t="inlineStr">
        <x:is>
          <x:t xml:space="preserve">Operating Effectiveness</x:t>
        </x:is>
      </x:c>
      <x:c r="I479" s="7" t="inlineStr">
        <x:is>
          <x:t xml:space="preserve"/>
        </x:is>
      </x:c>
      <x:c r="J479" s="8" t="n">
        <x:v>46249</x:v>
      </x:c>
      <x:c r="K479" s="7" t="inlineStr">
        <x:is>
          <x:t xml:space="preserve">Not Started</x:t>
        </x:is>
      </x:c>
      <x:c r="L479" s="7" t="inlineStr">
        <x:is>
          <x:t xml:space="preserve"/>
        </x:is>
      </x:c>
      <x:c r="M479" s="6" t="inlineStr">
        <x:is>
          <x:t xml:space="preserve"/>
        </x:is>
      </x:c>
    </x:row>
    <x:row r="480" ht="35" customHeight="1">
      <x:c r="A480" s="7" t="inlineStr">
        <x:is>
          <x:t xml:space="preserve">P202608-0479</x:t>
        </x:is>
      </x:c>
      <x:c r="B480" s="7" t="n">
        <x:v>2026</x:v>
      </x:c>
      <x:c r="C480" s="7" t="inlineStr">
        <x:is>
          <x:t xml:space="preserve">Aug</x:t>
        </x:is>
      </x:c>
      <x:c r="D480" s="7" t="inlineStr">
        <x:is>
          <x:t xml:space="preserve">MCS59</x:t>
        </x:is>
      </x:c>
      <x:c r="E480" s="6" t="inlineStr">
        <x:is>
          <x:t xml:space="preserve">Financial instruments, borrowings, commitments and working capital schemes</x:t>
        </x:is>
      </x:c>
      <x:c r="F480" s="6" t="n"/>
      <x:c r="G480" s="6" t="inlineStr">
        <x:is>
          <x:t xml:space="preserve"/>
        </x:is>
      </x:c>
      <x:c r="H480" s="7" t="inlineStr">
        <x:is>
          <x:t xml:space="preserve">Operating Effectiveness</x:t>
        </x:is>
      </x:c>
      <x:c r="I480" s="7" t="inlineStr">
        <x:is>
          <x:t xml:space="preserve"/>
        </x:is>
      </x:c>
      <x:c r="J480" s="8" t="n">
        <x:v>46249</x:v>
      </x:c>
      <x:c r="K480" s="7" t="inlineStr">
        <x:is>
          <x:t xml:space="preserve">Not Started</x:t>
        </x:is>
      </x:c>
      <x:c r="L480" s="7" t="inlineStr">
        <x:is>
          <x:t xml:space="preserve"/>
        </x:is>
      </x:c>
      <x:c r="M480" s="6" t="inlineStr">
        <x:is>
          <x:t xml:space="preserve"/>
        </x:is>
      </x:c>
    </x:row>
    <x:row r="481" ht="35" customHeight="1">
      <x:c r="A481" s="7" t="inlineStr">
        <x:is>
          <x:t xml:space="preserve">P202608-0480</x:t>
        </x:is>
      </x:c>
      <x:c r="B481" s="7" t="n">
        <x:v>2026</x:v>
      </x:c>
      <x:c r="C481" s="7" t="inlineStr">
        <x:is>
          <x:t xml:space="preserve">Aug</x:t>
        </x:is>
      </x:c>
      <x:c r="D481" s="7" t="inlineStr">
        <x:is>
          <x:t xml:space="preserve">MCS60</x:t>
        </x:is>
      </x:c>
      <x:c r="E481" s="6" t="inlineStr">
        <x:is>
          <x:t xml:space="preserve">Forex, interest rate, commodities risks monitoring and hedging</x:t>
        </x:is>
      </x:c>
      <x:c r="F481" s="6" t="n"/>
      <x:c r="G481" s="6" t="inlineStr">
        <x:is>
          <x:t xml:space="preserve"/>
        </x:is>
      </x:c>
      <x:c r="H481" s="7" t="inlineStr">
        <x:is>
          <x:t xml:space="preserve">Operating Effectiveness</x:t>
        </x:is>
      </x:c>
      <x:c r="I481" s="7" t="inlineStr">
        <x:is>
          <x:t xml:space="preserve"/>
        </x:is>
      </x:c>
      <x:c r="J481" s="8" t="n">
        <x:v>46249</x:v>
      </x:c>
      <x:c r="K481" s="7" t="inlineStr">
        <x:is>
          <x:t xml:space="preserve">Not Started</x:t>
        </x:is>
      </x:c>
      <x:c r="L481" s="7" t="inlineStr">
        <x:is>
          <x:t xml:space="preserve"/>
        </x:is>
      </x:c>
      <x:c r="M481" s="6" t="inlineStr">
        <x:is>
          <x:t xml:space="preserve"/>
        </x:is>
      </x:c>
    </x:row>
    <x:row r="482" ht="35" customHeight="1">
      <x:c r="A482" s="7" t="inlineStr">
        <x:is>
          <x:t xml:space="preserve">P202609-0481</x:t>
        </x:is>
      </x:c>
      <x:c r="B482" s="7" t="n">
        <x:v>2026</x:v>
      </x:c>
      <x:c r="C482" s="7" t="inlineStr">
        <x:is>
          <x:t xml:space="preserve">Sep</x:t>
        </x:is>
      </x:c>
      <x:c r="D482" s="7" t="inlineStr">
        <x:is>
          <x:t xml:space="preserve">MCS01</x:t>
        </x:is>
      </x:c>
      <x:c r="E482" s="6" t="inlineStr">
        <x:is>
          <x:t xml:space="preserve">Communication and promotion of the Code of Business Conduct and speak-up culture</x:t>
        </x:is>
      </x:c>
      <x:c r="F482" s="6" t="inlineStr">
        <x:is>
          <x:t xml:space="preserve">Omoyemi Tuga Olamide Ayo-Ogunlade </x:t>
        </x:is>
      </x:c>
      <x:c r="G482" s="6" t="inlineStr">
        <x:is>
          <x:t xml:space="preserve"/>
        </x:is>
      </x:c>
      <x:c r="H482" s="7" t="inlineStr">
        <x:is>
          <x:t xml:space="preserve">Operating Effectiveness</x:t>
        </x:is>
      </x:c>
      <x:c r="I482" s="7" t="inlineStr">
        <x:is>
          <x:t xml:space="preserve"/>
        </x:is>
      </x:c>
      <x:c r="J482" s="8" t="n">
        <x:v>46280</x:v>
      </x:c>
      <x:c r="K482" s="7" t="inlineStr">
        <x:is>
          <x:t xml:space="preserve">Not Started</x:t>
        </x:is>
      </x:c>
      <x:c r="L482" s="7" t="inlineStr">
        <x:is>
          <x:t xml:space="preserve"/>
        </x:is>
      </x:c>
      <x:c r="M482" s="6" t="inlineStr">
        <x:is>
          <x:t xml:space="preserve"/>
        </x:is>
      </x:c>
    </x:row>
    <x:row r="483" ht="35" customHeight="1">
      <x:c r="A483" s="7" t="inlineStr">
        <x:is>
          <x:t xml:space="preserve">P202609-0482</x:t>
        </x:is>
      </x:c>
      <x:c r="B483" s="7" t="n">
        <x:v>2026</x:v>
      </x:c>
      <x:c r="C483" s="7" t="inlineStr">
        <x:is>
          <x:t xml:space="preserve">Sep</x:t>
        </x:is>
      </x:c>
      <x:c r="D483" s="7" t="inlineStr">
        <x:is>
          <x:t xml:space="preserve">MCS02</x:t>
        </x:is>
      </x:c>
      <x:c r="E483" s="6" t="inlineStr">
        <x:is>
          <x:t xml:space="preserve">Compliance with Fair Competition laws and requirements</x:t>
        </x:is>
      </x:c>
      <x:c r="F483" s="6" t="inlineStr">
        <x:is>
          <x:t xml:space="preserve">Mary Waititu</x:t>
        </x:is>
      </x:c>
      <x:c r="G483" s="6" t="inlineStr">
        <x:is>
          <x:t xml:space="preserve"/>
        </x:is>
      </x:c>
      <x:c r="H483" s="7" t="inlineStr">
        <x:is>
          <x:t xml:space="preserve">Operating Effectiveness</x:t>
        </x:is>
      </x:c>
      <x:c r="I483" s="7" t="inlineStr">
        <x:is>
          <x:t xml:space="preserve"/>
        </x:is>
      </x:c>
      <x:c r="J483" s="8" t="n">
        <x:v>46280</x:v>
      </x:c>
      <x:c r="K483" s="7" t="inlineStr">
        <x:is>
          <x:t xml:space="preserve">Not Started</x:t>
        </x:is>
      </x:c>
      <x:c r="L483" s="7" t="inlineStr">
        <x:is>
          <x:t xml:space="preserve"/>
        </x:is>
      </x:c>
      <x:c r="M483" s="6" t="inlineStr">
        <x:is>
          <x:t xml:space="preserve"/>
        </x:is>
      </x:c>
    </x:row>
    <x:row r="484" ht="35" customHeight="1">
      <x:c r="A484" s="7" t="inlineStr">
        <x:is>
          <x:t xml:space="preserve">P202609-0483</x:t>
        </x:is>
      </x:c>
      <x:c r="B484" s="7" t="n">
        <x:v>2026</x:v>
      </x:c>
      <x:c r="C484" s="7" t="inlineStr">
        <x:is>
          <x:t xml:space="preserve">Sep</x:t>
        </x:is>
      </x:c>
      <x:c r="D484" s="7" t="inlineStr">
        <x:is>
          <x:t xml:space="preserve">MCS03</x:t>
        </x:is>
      </x:c>
      <x:c r="E484" s="6" t="inlineStr">
        <x:is>
          <x:t xml:space="preserve">Related party transactions and conflict of interests</x:t>
        </x:is>
      </x:c>
      <x:c r="F484" s="6" t="inlineStr">
        <x:is>
          <x:t xml:space="preserve">Mary Waititu Godson Iwuozo</x:t>
        </x:is>
      </x:c>
      <x:c r="G484" s="6" t="inlineStr">
        <x:is>
          <x:t xml:space="preserve"/>
        </x:is>
      </x:c>
      <x:c r="H484" s="7" t="inlineStr">
        <x:is>
          <x:t xml:space="preserve">Operating Effectiveness</x:t>
        </x:is>
      </x:c>
      <x:c r="I484" s="7" t="inlineStr">
        <x:is>
          <x:t xml:space="preserve"/>
        </x:is>
      </x:c>
      <x:c r="J484" s="8" t="n">
        <x:v>46280</x:v>
      </x:c>
      <x:c r="K484" s="7" t="inlineStr">
        <x:is>
          <x:t xml:space="preserve">Not Started</x:t>
        </x:is>
      </x:c>
      <x:c r="L484" s="7" t="inlineStr">
        <x:is>
          <x:t xml:space="preserve"/>
        </x:is>
      </x:c>
      <x:c r="M484" s="6" t="inlineStr">
        <x:is>
          <x:t xml:space="preserve"/>
        </x:is>
      </x:c>
    </x:row>
    <x:row r="485" ht="35" customHeight="1">
      <x:c r="A485" s="7" t="inlineStr">
        <x:is>
          <x:t xml:space="preserve">P202609-0484</x:t>
        </x:is>
      </x:c>
      <x:c r="B485" s="7" t="n">
        <x:v>2026</x:v>
      </x:c>
      <x:c r="C485" s="7" t="inlineStr">
        <x:is>
          <x:t xml:space="preserve">Sep</x:t>
        </x:is>
      </x:c>
      <x:c r="D485" s="7" t="inlineStr">
        <x:is>
          <x:t xml:space="preserve">MCS04</x:t>
        </x:is>
      </x:c>
      <x:c r="E485" s="6" t="inlineStr">
        <x:is>
          <x:t xml:space="preserve">Board of Directors secretarial requirements</x:t>
        </x:is>
      </x:c>
      <x:c r="F485" s="6" t="inlineStr">
        <x:is>
          <x:t xml:space="preserve">Mary Waititu Godson Iwuozo</x:t>
        </x:is>
      </x:c>
      <x:c r="G485" s="6" t="inlineStr">
        <x:is>
          <x:t xml:space="preserve"/>
        </x:is>
      </x:c>
      <x:c r="H485" s="7" t="inlineStr">
        <x:is>
          <x:t xml:space="preserve">Operating Effectiveness</x:t>
        </x:is>
      </x:c>
      <x:c r="I485" s="7" t="inlineStr">
        <x:is>
          <x:t xml:space="preserve"/>
        </x:is>
      </x:c>
      <x:c r="J485" s="8" t="n">
        <x:v>46280</x:v>
      </x:c>
      <x:c r="K485" s="7" t="inlineStr">
        <x:is>
          <x:t xml:space="preserve">Not Started</x:t>
        </x:is>
      </x:c>
      <x:c r="L485" s="7" t="inlineStr">
        <x:is>
          <x:t xml:space="preserve"/>
        </x:is>
      </x:c>
      <x:c r="M485" s="6" t="inlineStr">
        <x:is>
          <x:t xml:space="preserve"/>
        </x:is>
      </x:c>
    </x:row>
    <x:row r="486" ht="35" customHeight="1">
      <x:c r="A486" s="7" t="inlineStr">
        <x:is>
          <x:t xml:space="preserve">P202609-0485</x:t>
        </x:is>
      </x:c>
      <x:c r="B486" s="7" t="n">
        <x:v>2026</x:v>
      </x:c>
      <x:c r="C486" s="7" t="inlineStr">
        <x:is>
          <x:t xml:space="preserve">Sep</x:t>
        </x:is>
      </x:c>
      <x:c r="D486" s="7" t="inlineStr">
        <x:is>
          <x:t xml:space="preserve">MCS05</x:t>
        </x:is>
      </x:c>
      <x:c r="E486" s="6" t="inlineStr">
        <x:is>
          <x:t xml:space="preserve">Health, Safety &amp; Environment</x:t>
        </x:is>
      </x:c>
      <x:c r="F486" s="6" t="inlineStr">
        <x:is>
          <x:t xml:space="preserve">Omoyemi Tuga Yomi Jegede</x:t>
        </x:is>
      </x:c>
      <x:c r="G486" s="6" t="inlineStr">
        <x:is>
          <x:t xml:space="preserve"/>
        </x:is>
      </x:c>
      <x:c r="H486" s="7" t="inlineStr">
        <x:is>
          <x:t xml:space="preserve">Operating Effectiveness</x:t>
        </x:is>
      </x:c>
      <x:c r="I486" s="7" t="inlineStr">
        <x:is>
          <x:t xml:space="preserve"/>
        </x:is>
      </x:c>
      <x:c r="J486" s="8" t="n">
        <x:v>46280</x:v>
      </x:c>
      <x:c r="K486" s="7" t="inlineStr">
        <x:is>
          <x:t xml:space="preserve">Not Started</x:t>
        </x:is>
      </x:c>
      <x:c r="L486" s="7" t="inlineStr">
        <x:is>
          <x:t xml:space="preserve"/>
        </x:is>
      </x:c>
      <x:c r="M486" s="6" t="inlineStr">
        <x:is>
          <x:t xml:space="preserve"/>
        </x:is>
      </x:c>
    </x:row>
    <x:row r="487" ht="35" customHeight="1">
      <x:c r="A487" s="7" t="inlineStr">
        <x:is>
          <x:t xml:space="preserve">P202609-0486</x:t>
        </x:is>
      </x:c>
      <x:c r="B487" s="7" t="n">
        <x:v>2026</x:v>
      </x:c>
      <x:c r="C487" s="7" t="inlineStr">
        <x:is>
          <x:t xml:space="preserve">Sep</x:t>
        </x:is>
      </x:c>
      <x:c r="D487" s="7" t="inlineStr">
        <x:is>
          <x:t xml:space="preserve">MCS06</x:t>
        </x:is>
      </x:c>
      <x:c r="E487" s="6" t="inlineStr">
        <x:is>
          <x:t xml:space="preserve">Risk assessment</x:t>
        </x:is>
      </x:c>
      <x:c r="F487" s="6" t="inlineStr">
        <x:is>
          <x:t xml:space="preserve">Oluwaseun Oyedepo</x:t>
        </x:is>
      </x:c>
      <x:c r="G487" s="6" t="inlineStr">
        <x:is>
          <x:t xml:space="preserve"/>
        </x:is>
      </x:c>
      <x:c r="H487" s="7" t="inlineStr">
        <x:is>
          <x:t xml:space="preserve">Operating Effectiveness</x:t>
        </x:is>
      </x:c>
      <x:c r="I487" s="7" t="inlineStr">
        <x:is>
          <x:t xml:space="preserve"/>
        </x:is>
      </x:c>
      <x:c r="J487" s="8" t="n">
        <x:v>46280</x:v>
      </x:c>
      <x:c r="K487" s="7" t="inlineStr">
        <x:is>
          <x:t xml:space="preserve">Not Started</x:t>
        </x:is>
      </x:c>
      <x:c r="L487" s="7" t="inlineStr">
        <x:is>
          <x:t xml:space="preserve"/>
        </x:is>
      </x:c>
      <x:c r="M487" s="6" t="inlineStr">
        <x:is>
          <x:t xml:space="preserve"/>
        </x:is>
      </x:c>
    </x:row>
    <x:row r="488" ht="35" customHeight="1">
      <x:c r="A488" s="7" t="inlineStr">
        <x:is>
          <x:t xml:space="preserve">P202609-0487</x:t>
        </x:is>
      </x:c>
      <x:c r="B488" s="7" t="n">
        <x:v>2026</x:v>
      </x:c>
      <x:c r="C488" s="7" t="inlineStr">
        <x:is>
          <x:t xml:space="preserve">Sep</x:t>
        </x:is>
      </x:c>
      <x:c r="D488" s="7" t="inlineStr">
        <x:is>
          <x:t xml:space="preserve">MCS07</x:t>
        </x:is>
      </x:c>
      <x:c r="E488" s="6" t="inlineStr">
        <x:is>
          <x:t xml:space="preserve">Mitigation of business risks - Security</x:t>
        </x:is>
      </x:c>
      <x:c r="F488" s="6" t="inlineStr">
        <x:is>
          <x:t xml:space="preserve">Olamide Ayo-Ogunlade Obinna Ojimba</x:t>
        </x:is>
      </x:c>
      <x:c r="G488" s="6" t="inlineStr">
        <x:is>
          <x:t xml:space="preserve"/>
        </x:is>
      </x:c>
      <x:c r="H488" s="7" t="inlineStr">
        <x:is>
          <x:t xml:space="preserve">Operating Effectiveness</x:t>
        </x:is>
      </x:c>
      <x:c r="I488" s="7" t="inlineStr">
        <x:is>
          <x:t xml:space="preserve"/>
        </x:is>
      </x:c>
      <x:c r="J488" s="8" t="n">
        <x:v>46280</x:v>
      </x:c>
      <x:c r="K488" s="7" t="inlineStr">
        <x:is>
          <x:t xml:space="preserve">Not Started</x:t>
        </x:is>
      </x:c>
      <x:c r="L488" s="7" t="inlineStr">
        <x:is>
          <x:t xml:space="preserve"/>
        </x:is>
      </x:c>
      <x:c r="M488" s="6" t="inlineStr">
        <x:is>
          <x:t xml:space="preserve"/>
        </x:is>
      </x:c>
    </x:row>
    <x:row r="489" ht="35" customHeight="1">
      <x:c r="A489" s="7" t="inlineStr">
        <x:is>
          <x:t xml:space="preserve">P202609-0488</x:t>
        </x:is>
      </x:c>
      <x:c r="B489" s="7" t="n">
        <x:v>2026</x:v>
      </x:c>
      <x:c r="C489" s="7" t="inlineStr">
        <x:is>
          <x:t xml:space="preserve">Sep</x:t>
        </x:is>
      </x:c>
      <x:c r="D489" s="7" t="inlineStr">
        <x:is>
          <x:t xml:space="preserve">MCS08</x:t>
        </x:is>
      </x:c>
      <x:c r="E489" s="6" t="inlineStr">
        <x:is>
          <x:t xml:space="preserve">Mitigation of business risks - Group insurance</x:t>
        </x:is>
      </x:c>
      <x:c r="F489" s="6" t="inlineStr">
        <x:is>
          <x:t xml:space="preserve">Victory Olumuyiwa</x:t>
        </x:is>
      </x:c>
      <x:c r="G489" s="6" t="inlineStr">
        <x:is>
          <x:t xml:space="preserve"/>
        </x:is>
      </x:c>
      <x:c r="H489" s="7" t="inlineStr">
        <x:is>
          <x:t xml:space="preserve">Operating Effectiveness</x:t>
        </x:is>
      </x:c>
      <x:c r="I489" s="7" t="inlineStr">
        <x:is>
          <x:t xml:space="preserve"/>
        </x:is>
      </x:c>
      <x:c r="J489" s="8" t="n">
        <x:v>46280</x:v>
      </x:c>
      <x:c r="K489" s="7" t="inlineStr">
        <x:is>
          <x:t xml:space="preserve">Not Started</x:t>
        </x:is>
      </x:c>
      <x:c r="L489" s="7" t="inlineStr">
        <x:is>
          <x:t xml:space="preserve"/>
        </x:is>
      </x:c>
      <x:c r="M489" s="6" t="inlineStr">
        <x:is>
          <x:t xml:space="preserve"/>
        </x:is>
      </x:c>
    </x:row>
    <x:row r="490" ht="35" customHeight="1">
      <x:c r="A490" s="7" t="inlineStr">
        <x:is>
          <x:t xml:space="preserve">P202609-0489</x:t>
        </x:is>
      </x:c>
      <x:c r="B490" s="7" t="n">
        <x:v>2026</x:v>
      </x:c>
      <x:c r="C490" s="7" t="inlineStr">
        <x:is>
          <x:t xml:space="preserve">Sep</x:t>
        </x:is>
      </x:c>
      <x:c r="D490" s="7" t="inlineStr">
        <x:is>
          <x:t xml:space="preserve">MCS09</x:t>
        </x:is>
      </x:c>
      <x:c r="E490" s="6" t="inlineStr">
        <x:is>
          <x:t xml:space="preserve">Mitigation of business risks - Business Resilience System</x:t>
        </x:is>
      </x:c>
      <x:c r="F490" s="6" t="inlineStr">
        <x:is>
          <x:t xml:space="preserve">Oluwaseun Oyedepo</x:t>
        </x:is>
      </x:c>
      <x:c r="G490" s="6" t="inlineStr">
        <x:is>
          <x:t xml:space="preserve"/>
        </x:is>
      </x:c>
      <x:c r="H490" s="7" t="inlineStr">
        <x:is>
          <x:t xml:space="preserve">Operating Effectiveness</x:t>
        </x:is>
      </x:c>
      <x:c r="I490" s="7" t="inlineStr">
        <x:is>
          <x:t xml:space="preserve"/>
        </x:is>
      </x:c>
      <x:c r="J490" s="8" t="n">
        <x:v>46280</x:v>
      </x:c>
      <x:c r="K490" s="7" t="inlineStr">
        <x:is>
          <x:t xml:space="preserve">Not Started</x:t>
        </x:is>
      </x:c>
      <x:c r="L490" s="7" t="inlineStr">
        <x:is>
          <x:t xml:space="preserve"/>
        </x:is>
      </x:c>
      <x:c r="M490" s="6" t="inlineStr">
        <x:is>
          <x:t xml:space="preserve"/>
        </x:is>
      </x:c>
    </x:row>
    <x:row r="491" ht="35" customHeight="1">
      <x:c r="A491" s="7" t="inlineStr">
        <x:is>
          <x:t xml:space="preserve">P202609-0490</x:t>
        </x:is>
      </x:c>
      <x:c r="B491" s="7" t="n">
        <x:v>2026</x:v>
      </x:c>
      <x:c r="C491" s="7" t="inlineStr">
        <x:is>
          <x:t xml:space="preserve">Sep</x:t>
        </x:is>
      </x:c>
      <x:c r="D491" s="7" t="inlineStr">
        <x:is>
          <x:t xml:space="preserve">MCS10</x:t>
        </x:is>
      </x:c>
      <x:c r="E491" s="6" t="inlineStr">
        <x:is>
          <x:t xml:space="preserve">Mitigation of business risks - Remediation of deficiencies and non-compliance with MCS</x:t>
        </x:is>
      </x:c>
      <x:c r="F491" s="6" t="inlineStr">
        <x:is>
          <x:t xml:space="preserve">Oluwaseun Oyedepo</x:t>
        </x:is>
      </x:c>
      <x:c r="G491" s="6" t="inlineStr">
        <x:is>
          <x:t xml:space="preserve"/>
        </x:is>
      </x:c>
      <x:c r="H491" s="7" t="inlineStr">
        <x:is>
          <x:t xml:space="preserve">Operating Effectiveness</x:t>
        </x:is>
      </x:c>
      <x:c r="I491" s="7" t="inlineStr">
        <x:is>
          <x:t xml:space="preserve"/>
        </x:is>
      </x:c>
      <x:c r="J491" s="8" t="n">
        <x:v>46280</x:v>
      </x:c>
      <x:c r="K491" s="7" t="inlineStr">
        <x:is>
          <x:t xml:space="preserve">Not Started</x:t>
        </x:is>
      </x:c>
      <x:c r="L491" s="7" t="inlineStr">
        <x:is>
          <x:t xml:space="preserve"/>
        </x:is>
      </x:c>
      <x:c r="M491" s="6" t="inlineStr">
        <x:is>
          <x:t xml:space="preserve"/>
        </x:is>
      </x:c>
    </x:row>
    <x:row r="492" ht="35" customHeight="1">
      <x:c r="A492" s="7" t="inlineStr">
        <x:is>
          <x:t xml:space="preserve">P202609-0491</x:t>
        </x:is>
      </x:c>
      <x:c r="B492" s="7" t="n">
        <x:v>2026</x:v>
      </x:c>
      <x:c r="C492" s="7" t="inlineStr">
        <x:is>
          <x:t xml:space="preserve">Sep</x:t>
        </x:is>
      </x:c>
      <x:c r="D492" s="7" t="inlineStr">
        <x:is>
          <x:t xml:space="preserve">MCS11</x:t>
        </x:is>
      </x:c>
      <x:c r="E492" s="6" t="inlineStr">
        <x:is>
          <x:t xml:space="preserve">Personal data protection</x:t>
        </x:is>
      </x:c>
      <x:c r="F492" s="6" t="inlineStr">
        <x:is>
          <x:t xml:space="preserve">Olamide Ayo-Ogunlade @</x:t>
        </x:is>
      </x:c>
      <x:c r="G492" s="6" t="inlineStr">
        <x:is>
          <x:t xml:space="preserve"/>
        </x:is>
      </x:c>
      <x:c r="H492" s="7" t="inlineStr">
        <x:is>
          <x:t xml:space="preserve">Operating Effectiveness</x:t>
        </x:is>
      </x:c>
      <x:c r="I492" s="7" t="inlineStr">
        <x:is>
          <x:t xml:space="preserve"/>
        </x:is>
      </x:c>
      <x:c r="J492" s="8" t="n">
        <x:v>46280</x:v>
      </x:c>
      <x:c r="K492" s="7" t="inlineStr">
        <x:is>
          <x:t xml:space="preserve">Not Started</x:t>
        </x:is>
      </x:c>
      <x:c r="L492" s="7" t="inlineStr">
        <x:is>
          <x:t xml:space="preserve"/>
        </x:is>
      </x:c>
      <x:c r="M492" s="6" t="inlineStr">
        <x:is>
          <x:t xml:space="preserve"/>
        </x:is>
      </x:c>
    </x:row>
    <x:row r="493" ht="35" customHeight="1">
      <x:c r="A493" s="7" t="inlineStr">
        <x:is>
          <x:t xml:space="preserve">P202609-0492</x:t>
        </x:is>
      </x:c>
      <x:c r="B493" s="7" t="n">
        <x:v>2026</x:v>
      </x:c>
      <x:c r="C493" s="7" t="inlineStr">
        <x:is>
          <x:t xml:space="preserve">Sep</x:t>
        </x:is>
      </x:c>
      <x:c r="D493" s="7" t="inlineStr">
        <x:is>
          <x:t xml:space="preserve">MCS12</x:t>
        </x:is>
      </x:c>
      <x:c r="E493" s="6" t="inlineStr">
        <x:is>
          <x:t xml:space="preserve">Segregation of duties and user access review</x:t>
        </x:is>
      </x:c>
      <x:c r="F493" s="6" t="inlineStr">
        <x:is>
          <x:t xml:space="preserve">Theophilus Okolie</x:t>
        </x:is>
      </x:c>
      <x:c r="G493" s="6" t="inlineStr">
        <x:is>
          <x:t xml:space="preserve"/>
        </x:is>
      </x:c>
      <x:c r="H493" s="7" t="inlineStr">
        <x:is>
          <x:t xml:space="preserve">Operating Effectiveness</x:t>
        </x:is>
      </x:c>
      <x:c r="I493" s="7" t="inlineStr">
        <x:is>
          <x:t xml:space="preserve"/>
        </x:is>
      </x:c>
      <x:c r="J493" s="8" t="n">
        <x:v>46280</x:v>
      </x:c>
      <x:c r="K493" s="7" t="inlineStr">
        <x:is>
          <x:t xml:space="preserve">Not Started</x:t>
        </x:is>
      </x:c>
      <x:c r="L493" s="7" t="inlineStr">
        <x:is>
          <x:t xml:space="preserve"/>
        </x:is>
      </x:c>
      <x:c r="M493" s="6" t="inlineStr">
        <x:is>
          <x:t xml:space="preserve"/>
        </x:is>
      </x:c>
    </x:row>
    <x:row r="494" ht="35" customHeight="1">
      <x:c r="A494" s="7" t="inlineStr">
        <x:is>
          <x:t xml:space="preserve">P202609-0493</x:t>
        </x:is>
      </x:c>
      <x:c r="B494" s="7" t="n">
        <x:v>2026</x:v>
      </x:c>
      <x:c r="C494" s="7" t="inlineStr">
        <x:is>
          <x:t xml:space="preserve">Sep</x:t>
        </x:is>
      </x:c>
      <x:c r="D494" s="7" t="inlineStr">
        <x:is>
          <x:t xml:space="preserve">MCS13</x:t>
        </x:is>
      </x:c>
      <x:c r="E494" s="6" t="inlineStr">
        <x:is>
          <x:t xml:space="preserve">Delegation of authorities and approval workflows</x:t>
        </x:is>
      </x:c>
      <x:c r="F494" s="6" t="inlineStr">
        <x:is>
          <x:t xml:space="preserve">Ramakant Patil</x:t>
        </x:is>
      </x:c>
      <x:c r="G494" s="6" t="inlineStr">
        <x:is>
          <x:t xml:space="preserve"/>
        </x:is>
      </x:c>
      <x:c r="H494" s="7" t="inlineStr">
        <x:is>
          <x:t xml:space="preserve">Operating Effectiveness</x:t>
        </x:is>
      </x:c>
      <x:c r="I494" s="7" t="inlineStr">
        <x:is>
          <x:t xml:space="preserve"/>
        </x:is>
      </x:c>
      <x:c r="J494" s="8" t="n">
        <x:v>46280</x:v>
      </x:c>
      <x:c r="K494" s="7" t="inlineStr">
        <x:is>
          <x:t xml:space="preserve">Not Started</x:t>
        </x:is>
      </x:c>
      <x:c r="L494" s="7" t="inlineStr">
        <x:is>
          <x:t xml:space="preserve"/>
        </x:is>
      </x:c>
      <x:c r="M494" s="6" t="inlineStr">
        <x:is>
          <x:t xml:space="preserve"/>
        </x:is>
      </x:c>
    </x:row>
    <x:row r="495" ht="35" customHeight="1">
      <x:c r="A495" s="7" t="inlineStr">
        <x:is>
          <x:t xml:space="preserve">P202609-0494</x:t>
        </x:is>
      </x:c>
      <x:c r="B495" s="7" t="n">
        <x:v>2026</x:v>
      </x:c>
      <x:c r="C495" s="7" t="inlineStr">
        <x:is>
          <x:t xml:space="preserve">Sep</x:t>
        </x:is>
      </x:c>
      <x:c r="D495" s="7" t="inlineStr">
        <x:is>
          <x:t xml:space="preserve">MCS14</x:t>
        </x:is>
      </x:c>
      <x:c r="E495" s="6" t="inlineStr">
        <x:is>
          <x:t xml:space="preserve">Litigation disputes</x:t>
        </x:is>
      </x:c>
      <x:c r="F495" s="6" t="inlineStr">
        <x:is>
          <x:t xml:space="preserve">Mary Waititu</x:t>
        </x:is>
      </x:c>
      <x:c r="G495" s="6" t="inlineStr">
        <x:is>
          <x:t xml:space="preserve"/>
        </x:is>
      </x:c>
      <x:c r="H495" s="7" t="inlineStr">
        <x:is>
          <x:t xml:space="preserve">Operating Effectiveness</x:t>
        </x:is>
      </x:c>
      <x:c r="I495" s="7" t="inlineStr">
        <x:is>
          <x:t xml:space="preserve"/>
        </x:is>
      </x:c>
      <x:c r="J495" s="8" t="n">
        <x:v>46280</x:v>
      </x:c>
      <x:c r="K495" s="7" t="inlineStr">
        <x:is>
          <x:t xml:space="preserve">Not Started</x:t>
        </x:is>
      </x:c>
      <x:c r="L495" s="7" t="inlineStr">
        <x:is>
          <x:t xml:space="preserve"/>
        </x:is>
      </x:c>
      <x:c r="M495" s="6" t="inlineStr">
        <x:is>
          <x:t xml:space="preserve"/>
        </x:is>
      </x:c>
    </x:row>
    <x:row r="496" ht="35" customHeight="1">
      <x:c r="A496" s="7" t="inlineStr">
        <x:is>
          <x:t xml:space="preserve">P202609-0495</x:t>
        </x:is>
      </x:c>
      <x:c r="B496" s="7" t="n">
        <x:v>2026</x:v>
      </x:c>
      <x:c r="C496" s="7" t="inlineStr">
        <x:is>
          <x:t xml:space="preserve">Sep</x:t>
        </x:is>
      </x:c>
      <x:c r="D496" s="7" t="inlineStr">
        <x:is>
          <x:t xml:space="preserve">MCS15</x:t>
        </x:is>
      </x:c>
      <x:c r="E496" s="6" t="inlineStr">
        <x:is>
          <x:t xml:space="preserve">Review of contracts by finance</x:t>
        </x:is>
      </x:c>
      <x:c r="F496" s="6" t="inlineStr">
        <x:is>
          <x:t xml:space="preserve">Ovie Itie</x:t>
        </x:is>
      </x:c>
      <x:c r="G496" s="6" t="inlineStr">
        <x:is>
          <x:t xml:space="preserve"/>
        </x:is>
      </x:c>
      <x:c r="H496" s="7" t="inlineStr">
        <x:is>
          <x:t xml:space="preserve">Operating Effectiveness</x:t>
        </x:is>
      </x:c>
      <x:c r="I496" s="7" t="inlineStr">
        <x:is>
          <x:t xml:space="preserve"/>
        </x:is>
      </x:c>
      <x:c r="J496" s="8" t="n">
        <x:v>46280</x:v>
      </x:c>
      <x:c r="K496" s="7" t="inlineStr">
        <x:is>
          <x:t xml:space="preserve">Not Started</x:t>
        </x:is>
      </x:c>
      <x:c r="L496" s="7" t="inlineStr">
        <x:is>
          <x:t xml:space="preserve"/>
        </x:is>
      </x:c>
      <x:c r="M496" s="6" t="inlineStr">
        <x:is>
          <x:t xml:space="preserve"/>
        </x:is>
      </x:c>
    </x:row>
    <x:row r="497" ht="35" customHeight="1">
      <x:c r="A497" s="7" t="inlineStr">
        <x:is>
          <x:t xml:space="preserve">P202609-0496</x:t>
        </x:is>
      </x:c>
      <x:c r="B497" s="7" t="n">
        <x:v>2026</x:v>
      </x:c>
      <x:c r="C497" s="7" t="inlineStr">
        <x:is>
          <x:t xml:space="preserve">Sep</x:t>
        </x:is>
      </x:c>
      <x:c r="D497" s="7" t="inlineStr">
        <x:is>
          <x:t xml:space="preserve">MCS16</x:t>
        </x:is>
      </x:c>
      <x:c r="E497" s="6" t="inlineStr">
        <x:is>
          <x:t xml:space="preserve">Management of titles and permits</x:t>
        </x:is>
      </x:c>
      <x:c r="F497" s="6" t="n"/>
      <x:c r="G497" s="6" t="inlineStr">
        <x:is>
          <x:t xml:space="preserve"/>
        </x:is>
      </x:c>
      <x:c r="H497" s="7" t="inlineStr">
        <x:is>
          <x:t xml:space="preserve">Operating Effectiveness</x:t>
        </x:is>
      </x:c>
      <x:c r="I497" s="7" t="inlineStr">
        <x:is>
          <x:t xml:space="preserve"/>
        </x:is>
      </x:c>
      <x:c r="J497" s="8" t="n">
        <x:v>46280</x:v>
      </x:c>
      <x:c r="K497" s="7" t="inlineStr">
        <x:is>
          <x:t xml:space="preserve">Not Started</x:t>
        </x:is>
      </x:c>
      <x:c r="L497" s="7" t="inlineStr">
        <x:is>
          <x:t xml:space="preserve"/>
        </x:is>
      </x:c>
      <x:c r="M497" s="6" t="inlineStr">
        <x:is>
          <x:t xml:space="preserve"/>
        </x:is>
      </x:c>
    </x:row>
    <x:row r="498" ht="35" customHeight="1">
      <x:c r="A498" s="7" t="inlineStr">
        <x:is>
          <x:t xml:space="preserve">P202609-0497</x:t>
        </x:is>
      </x:c>
      <x:c r="B498" s="7" t="n">
        <x:v>2026</x:v>
      </x:c>
      <x:c r="C498" s="7" t="inlineStr">
        <x:is>
          <x:t xml:space="preserve">Sep</x:t>
        </x:is>
      </x:c>
      <x:c r="D498" s="7" t="inlineStr">
        <x:is>
          <x:t xml:space="preserve">MCS18</x:t>
        </x:is>
      </x:c>
      <x:c r="E498" s="6" t="inlineStr">
        <x:is>
          <x:t xml:space="preserve">Classification and depreciation of property, plant &amp; equipment</x:t>
        </x:is>
      </x:c>
      <x:c r="F498" s="6" t="n"/>
      <x:c r="G498" s="6" t="inlineStr">
        <x:is>
          <x:t xml:space="preserve"/>
        </x:is>
      </x:c>
      <x:c r="H498" s="7" t="inlineStr">
        <x:is>
          <x:t xml:space="preserve">Operating Effectiveness</x:t>
        </x:is>
      </x:c>
      <x:c r="I498" s="7" t="inlineStr">
        <x:is>
          <x:t xml:space="preserve"/>
        </x:is>
      </x:c>
      <x:c r="J498" s="8" t="n">
        <x:v>46280</x:v>
      </x:c>
      <x:c r="K498" s="7" t="inlineStr">
        <x:is>
          <x:t xml:space="preserve">Not Started</x:t>
        </x:is>
      </x:c>
      <x:c r="L498" s="7" t="inlineStr">
        <x:is>
          <x:t xml:space="preserve"/>
        </x:is>
      </x:c>
      <x:c r="M498" s="6" t="inlineStr">
        <x:is>
          <x:t xml:space="preserve"/>
        </x:is>
      </x:c>
    </x:row>
    <x:row r="499" ht="35" customHeight="1">
      <x:c r="A499" s="7" t="inlineStr">
        <x:is>
          <x:t xml:space="preserve">P202609-0498</x:t>
        </x:is>
      </x:c>
      <x:c r="B499" s="7" t="n">
        <x:v>2026</x:v>
      </x:c>
      <x:c r="C499" s="7" t="inlineStr">
        <x:is>
          <x:t xml:space="preserve">Sep</x:t>
        </x:is>
      </x:c>
      <x:c r="D499" s="7" t="inlineStr">
        <x:is>
          <x:t xml:space="preserve">MCS19</x:t>
        </x:is>
      </x:c>
      <x:c r="E499" s="6" t="inlineStr">
        <x:is>
          <x:t xml:space="preserve">Physical verification of Fixed Asset</x:t>
        </x:is>
      </x:c>
      <x:c r="F499" s="6" t="n"/>
      <x:c r="G499" s="6" t="inlineStr">
        <x:is>
          <x:t xml:space="preserve"/>
        </x:is>
      </x:c>
      <x:c r="H499" s="7" t="inlineStr">
        <x:is>
          <x:t xml:space="preserve">Operating Effectiveness</x:t>
        </x:is>
      </x:c>
      <x:c r="I499" s="7" t="inlineStr">
        <x:is>
          <x:t xml:space="preserve"/>
        </x:is>
      </x:c>
      <x:c r="J499" s="8" t="n">
        <x:v>46280</x:v>
      </x:c>
      <x:c r="K499" s="7" t="inlineStr">
        <x:is>
          <x:t xml:space="preserve">Not Started</x:t>
        </x:is>
      </x:c>
      <x:c r="L499" s="7" t="inlineStr">
        <x:is>
          <x:t xml:space="preserve"/>
        </x:is>
      </x:c>
      <x:c r="M499" s="6" t="inlineStr">
        <x:is>
          <x:t xml:space="preserve"/>
        </x:is>
      </x:c>
    </x:row>
    <x:row r="500" ht="35" customHeight="1">
      <x:c r="A500" s="7" t="inlineStr">
        <x:is>
          <x:t xml:space="preserve">P202609-0499</x:t>
        </x:is>
      </x:c>
      <x:c r="B500" s="7" t="n">
        <x:v>2026</x:v>
      </x:c>
      <x:c r="C500" s="7" t="inlineStr">
        <x:is>
          <x:t xml:space="preserve">Sep</x:t>
        </x:is>
      </x:c>
      <x:c r="D500" s="7" t="inlineStr">
        <x:is>
          <x:t xml:space="preserve">MCS20</x:t>
        </x:is>
      </x:c>
      <x:c r="E500" s="6" t="inlineStr">
        <x:is>
          <x:t xml:space="preserve">Management of customer and inventory master data</x:t>
        </x:is>
      </x:c>
      <x:c r="F500" s="6" t="inlineStr">
        <x:is>
          <x:t xml:space="preserve">Yomi Jegede</x:t>
        </x:is>
      </x:c>
      <x:c r="G500" s="6" t="inlineStr">
        <x:is>
          <x:t xml:space="preserve"/>
        </x:is>
      </x:c>
      <x:c r="H500" s="7" t="inlineStr">
        <x:is>
          <x:t xml:space="preserve">Operating Effectiveness</x:t>
        </x:is>
      </x:c>
      <x:c r="I500" s="7" t="inlineStr">
        <x:is>
          <x:t xml:space="preserve"/>
        </x:is>
      </x:c>
      <x:c r="J500" s="8" t="n">
        <x:v>46280</x:v>
      </x:c>
      <x:c r="K500" s="7" t="inlineStr">
        <x:is>
          <x:t xml:space="preserve">Not Started</x:t>
        </x:is>
      </x:c>
      <x:c r="L500" s="7" t="inlineStr">
        <x:is>
          <x:t xml:space="preserve"/>
        </x:is>
      </x:c>
      <x:c r="M500" s="6" t="inlineStr">
        <x:is>
          <x:t xml:space="preserve"/>
        </x:is>
      </x:c>
    </x:row>
    <x:row r="501" ht="35" customHeight="1">
      <x:c r="A501" s="7" t="inlineStr">
        <x:is>
          <x:t xml:space="preserve">P202609-0500</x:t>
        </x:is>
      </x:c>
      <x:c r="B501" s="7" t="n">
        <x:v>2026</x:v>
      </x:c>
      <x:c r="C501" s="7" t="inlineStr">
        <x:is>
          <x:t xml:space="preserve">Sep</x:t>
        </x:is>
      </x:c>
      <x:c r="D501" s="7" t="inlineStr">
        <x:is>
          <x:t xml:space="preserve">MCS21</x:t>
        </x:is>
      </x:c>
      <x:c r="E501" s="6" t="inlineStr">
        <x:is>
          <x:t xml:space="preserve">Price management</x:t>
        </x:is>
      </x:c>
      <x:c r="F501" s="6" t="n"/>
      <x:c r="G501" s="6" t="inlineStr">
        <x:is>
          <x:t xml:space="preserve"/>
        </x:is>
      </x:c>
      <x:c r="H501" s="7" t="inlineStr">
        <x:is>
          <x:t xml:space="preserve">Operating Effectiveness</x:t>
        </x:is>
      </x:c>
      <x:c r="I501" s="7" t="inlineStr">
        <x:is>
          <x:t xml:space="preserve"/>
        </x:is>
      </x:c>
      <x:c r="J501" s="8" t="n">
        <x:v>46280</x:v>
      </x:c>
      <x:c r="K501" s="7" t="inlineStr">
        <x:is>
          <x:t xml:space="preserve">Not Started</x:t>
        </x:is>
      </x:c>
      <x:c r="L501" s="7" t="inlineStr">
        <x:is>
          <x:t xml:space="preserve"/>
        </x:is>
      </x:c>
      <x:c r="M501" s="6" t="inlineStr">
        <x:is>
          <x:t xml:space="preserve"/>
        </x:is>
      </x:c>
    </x:row>
    <x:row r="502" ht="35" customHeight="1">
      <x:c r="A502" s="7" t="inlineStr">
        <x:is>
          <x:t xml:space="preserve">P202609-0501</x:t>
        </x:is>
      </x:c>
      <x:c r="B502" s="7" t="n">
        <x:v>2026</x:v>
      </x:c>
      <x:c r="C502" s="7" t="inlineStr">
        <x:is>
          <x:t xml:space="preserve">Sep</x:t>
        </x:is>
      </x:c>
      <x:c r="D502" s="7" t="inlineStr">
        <x:is>
          <x:t xml:space="preserve">MCS22.1</x:t>
        </x:is>
      </x:c>
      <x:c r="E502" s="6" t="inlineStr">
        <x:is>
          <x:t xml:space="preserve">Control of customer credit limits - Easybuy</x:t>
        </x:is>
      </x:c>
      <x:c r="F502" s="6" t="inlineStr">
        <x:is>
          <x:t xml:space="preserve">Omoyemi Tuga Ogunsanmi Opeyemi Listbon</x:t>
        </x:is>
      </x:c>
      <x:c r="G502" s="6" t="inlineStr">
        <x:is>
          <x:t xml:space="preserve"/>
        </x:is>
      </x:c>
      <x:c r="H502" s="7" t="inlineStr">
        <x:is>
          <x:t xml:space="preserve">Operating Effectiveness</x:t>
        </x:is>
      </x:c>
      <x:c r="I502" s="7" t="inlineStr">
        <x:is>
          <x:t xml:space="preserve"/>
        </x:is>
      </x:c>
      <x:c r="J502" s="8" t="n">
        <x:v>46280</x:v>
      </x:c>
      <x:c r="K502" s="7" t="inlineStr">
        <x:is>
          <x:t xml:space="preserve">Not Started</x:t>
        </x:is>
      </x:c>
      <x:c r="L502" s="7" t="inlineStr">
        <x:is>
          <x:t xml:space="preserve"/>
        </x:is>
      </x:c>
      <x:c r="M502" s="6" t="inlineStr">
        <x:is>
          <x:t xml:space="preserve"/>
        </x:is>
      </x:c>
    </x:row>
    <x:row r="503" ht="35" customHeight="1">
      <x:c r="A503" s="7" t="inlineStr">
        <x:is>
          <x:t xml:space="preserve">P202609-0502</x:t>
        </x:is>
      </x:c>
      <x:c r="B503" s="7" t="n">
        <x:v>2026</x:v>
      </x:c>
      <x:c r="C503" s="7" t="inlineStr">
        <x:is>
          <x:t xml:space="preserve">Sep</x:t>
        </x:is>
      </x:c>
      <x:c r="D503" s="7" t="inlineStr">
        <x:is>
          <x:t xml:space="preserve">MCS22.2</x:t>
        </x:is>
      </x:c>
      <x:c r="E503" s="6" t="inlineStr">
        <x:is>
          <x:t xml:space="preserve">Control of customer credit limits - Partnership</x:t>
        </x:is>
      </x:c>
      <x:c r="F503" s="6" t="inlineStr">
        <x:is>
          <x:t xml:space="preserve">Eno Umoh Ameh Bright Agbo</x:t>
        </x:is>
      </x:c>
      <x:c r="G503" s="6" t="inlineStr">
        <x:is>
          <x:t xml:space="preserve"/>
        </x:is>
      </x:c>
      <x:c r="H503" s="7" t="inlineStr">
        <x:is>
          <x:t xml:space="preserve">Operating Effectiveness</x:t>
        </x:is>
      </x:c>
      <x:c r="I503" s="7" t="inlineStr">
        <x:is>
          <x:t xml:space="preserve"/>
        </x:is>
      </x:c>
      <x:c r="J503" s="8" t="n">
        <x:v>46280</x:v>
      </x:c>
      <x:c r="K503" s="7" t="inlineStr">
        <x:is>
          <x:t xml:space="preserve">Not Started</x:t>
        </x:is>
      </x:c>
      <x:c r="L503" s="7" t="inlineStr">
        <x:is>
          <x:t xml:space="preserve"/>
        </x:is>
      </x:c>
      <x:c r="M503" s="6" t="inlineStr">
        <x:is>
          <x:t xml:space="preserve"/>
        </x:is>
      </x:c>
    </x:row>
    <x:row r="504" ht="35" customHeight="1">
      <x:c r="A504" s="7" t="inlineStr">
        <x:is>
          <x:t xml:space="preserve">P202609-0503</x:t>
        </x:is>
      </x:c>
      <x:c r="B504" s="7" t="n">
        <x:v>2026</x:v>
      </x:c>
      <x:c r="C504" s="7" t="inlineStr">
        <x:is>
          <x:t xml:space="preserve">Sep</x:t>
        </x:is>
      </x:c>
      <x:c r="D504" s="7" t="inlineStr">
        <x:is>
          <x:t xml:space="preserve">MCS23</x:t>
        </x:is>
      </x:c>
      <x:c r="E504" s="6" t="inlineStr">
        <x:is>
          <x:t xml:space="preserve">Invoicing </x:t>
        </x:is>
      </x:c>
      <x:c r="F504" s="6" t="inlineStr">
        <x:is>
          <x:t xml:space="preserve">Ramakant Patil</x:t>
        </x:is>
      </x:c>
      <x:c r="G504" s="6" t="inlineStr">
        <x:is>
          <x:t xml:space="preserve"/>
        </x:is>
      </x:c>
      <x:c r="H504" s="7" t="inlineStr">
        <x:is>
          <x:t xml:space="preserve">Operating Effectiveness</x:t>
        </x:is>
      </x:c>
      <x:c r="I504" s="7" t="inlineStr">
        <x:is>
          <x:t xml:space="preserve"/>
        </x:is>
      </x:c>
      <x:c r="J504" s="8" t="n">
        <x:v>46280</x:v>
      </x:c>
      <x:c r="K504" s="7" t="inlineStr">
        <x:is>
          <x:t xml:space="preserve">Not Started</x:t>
        </x:is>
      </x:c>
      <x:c r="L504" s="7" t="inlineStr">
        <x:is>
          <x:t xml:space="preserve"/>
        </x:is>
      </x:c>
      <x:c r="M504" s="6" t="inlineStr">
        <x:is>
          <x:t xml:space="preserve"/>
        </x:is>
      </x:c>
    </x:row>
    <x:row r="505" ht="35" customHeight="1">
      <x:c r="A505" s="7" t="inlineStr">
        <x:is>
          <x:t xml:space="preserve">P202609-0504</x:t>
        </x:is>
      </x:c>
      <x:c r="B505" s="7" t="n">
        <x:v>2026</x:v>
      </x:c>
      <x:c r="C505" s="7" t="inlineStr">
        <x:is>
          <x:t xml:space="preserve">Sep</x:t>
        </x:is>
      </x:c>
      <x:c r="D505" s="7" t="inlineStr">
        <x:is>
          <x:t xml:space="preserve">MCS24</x:t>
        </x:is>
      </x:c>
      <x:c r="E505" s="6" t="inlineStr">
        <x:is>
          <x:t xml:space="preserve">Accounts receivable valuation</x:t>
        </x:is>
      </x:c>
      <x:c r="F505" s="6" t="inlineStr">
        <x:is>
          <x:t xml:space="preserve">Zainab Yunusah Saadu</x:t>
        </x:is>
      </x:c>
      <x:c r="G505" s="6" t="inlineStr">
        <x:is>
          <x:t xml:space="preserve"/>
        </x:is>
      </x:c>
      <x:c r="H505" s="7" t="inlineStr">
        <x:is>
          <x:t xml:space="preserve">Operating Effectiveness</x:t>
        </x:is>
      </x:c>
      <x:c r="I505" s="7" t="inlineStr">
        <x:is>
          <x:t xml:space="preserve"/>
        </x:is>
      </x:c>
      <x:c r="J505" s="8" t="n">
        <x:v>46280</x:v>
      </x:c>
      <x:c r="K505" s="7" t="inlineStr">
        <x:is>
          <x:t xml:space="preserve">Not Started</x:t>
        </x:is>
      </x:c>
      <x:c r="L505" s="7" t="inlineStr">
        <x:is>
          <x:t xml:space="preserve"/>
        </x:is>
      </x:c>
      <x:c r="M505" s="6" t="inlineStr">
        <x:is>
          <x:t xml:space="preserve"/>
        </x:is>
      </x:c>
    </x:row>
    <x:row r="506" ht="35" customHeight="1">
      <x:c r="A506" s="7" t="inlineStr">
        <x:is>
          <x:t xml:space="preserve">P202609-0505</x:t>
        </x:is>
      </x:c>
      <x:c r="B506" s="7" t="n">
        <x:v>2026</x:v>
      </x:c>
      <x:c r="C506" s="7" t="inlineStr">
        <x:is>
          <x:t xml:space="preserve">Sep</x:t>
        </x:is>
      </x:c>
      <x:c r="D506" s="7" t="inlineStr">
        <x:is>
          <x:t xml:space="preserve">MCS25</x:t>
        </x:is>
      </x:c>
      <x:c r="E506" s="6" t="inlineStr">
        <x:is>
          <x:t xml:space="preserve">Execution of onboarding, offboarding, master data management and transfers of workers</x:t>
        </x:is>
      </x:c>
      <x:c r="F506" s="6" t="n"/>
      <x:c r="G506" s="6" t="inlineStr">
        <x:is>
          <x:t xml:space="preserve"/>
        </x:is>
      </x:c>
      <x:c r="H506" s="7" t="inlineStr">
        <x:is>
          <x:t xml:space="preserve">Operating Effectiveness</x:t>
        </x:is>
      </x:c>
      <x:c r="I506" s="7" t="inlineStr">
        <x:is>
          <x:t xml:space="preserve"/>
        </x:is>
      </x:c>
      <x:c r="J506" s="8" t="n">
        <x:v>46280</x:v>
      </x:c>
      <x:c r="K506" s="7" t="inlineStr">
        <x:is>
          <x:t xml:space="preserve">Not Started</x:t>
        </x:is>
      </x:c>
      <x:c r="L506" s="7" t="inlineStr">
        <x:is>
          <x:t xml:space="preserve"/>
        </x:is>
      </x:c>
      <x:c r="M506" s="6" t="inlineStr">
        <x:is>
          <x:t xml:space="preserve"/>
        </x:is>
      </x:c>
    </x:row>
    <x:row r="507" ht="35" customHeight="1">
      <x:c r="A507" s="7" t="inlineStr">
        <x:is>
          <x:t xml:space="preserve">P202609-0506</x:t>
        </x:is>
      </x:c>
      <x:c r="B507" s="7" t="n">
        <x:v>2026</x:v>
      </x:c>
      <x:c r="C507" s="7" t="inlineStr">
        <x:is>
          <x:t xml:space="preserve">Sep</x:t>
        </x:is>
      </x:c>
      <x:c r="D507" s="7" t="inlineStr">
        <x:is>
          <x:t xml:space="preserve">MCS26</x:t>
        </x:is>
      </x:c>
      <x:c r="E507" s="6" t="inlineStr">
        <x:is>
          <x:t xml:space="preserve">Payroll</x:t>
        </x:is>
      </x:c>
      <x:c r="F507" s="6" t="inlineStr">
        <x:is>
          <x:t xml:space="preserve">Olamide Ayo-Ogunlade Oluwatosin Ogunsekan</x:t>
        </x:is>
      </x:c>
      <x:c r="G507" s="6" t="inlineStr">
        <x:is>
          <x:t xml:space="preserve"/>
        </x:is>
      </x:c>
      <x:c r="H507" s="7" t="inlineStr">
        <x:is>
          <x:t xml:space="preserve">Operating Effectiveness</x:t>
        </x:is>
      </x:c>
      <x:c r="I507" s="7" t="inlineStr">
        <x:is>
          <x:t xml:space="preserve"/>
        </x:is>
      </x:c>
      <x:c r="J507" s="8" t="n">
        <x:v>46280</x:v>
      </x:c>
      <x:c r="K507" s="7" t="inlineStr">
        <x:is>
          <x:t xml:space="preserve">Not Started</x:t>
        </x:is>
      </x:c>
      <x:c r="L507" s="7" t="inlineStr">
        <x:is>
          <x:t xml:space="preserve"/>
        </x:is>
      </x:c>
      <x:c r="M507" s="6" t="inlineStr">
        <x:is>
          <x:t xml:space="preserve"/>
        </x:is>
      </x:c>
    </x:row>
    <x:row r="508" ht="35" customHeight="1">
      <x:c r="A508" s="7" t="inlineStr">
        <x:is>
          <x:t xml:space="preserve">P202609-0507</x:t>
        </x:is>
      </x:c>
      <x:c r="B508" s="7" t="n">
        <x:v>2026</x:v>
      </x:c>
      <x:c r="C508" s="7" t="inlineStr">
        <x:is>
          <x:t xml:space="preserve">Sep</x:t>
        </x:is>
      </x:c>
      <x:c r="D508" s="7" t="inlineStr">
        <x:is>
          <x:t xml:space="preserve">MCS27</x:t>
        </x:is>
      </x:c>
      <x:c r="E508" s="6" t="inlineStr">
        <x:is>
          <x:t xml:space="preserve">Compliance with Labour law</x:t>
        </x:is>
      </x:c>
      <x:c r="F508" s="6" t="inlineStr">
        <x:is>
          <x:t xml:space="preserve">Olamide Ayo-Ogunlade Oluwatosin Ogunsekan</x:t>
        </x:is>
      </x:c>
      <x:c r="G508" s="6" t="inlineStr">
        <x:is>
          <x:t xml:space="preserve"/>
        </x:is>
      </x:c>
      <x:c r="H508" s="7" t="inlineStr">
        <x:is>
          <x:t xml:space="preserve">Operating Effectiveness</x:t>
        </x:is>
      </x:c>
      <x:c r="I508" s="7" t="inlineStr">
        <x:is>
          <x:t xml:space="preserve"/>
        </x:is>
      </x:c>
      <x:c r="J508" s="8" t="n">
        <x:v>46280</x:v>
      </x:c>
      <x:c r="K508" s="7" t="inlineStr">
        <x:is>
          <x:t xml:space="preserve">Not Started</x:t>
        </x:is>
      </x:c>
      <x:c r="L508" s="7" t="inlineStr">
        <x:is>
          <x:t xml:space="preserve"/>
        </x:is>
      </x:c>
      <x:c r="M508" s="6" t="inlineStr">
        <x:is>
          <x:t xml:space="preserve"/>
        </x:is>
      </x:c>
    </x:row>
    <x:row r="509" ht="35" customHeight="1">
      <x:c r="A509" s="7" t="inlineStr">
        <x:is>
          <x:t xml:space="preserve">P202609-0508</x:t>
        </x:is>
      </x:c>
      <x:c r="B509" s="7" t="n">
        <x:v>2026</x:v>
      </x:c>
      <x:c r="C509" s="7" t="inlineStr">
        <x:is>
          <x:t xml:space="preserve">Sep</x:t>
        </x:is>
      </x:c>
      <x:c r="D509" s="7" t="inlineStr">
        <x:is>
          <x:t xml:space="preserve">MCS28</x:t>
        </x:is>
      </x:c>
      <x:c r="E509" s="6" t="inlineStr">
        <x:is>
          <x:t xml:space="preserve">Employee pension and benefit plan</x:t>
        </x:is>
      </x:c>
      <x:c r="F509" s="6" t="inlineStr">
        <x:is>
          <x:t xml:space="preserve">Olamide Ayo-Ogunlade Oluwatosin Ogunsekan</x:t>
        </x:is>
      </x:c>
      <x:c r="G509" s="6" t="inlineStr">
        <x:is>
          <x:t xml:space="preserve"/>
        </x:is>
      </x:c>
      <x:c r="H509" s="7" t="inlineStr">
        <x:is>
          <x:t xml:space="preserve">Operating Effectiveness</x:t>
        </x:is>
      </x:c>
      <x:c r="I509" s="7" t="inlineStr">
        <x:is>
          <x:t xml:space="preserve"/>
        </x:is>
      </x:c>
      <x:c r="J509" s="8" t="n">
        <x:v>46280</x:v>
      </x:c>
      <x:c r="K509" s="7" t="inlineStr">
        <x:is>
          <x:t xml:space="preserve">Not Started</x:t>
        </x:is>
      </x:c>
      <x:c r="L509" s="7" t="inlineStr">
        <x:is>
          <x:t xml:space="preserve"/>
        </x:is>
      </x:c>
      <x:c r="M509" s="6" t="inlineStr">
        <x:is>
          <x:t xml:space="preserve"/>
        </x:is>
      </x:c>
    </x:row>
    <x:row r="510" ht="35" customHeight="1">
      <x:c r="A510" s="7" t="inlineStr">
        <x:is>
          <x:t xml:space="preserve">P202609-0509</x:t>
        </x:is>
      </x:c>
      <x:c r="B510" s="7" t="n">
        <x:v>2026</x:v>
      </x:c>
      <x:c r="C510" s="7" t="inlineStr">
        <x:is>
          <x:t xml:space="preserve">Sep</x:t>
        </x:is>
      </x:c>
      <x:c r="D510" s="7" t="inlineStr">
        <x:is>
          <x:t xml:space="preserve">MCS 29</x:t>
        </x:is>
      </x:c>
      <x:c r="E510" s="6" t="inlineStr">
        <x:is>
          <x:t xml:space="preserve">Management of supplier master data</x:t>
        </x:is>
      </x:c>
      <x:c r="F510" s="6" t="inlineStr">
        <x:is>
          <x:t xml:space="preserve">Ramakant Patil Zainab Yunusah Saadu</x:t>
        </x:is>
      </x:c>
      <x:c r="G510" s="6" t="inlineStr">
        <x:is>
          <x:t xml:space="preserve"/>
        </x:is>
      </x:c>
      <x:c r="H510" s="7" t="inlineStr">
        <x:is>
          <x:t xml:space="preserve">Operating Effectiveness</x:t>
        </x:is>
      </x:c>
      <x:c r="I510" s="7" t="inlineStr">
        <x:is>
          <x:t xml:space="preserve"/>
        </x:is>
      </x:c>
      <x:c r="J510" s="8" t="n">
        <x:v>46280</x:v>
      </x:c>
      <x:c r="K510" s="7" t="inlineStr">
        <x:is>
          <x:t xml:space="preserve">Not Started</x:t>
        </x:is>
      </x:c>
      <x:c r="L510" s="7" t="inlineStr">
        <x:is>
          <x:t xml:space="preserve"/>
        </x:is>
      </x:c>
      <x:c r="M510" s="6" t="inlineStr">
        <x:is>
          <x:t xml:space="preserve"/>
        </x:is>
      </x:c>
    </x:row>
    <x:row r="511" ht="35" customHeight="1">
      <x:c r="A511" s="7" t="inlineStr">
        <x:is>
          <x:t xml:space="preserve">P202609-0510</x:t>
        </x:is>
      </x:c>
      <x:c r="B511" s="7" t="n">
        <x:v>2026</x:v>
      </x:c>
      <x:c r="C511" s="7" t="inlineStr">
        <x:is>
          <x:t xml:space="preserve">Sep</x:t>
        </x:is>
      </x:c>
      <x:c r="D511" s="7" t="inlineStr">
        <x:is>
          <x:t xml:space="preserve">MCS30</x:t>
        </x:is>
      </x:c>
      <x:c r="E511" s="6" t="inlineStr">
        <x:is>
          <x:t xml:space="preserve">Vendor Registration and Performance Management</x:t>
        </x:is>
      </x:c>
      <x:c r="F511" s="6" t="inlineStr">
        <x:is>
          <x:t xml:space="preserve">Ramakant Patil Zainab Yunusah Saadu</x:t>
        </x:is>
      </x:c>
      <x:c r="G511" s="6" t="inlineStr">
        <x:is>
          <x:t xml:space="preserve"/>
        </x:is>
      </x:c>
      <x:c r="H511" s="7" t="inlineStr">
        <x:is>
          <x:t xml:space="preserve">Operating Effectiveness</x:t>
        </x:is>
      </x:c>
      <x:c r="I511" s="7" t="inlineStr">
        <x:is>
          <x:t xml:space="preserve"/>
        </x:is>
      </x:c>
      <x:c r="J511" s="8" t="n">
        <x:v>46280</x:v>
      </x:c>
      <x:c r="K511" s="7" t="inlineStr">
        <x:is>
          <x:t xml:space="preserve">Not Started</x:t>
        </x:is>
      </x:c>
      <x:c r="L511" s="7" t="inlineStr">
        <x:is>
          <x:t xml:space="preserve"/>
        </x:is>
      </x:c>
      <x:c r="M511" s="6" t="inlineStr">
        <x:is>
          <x:t xml:space="preserve"/>
        </x:is>
      </x:c>
    </x:row>
    <x:row r="512" ht="35" customHeight="1">
      <x:c r="A512" s="7" t="inlineStr">
        <x:is>
          <x:t xml:space="preserve">P202609-0511</x:t>
        </x:is>
      </x:c>
      <x:c r="B512" s="7" t="n">
        <x:v>2026</x:v>
      </x:c>
      <x:c r="C512" s="7" t="inlineStr">
        <x:is>
          <x:t xml:space="preserve">Sep</x:t>
        </x:is>
      </x:c>
      <x:c r="D512" s="7" t="inlineStr">
        <x:is>
          <x:t xml:space="preserve">MCS31</x:t>
        </x:is>
      </x:c>
      <x:c r="E512" s="6" t="inlineStr">
        <x:is>
          <x:t xml:space="preserve">Three-way match, two way match and direct vendor invoices</x:t>
        </x:is>
      </x:c>
      <x:c r="F512" s="6" t="inlineStr">
        <x:is>
          <x:t xml:space="preserve">Ramakant Patil Zainab Yunusah Saadu</x:t>
        </x:is>
      </x:c>
      <x:c r="G512" s="6" t="inlineStr">
        <x:is>
          <x:t xml:space="preserve"/>
        </x:is>
      </x:c>
      <x:c r="H512" s="7" t="inlineStr">
        <x:is>
          <x:t xml:space="preserve">Operating Effectiveness</x:t>
        </x:is>
      </x:c>
      <x:c r="I512" s="7" t="inlineStr">
        <x:is>
          <x:t xml:space="preserve"/>
        </x:is>
      </x:c>
      <x:c r="J512" s="8" t="n">
        <x:v>46280</x:v>
      </x:c>
      <x:c r="K512" s="7" t="inlineStr">
        <x:is>
          <x:t xml:space="preserve">Not Started</x:t>
        </x:is>
      </x:c>
      <x:c r="L512" s="7" t="inlineStr">
        <x:is>
          <x:t xml:space="preserve"/>
        </x:is>
      </x:c>
      <x:c r="M512" s="6" t="inlineStr">
        <x:is>
          <x:t xml:space="preserve"/>
        </x:is>
      </x:c>
    </x:row>
    <x:row r="513" ht="35" customHeight="1">
      <x:c r="A513" s="7" t="inlineStr">
        <x:is>
          <x:t xml:space="preserve">P202609-0512</x:t>
        </x:is>
      </x:c>
      <x:c r="B513" s="7" t="n">
        <x:v>2026</x:v>
      </x:c>
      <x:c r="C513" s="7" t="inlineStr">
        <x:is>
          <x:t xml:space="preserve">Sep</x:t>
        </x:is>
      </x:c>
      <x:c r="D513" s="7" t="inlineStr">
        <x:is>
          <x:t xml:space="preserve">MCS32</x:t>
        </x:is>
      </x:c>
      <x:c r="E513" s="6" t="inlineStr">
        <x:is>
          <x:t xml:space="preserve">Payment processing</x:t>
        </x:is>
      </x:c>
      <x:c r="F513" s="6" t="inlineStr">
        <x:is>
          <x:t xml:space="preserve">Ramakant Patil Zainab Yunusah Saadu</x:t>
        </x:is>
      </x:c>
      <x:c r="G513" s="6" t="inlineStr">
        <x:is>
          <x:t xml:space="preserve"/>
        </x:is>
      </x:c>
      <x:c r="H513" s="7" t="inlineStr">
        <x:is>
          <x:t xml:space="preserve">Operating Effectiveness</x:t>
        </x:is>
      </x:c>
      <x:c r="I513" s="7" t="inlineStr">
        <x:is>
          <x:t xml:space="preserve"/>
        </x:is>
      </x:c>
      <x:c r="J513" s="8" t="n">
        <x:v>46280</x:v>
      </x:c>
      <x:c r="K513" s="7" t="inlineStr">
        <x:is>
          <x:t xml:space="preserve">Not Started</x:t>
        </x:is>
      </x:c>
      <x:c r="L513" s="7" t="inlineStr">
        <x:is>
          <x:t xml:space="preserve"/>
        </x:is>
      </x:c>
      <x:c r="M513" s="6" t="inlineStr">
        <x:is>
          <x:t xml:space="preserve"/>
        </x:is>
      </x:c>
    </x:row>
    <x:row r="514" ht="35" customHeight="1">
      <x:c r="A514" s="7" t="inlineStr">
        <x:is>
          <x:t xml:space="preserve">P202609-0513</x:t>
        </x:is>
      </x:c>
      <x:c r="B514" s="7" t="n">
        <x:v>2026</x:v>
      </x:c>
      <x:c r="C514" s="7" t="inlineStr">
        <x:is>
          <x:t xml:space="preserve">Sep</x:t>
        </x:is>
      </x:c>
      <x:c r="D514" s="7" t="inlineStr">
        <x:is>
          <x:t xml:space="preserve">MCS33</x:t>
        </x:is>
      </x:c>
      <x:c r="E514" s="6" t="inlineStr">
        <x:is>
          <x:t xml:space="preserve">3 Accruals for expenditures not invoiced</x:t>
        </x:is>
      </x:c>
      <x:c r="F514" s="6" t="inlineStr">
        <x:is>
          <x:t xml:space="preserve">Ramakant Patil Zainab Yunusah Saadu</x:t>
        </x:is>
      </x:c>
      <x:c r="G514" s="6" t="inlineStr">
        <x:is>
          <x:t xml:space="preserve"/>
        </x:is>
      </x:c>
      <x:c r="H514" s="7" t="inlineStr">
        <x:is>
          <x:t xml:space="preserve">Operating Effectiveness</x:t>
        </x:is>
      </x:c>
      <x:c r="I514" s="7" t="inlineStr">
        <x:is>
          <x:t xml:space="preserve"/>
        </x:is>
      </x:c>
      <x:c r="J514" s="8" t="n">
        <x:v>46280</x:v>
      </x:c>
      <x:c r="K514" s="7" t="inlineStr">
        <x:is>
          <x:t xml:space="preserve">Not Started</x:t>
        </x:is>
      </x:c>
      <x:c r="L514" s="7" t="inlineStr">
        <x:is>
          <x:t xml:space="preserve"/>
        </x:is>
      </x:c>
      <x:c r="M514" s="6" t="inlineStr">
        <x:is>
          <x:t xml:space="preserve"/>
        </x:is>
      </x:c>
    </x:row>
    <x:row r="515" ht="35" customHeight="1">
      <x:c r="A515" s="7" t="inlineStr">
        <x:is>
          <x:t xml:space="preserve">P202609-0514</x:t>
        </x:is>
      </x:c>
      <x:c r="B515" s="7" t="n">
        <x:v>2026</x:v>
      </x:c>
      <x:c r="C515" s="7" t="inlineStr">
        <x:is>
          <x:t xml:space="preserve">Sep</x:t>
        </x:is>
      </x:c>
      <x:c r="D515" s="7" t="inlineStr">
        <x:is>
          <x:t xml:space="preserve">MCS34</x:t>
        </x:is>
      </x:c>
      <x:c r="E515" s="6" t="inlineStr">
        <x:is>
          <x:t xml:space="preserve">Physical Stock Count ,Reconciliation &amp; Valuation</x:t>
        </x:is>
      </x:c>
      <x:c r="F515" s="6" t="inlineStr">
        <x:is>
          <x:t xml:space="preserve">Yomi Jegede Zainab Yunusah Saadu</x:t>
        </x:is>
      </x:c>
      <x:c r="G515" s="6" t="inlineStr">
        <x:is>
          <x:t xml:space="preserve"/>
        </x:is>
      </x:c>
      <x:c r="H515" s="7" t="inlineStr">
        <x:is>
          <x:t xml:space="preserve">Operating Effectiveness</x:t>
        </x:is>
      </x:c>
      <x:c r="I515" s="7" t="inlineStr">
        <x:is>
          <x:t xml:space="preserve"/>
        </x:is>
      </x:c>
      <x:c r="J515" s="8" t="n">
        <x:v>46280</x:v>
      </x:c>
      <x:c r="K515" s="7" t="inlineStr">
        <x:is>
          <x:t xml:space="preserve">Not Started</x:t>
        </x:is>
      </x:c>
      <x:c r="L515" s="7" t="inlineStr">
        <x:is>
          <x:t xml:space="preserve"/>
        </x:is>
      </x:c>
      <x:c r="M515" s="6" t="inlineStr">
        <x:is>
          <x:t xml:space="preserve"/>
        </x:is>
      </x:c>
    </x:row>
    <x:row r="516" ht="35" customHeight="1">
      <x:c r="A516" s="7" t="inlineStr">
        <x:is>
          <x:t xml:space="preserve">P202609-0515</x:t>
        </x:is>
      </x:c>
      <x:c r="B516" s="7" t="n">
        <x:v>2026</x:v>
      </x:c>
      <x:c r="C516" s="7" t="inlineStr">
        <x:is>
          <x:t xml:space="preserve">Sep</x:t>
        </x:is>
      </x:c>
      <x:c r="D516" s="7" t="inlineStr">
        <x:is>
          <x:t xml:space="preserve">MCS35</x:t>
        </x:is>
      </x:c>
      <x:c r="E516" s="6" t="inlineStr">
        <x:is>
          <x:t xml:space="preserve">Inventory Documentation (IMPEX)</x:t>
        </x:is>
      </x:c>
      <x:c r="F516" s="6" t="inlineStr">
        <x:is>
          <x:t xml:space="preserve">Yomi Jegede Zainab Yunusah Saadu</x:t>
        </x:is>
      </x:c>
      <x:c r="G516" s="6" t="inlineStr">
        <x:is>
          <x:t xml:space="preserve"/>
        </x:is>
      </x:c>
      <x:c r="H516" s="7" t="inlineStr">
        <x:is>
          <x:t xml:space="preserve">Operating Effectiveness</x:t>
        </x:is>
      </x:c>
      <x:c r="I516" s="7" t="inlineStr">
        <x:is>
          <x:t xml:space="preserve"/>
        </x:is>
      </x:c>
      <x:c r="J516" s="8" t="n">
        <x:v>46280</x:v>
      </x:c>
      <x:c r="K516" s="7" t="inlineStr">
        <x:is>
          <x:t xml:space="preserve">Not Started</x:t>
        </x:is>
      </x:c>
      <x:c r="L516" s="7" t="inlineStr">
        <x:is>
          <x:t xml:space="preserve"/>
        </x:is>
      </x:c>
      <x:c r="M516" s="6" t="inlineStr">
        <x:is>
          <x:t xml:space="preserve"/>
        </x:is>
      </x:c>
    </x:row>
    <x:row r="517" ht="35" customHeight="1">
      <x:c r="A517" s="7" t="inlineStr">
        <x:is>
          <x:t xml:space="preserve">P202609-0516</x:t>
        </x:is>
      </x:c>
      <x:c r="B517" s="7" t="n">
        <x:v>2026</x:v>
      </x:c>
      <x:c r="C517" s="7" t="inlineStr">
        <x:is>
          <x:t xml:space="preserve">Sep</x:t>
        </x:is>
      </x:c>
      <x:c r="D517" s="7" t="inlineStr">
        <x:is>
          <x:t xml:space="preserve">MCS36</x:t>
        </x:is>
      </x:c>
      <x:c r="E517" s="6" t="inlineStr">
        <x:is>
          <x:t xml:space="preserve">Management of access to IT systems</x:t>
        </x:is>
      </x:c>
      <x:c r="F517" s="6" t="inlineStr">
        <x:is>
          <x:t xml:space="preserve">Theophilus Okolie </x:t>
        </x:is>
      </x:c>
      <x:c r="G517" s="6" t="inlineStr">
        <x:is>
          <x:t xml:space="preserve"/>
        </x:is>
      </x:c>
      <x:c r="H517" s="7" t="inlineStr">
        <x:is>
          <x:t xml:space="preserve">Operating Effectiveness</x:t>
        </x:is>
      </x:c>
      <x:c r="I517" s="7" t="inlineStr">
        <x:is>
          <x:t xml:space="preserve"/>
        </x:is>
      </x:c>
      <x:c r="J517" s="8" t="n">
        <x:v>46280</x:v>
      </x:c>
      <x:c r="K517" s="7" t="inlineStr">
        <x:is>
          <x:t xml:space="preserve">Not Started</x:t>
        </x:is>
      </x:c>
      <x:c r="L517" s="7" t="inlineStr">
        <x:is>
          <x:t xml:space="preserve"/>
        </x:is>
      </x:c>
      <x:c r="M517" s="6" t="inlineStr">
        <x:is>
          <x:t xml:space="preserve"/>
        </x:is>
      </x:c>
    </x:row>
    <x:row r="518" ht="35" customHeight="1">
      <x:c r="A518" s="7" t="inlineStr">
        <x:is>
          <x:t xml:space="preserve">P202609-0517</x:t>
        </x:is>
      </x:c>
      <x:c r="B518" s="7" t="n">
        <x:v>2026</x:v>
      </x:c>
      <x:c r="C518" s="7" t="inlineStr">
        <x:is>
          <x:t xml:space="preserve">Sep</x:t>
        </x:is>
      </x:c>
      <x:c r="D518" s="7" t="inlineStr">
        <x:is>
          <x:t xml:space="preserve">MCS37</x:t>
        </x:is>
      </x:c>
      <x:c r="E518" s="6" t="inlineStr">
        <x:is>
          <x:t xml:space="preserve">Review of IT user access rights to production IT systems</x:t>
        </x:is>
      </x:c>
      <x:c r="F518" s="6" t="inlineStr">
        <x:is>
          <x:t xml:space="preserve">Theophilus Okolie </x:t>
        </x:is>
      </x:c>
      <x:c r="G518" s="6" t="inlineStr">
        <x:is>
          <x:t xml:space="preserve"/>
        </x:is>
      </x:c>
      <x:c r="H518" s="7" t="inlineStr">
        <x:is>
          <x:t xml:space="preserve">Operating Effectiveness</x:t>
        </x:is>
      </x:c>
      <x:c r="I518" s="7" t="inlineStr">
        <x:is>
          <x:t xml:space="preserve"/>
        </x:is>
      </x:c>
      <x:c r="J518" s="8" t="n">
        <x:v>46280</x:v>
      </x:c>
      <x:c r="K518" s="7" t="inlineStr">
        <x:is>
          <x:t xml:space="preserve">Not Started</x:t>
        </x:is>
      </x:c>
      <x:c r="L518" s="7" t="inlineStr">
        <x:is>
          <x:t xml:space="preserve"/>
        </x:is>
      </x:c>
      <x:c r="M518" s="6" t="inlineStr">
        <x:is>
          <x:t xml:space="preserve"/>
        </x:is>
      </x:c>
    </x:row>
    <x:row r="519" ht="35" customHeight="1">
      <x:c r="A519" s="7" t="inlineStr">
        <x:is>
          <x:t xml:space="preserve">P202609-0518</x:t>
        </x:is>
      </x:c>
      <x:c r="B519" s="7" t="n">
        <x:v>2026</x:v>
      </x:c>
      <x:c r="C519" s="7" t="inlineStr">
        <x:is>
          <x:t xml:space="preserve">Sep</x:t>
        </x:is>
      </x:c>
      <x:c r="D519" s="7" t="inlineStr">
        <x:is>
          <x:t xml:space="preserve">MCS38</x:t>
        </x:is>
      </x:c>
      <x:c r="E519" s="6" t="inlineStr">
        <x:is>
          <x:t xml:space="preserve">Security configuration settings and batch job management</x:t>
        </x:is>
      </x:c>
      <x:c r="F519" s="6" t="inlineStr">
        <x:is>
          <x:t xml:space="preserve">Theophilus Okolie </x:t>
        </x:is>
      </x:c>
      <x:c r="G519" s="6" t="inlineStr">
        <x:is>
          <x:t xml:space="preserve"/>
        </x:is>
      </x:c>
      <x:c r="H519" s="7" t="inlineStr">
        <x:is>
          <x:t xml:space="preserve">Operating Effectiveness</x:t>
        </x:is>
      </x:c>
      <x:c r="I519" s="7" t="inlineStr">
        <x:is>
          <x:t xml:space="preserve"/>
        </x:is>
      </x:c>
      <x:c r="J519" s="8" t="n">
        <x:v>46280</x:v>
      </x:c>
      <x:c r="K519" s="7" t="inlineStr">
        <x:is>
          <x:t xml:space="preserve">Not Started</x:t>
        </x:is>
      </x:c>
      <x:c r="L519" s="7" t="inlineStr">
        <x:is>
          <x:t xml:space="preserve"/>
        </x:is>
      </x:c>
      <x:c r="M519" s="6" t="inlineStr">
        <x:is>
          <x:t xml:space="preserve"/>
        </x:is>
      </x:c>
    </x:row>
    <x:row r="520" ht="35" customHeight="1">
      <x:c r="A520" s="7" t="inlineStr">
        <x:is>
          <x:t xml:space="preserve">P202609-0519</x:t>
        </x:is>
      </x:c>
      <x:c r="B520" s="7" t="n">
        <x:v>2026</x:v>
      </x:c>
      <x:c r="C520" s="7" t="inlineStr">
        <x:is>
          <x:t xml:space="preserve">Sep</x:t>
        </x:is>
      </x:c>
      <x:c r="D520" s="7" t="inlineStr">
        <x:is>
          <x:t xml:space="preserve">MCS39</x:t>
        </x:is>
      </x:c>
      <x:c r="E520" s="6" t="inlineStr">
        <x:is>
          <x:t xml:space="preserve">Data backup, storage and restoration process</x:t>
        </x:is>
      </x:c>
      <x:c r="F520" s="6" t="inlineStr">
        <x:is>
          <x:t xml:space="preserve">Theophilus Okolie </x:t>
        </x:is>
      </x:c>
      <x:c r="G520" s="6" t="inlineStr">
        <x:is>
          <x:t xml:space="preserve"/>
        </x:is>
      </x:c>
      <x:c r="H520" s="7" t="inlineStr">
        <x:is>
          <x:t xml:space="preserve">Operating Effectiveness</x:t>
        </x:is>
      </x:c>
      <x:c r="I520" s="7" t="inlineStr">
        <x:is>
          <x:t xml:space="preserve"/>
        </x:is>
      </x:c>
      <x:c r="J520" s="8" t="n">
        <x:v>46280</x:v>
      </x:c>
      <x:c r="K520" s="7" t="inlineStr">
        <x:is>
          <x:t xml:space="preserve">Not Started</x:t>
        </x:is>
      </x:c>
      <x:c r="L520" s="7" t="inlineStr">
        <x:is>
          <x:t xml:space="preserve"/>
        </x:is>
      </x:c>
      <x:c r="M520" s="6" t="inlineStr">
        <x:is>
          <x:t xml:space="preserve"/>
        </x:is>
      </x:c>
    </x:row>
    <x:row r="521" ht="35" customHeight="1">
      <x:c r="A521" s="7" t="inlineStr">
        <x:is>
          <x:t xml:space="preserve">P202609-0520</x:t>
        </x:is>
      </x:c>
      <x:c r="B521" s="7" t="n">
        <x:v>2026</x:v>
      </x:c>
      <x:c r="C521" s="7" t="inlineStr">
        <x:is>
          <x:t xml:space="preserve">Sep</x:t>
        </x:is>
      </x:c>
      <x:c r="D521" s="7" t="inlineStr">
        <x:is>
          <x:t xml:space="preserve">MCS40</x:t>
        </x:is>
      </x:c>
      <x:c r="E521" s="6" t="inlineStr">
        <x:is>
          <x:t xml:space="preserve">Managing changes to IT systems</x:t>
        </x:is>
      </x:c>
      <x:c r="F521" s="6" t="inlineStr">
        <x:is>
          <x:t xml:space="preserve">Theophilus Okolie </x:t>
        </x:is>
      </x:c>
      <x:c r="G521" s="6" t="inlineStr">
        <x:is>
          <x:t xml:space="preserve"/>
        </x:is>
      </x:c>
      <x:c r="H521" s="7" t="inlineStr">
        <x:is>
          <x:t xml:space="preserve">Operating Effectiveness</x:t>
        </x:is>
      </x:c>
      <x:c r="I521" s="7" t="inlineStr">
        <x:is>
          <x:t xml:space="preserve"/>
        </x:is>
      </x:c>
      <x:c r="J521" s="8" t="n">
        <x:v>46280</x:v>
      </x:c>
      <x:c r="K521" s="7" t="inlineStr">
        <x:is>
          <x:t xml:space="preserve">Not Started</x:t>
        </x:is>
      </x:c>
      <x:c r="L521" s="7" t="inlineStr">
        <x:is>
          <x:t xml:space="preserve"/>
        </x:is>
      </x:c>
      <x:c r="M521" s="6" t="inlineStr">
        <x:is>
          <x:t xml:space="preserve"/>
        </x:is>
      </x:c>
    </x:row>
    <x:row r="522" ht="35" customHeight="1">
      <x:c r="A522" s="7" t="inlineStr">
        <x:is>
          <x:t xml:space="preserve">P202609-0521</x:t>
        </x:is>
      </x:c>
      <x:c r="B522" s="7" t="n">
        <x:v>2026</x:v>
      </x:c>
      <x:c r="C522" s="7" t="inlineStr">
        <x:is>
          <x:t xml:space="preserve">Sep</x:t>
        </x:is>
      </x:c>
      <x:c r="D522" s="7" t="inlineStr">
        <x:is>
          <x:t xml:space="preserve">MCS41</x:t>
        </x:is>
      </x:c>
      <x:c r="E522" s="6" t="inlineStr">
        <x:is>
          <x:t xml:space="preserve">Compliance with accounting and reporting standards</x:t>
        </x:is>
      </x:c>
      <x:c r="F522" s="6" t="inlineStr">
        <x:is>
          <x:t xml:space="preserve">Zainab Yunusah Saadu Daniel Banjo</x:t>
        </x:is>
      </x:c>
      <x:c r="G522" s="6" t="inlineStr">
        <x:is>
          <x:t xml:space="preserve"/>
        </x:is>
      </x:c>
      <x:c r="H522" s="7" t="inlineStr">
        <x:is>
          <x:t xml:space="preserve">Operating Effectiveness</x:t>
        </x:is>
      </x:c>
      <x:c r="I522" s="7" t="inlineStr">
        <x:is>
          <x:t xml:space="preserve"/>
        </x:is>
      </x:c>
      <x:c r="J522" s="8" t="n">
        <x:v>46280</x:v>
      </x:c>
      <x:c r="K522" s="7" t="inlineStr">
        <x:is>
          <x:t xml:space="preserve">Not Started</x:t>
        </x:is>
      </x:c>
      <x:c r="L522" s="7" t="inlineStr">
        <x:is>
          <x:t xml:space="preserve"/>
        </x:is>
      </x:c>
      <x:c r="M522" s="6" t="inlineStr">
        <x:is>
          <x:t xml:space="preserve"/>
        </x:is>
      </x:c>
    </x:row>
    <x:row r="523" ht="35" customHeight="1">
      <x:c r="A523" s="7" t="inlineStr">
        <x:is>
          <x:t xml:space="preserve">P202609-0522</x:t>
        </x:is>
      </x:c>
      <x:c r="B523" s="7" t="n">
        <x:v>2026</x:v>
      </x:c>
      <x:c r="C523" s="7" t="inlineStr">
        <x:is>
          <x:t xml:space="preserve">Sep</x:t>
        </x:is>
      </x:c>
      <x:c r="D523" s="7" t="inlineStr">
        <x:is>
          <x:t xml:space="preserve">MCS42</x:t>
        </x:is>
      </x:c>
      <x:c r="E523" s="6" t="inlineStr">
        <x:is>
          <x:t xml:space="preserve">Reconciliation of general ledger accounts</x:t>
        </x:is>
      </x:c>
      <x:c r="F523" s="6" t="inlineStr">
        <x:is>
          <x:t xml:space="preserve">Zainab Yunusah Saadu Daniel Banjo</x:t>
        </x:is>
      </x:c>
      <x:c r="G523" s="6" t="inlineStr">
        <x:is>
          <x:t xml:space="preserve"/>
        </x:is>
      </x:c>
      <x:c r="H523" s="7" t="inlineStr">
        <x:is>
          <x:t xml:space="preserve">Operating Effectiveness</x:t>
        </x:is>
      </x:c>
      <x:c r="I523" s="7" t="inlineStr">
        <x:is>
          <x:t xml:space="preserve"/>
        </x:is>
      </x:c>
      <x:c r="J523" s="8" t="n">
        <x:v>46280</x:v>
      </x:c>
      <x:c r="K523" s="7" t="inlineStr">
        <x:is>
          <x:t xml:space="preserve">Not Started</x:t>
        </x:is>
      </x:c>
      <x:c r="L523" s="7" t="inlineStr">
        <x:is>
          <x:t xml:space="preserve"/>
        </x:is>
      </x:c>
      <x:c r="M523" s="6" t="inlineStr">
        <x:is>
          <x:t xml:space="preserve"/>
        </x:is>
      </x:c>
    </x:row>
    <x:row r="524" ht="35" customHeight="1">
      <x:c r="A524" s="7" t="inlineStr">
        <x:is>
          <x:t xml:space="preserve">P202609-0523</x:t>
        </x:is>
      </x:c>
      <x:c r="B524" s="7" t="n">
        <x:v>2026</x:v>
      </x:c>
      <x:c r="C524" s="7" t="inlineStr">
        <x:is>
          <x:t xml:space="preserve">Sep</x:t>
        </x:is>
      </x:c>
      <x:c r="D524" s="7" t="inlineStr">
        <x:is>
          <x:t xml:space="preserve">MCS43</x:t>
        </x:is>
      </x:c>
      <x:c r="E524" s="6" t="inlineStr">
        <x:is>
          <x:t xml:space="preserve">Reconciliation of bank accounts</x:t>
        </x:is>
      </x:c>
      <x:c r="F524" s="6" t="inlineStr">
        <x:is>
          <x:t xml:space="preserve">Zainab Yunusah Saadu Daniel Banjo</x:t>
        </x:is>
      </x:c>
      <x:c r="G524" s="6" t="inlineStr">
        <x:is>
          <x:t xml:space="preserve"/>
        </x:is>
      </x:c>
      <x:c r="H524" s="7" t="inlineStr">
        <x:is>
          <x:t xml:space="preserve">Operating Effectiveness</x:t>
        </x:is>
      </x:c>
      <x:c r="I524" s="7" t="inlineStr">
        <x:is>
          <x:t xml:space="preserve"/>
        </x:is>
      </x:c>
      <x:c r="J524" s="8" t="n">
        <x:v>46280</x:v>
      </x:c>
      <x:c r="K524" s="7" t="inlineStr">
        <x:is>
          <x:t xml:space="preserve">Not Started</x:t>
        </x:is>
      </x:c>
      <x:c r="L524" s="7" t="inlineStr">
        <x:is>
          <x:t xml:space="preserve"/>
        </x:is>
      </x:c>
      <x:c r="M524" s="6" t="inlineStr">
        <x:is>
          <x:t xml:space="preserve"/>
        </x:is>
      </x:c>
    </x:row>
    <x:row r="525" ht="35" customHeight="1">
      <x:c r="A525" s="7" t="inlineStr">
        <x:is>
          <x:t xml:space="preserve">P202609-0524</x:t>
        </x:is>
      </x:c>
      <x:c r="B525" s="7" t="n">
        <x:v>2026</x:v>
      </x:c>
      <x:c r="C525" s="7" t="inlineStr">
        <x:is>
          <x:t xml:space="preserve">Sep</x:t>
        </x:is>
      </x:c>
      <x:c r="D525" s="7" t="inlineStr">
        <x:is>
          <x:t xml:space="preserve">MCS44</x:t>
        </x:is>
      </x:c>
      <x:c r="E525" s="6" t="inlineStr">
        <x:is>
          <x:t xml:space="preserve">Reconciliation of intercompany balances</x:t>
        </x:is>
      </x:c>
      <x:c r="F525" s="6" t="inlineStr">
        <x:is>
          <x:t xml:space="preserve">Zainab Yunusah Saadu Daniel Banjo</x:t>
        </x:is>
      </x:c>
      <x:c r="G525" s="6" t="inlineStr">
        <x:is>
          <x:t xml:space="preserve"/>
        </x:is>
      </x:c>
      <x:c r="H525" s="7" t="inlineStr">
        <x:is>
          <x:t xml:space="preserve">Operating Effectiveness</x:t>
        </x:is>
      </x:c>
      <x:c r="I525" s="7" t="inlineStr">
        <x:is>
          <x:t xml:space="preserve"/>
        </x:is>
      </x:c>
      <x:c r="J525" s="8" t="n">
        <x:v>46280</x:v>
      </x:c>
      <x:c r="K525" s="7" t="inlineStr">
        <x:is>
          <x:t xml:space="preserve">Not Started</x:t>
        </x:is>
      </x:c>
      <x:c r="L525" s="7" t="inlineStr">
        <x:is>
          <x:t xml:space="preserve"/>
        </x:is>
      </x:c>
      <x:c r="M525" s="6" t="inlineStr">
        <x:is>
          <x:t xml:space="preserve"/>
        </x:is>
      </x:c>
    </x:row>
    <x:row r="526" ht="35" customHeight="1">
      <x:c r="A526" s="7" t="inlineStr">
        <x:is>
          <x:t xml:space="preserve">P202609-0525</x:t>
        </x:is>
      </x:c>
      <x:c r="B526" s="7" t="n">
        <x:v>2026</x:v>
      </x:c>
      <x:c r="C526" s="7" t="inlineStr">
        <x:is>
          <x:t xml:space="preserve">Sep</x:t>
        </x:is>
      </x:c>
      <x:c r="D526" s="7" t="inlineStr">
        <x:is>
          <x:t xml:space="preserve">MCS45</x:t>
        </x:is>
      </x:c>
      <x:c r="E526" s="6" t="inlineStr">
        <x:is>
          <x:t xml:space="preserve">Manual journal entries</x:t>
        </x:is>
      </x:c>
      <x:c r="F526" s="6" t="inlineStr">
        <x:is>
          <x:t xml:space="preserve">Zainab Yunusah Saadu Daniel Banjo</x:t>
        </x:is>
      </x:c>
      <x:c r="G526" s="6" t="inlineStr">
        <x:is>
          <x:t xml:space="preserve"/>
        </x:is>
      </x:c>
      <x:c r="H526" s="7" t="inlineStr">
        <x:is>
          <x:t xml:space="preserve">Operating Effectiveness</x:t>
        </x:is>
      </x:c>
      <x:c r="I526" s="7" t="inlineStr">
        <x:is>
          <x:t xml:space="preserve"/>
        </x:is>
      </x:c>
      <x:c r="J526" s="8" t="n">
        <x:v>46280</x:v>
      </x:c>
      <x:c r="K526" s="7" t="inlineStr">
        <x:is>
          <x:t xml:space="preserve">Not Started</x:t>
        </x:is>
      </x:c>
      <x:c r="L526" s="7" t="inlineStr">
        <x:is>
          <x:t xml:space="preserve"/>
        </x:is>
      </x:c>
      <x:c r="M526" s="6" t="inlineStr">
        <x:is>
          <x:t xml:space="preserve"/>
        </x:is>
      </x:c>
    </x:row>
    <x:row r="527" ht="35" customHeight="1">
      <x:c r="A527" s="7" t="inlineStr">
        <x:is>
          <x:t xml:space="preserve">P202609-0526</x:t>
        </x:is>
      </x:c>
      <x:c r="B527" s="7" t="n">
        <x:v>2026</x:v>
      </x:c>
      <x:c r="C527" s="7" t="inlineStr">
        <x:is>
          <x:t xml:space="preserve">Sep</x:t>
        </x:is>
      </x:c>
      <x:c r="D527" s="7" t="inlineStr">
        <x:is>
          <x:t xml:space="preserve">MCS46</x:t>
        </x:is>
      </x:c>
      <x:c r="E527" s="6" t="inlineStr">
        <x:is>
          <x:t xml:space="preserve">Impairment of goodwill, intangible assets and tangible assets</x:t>
        </x:is>
      </x:c>
      <x:c r="F527" s="6" t="inlineStr">
        <x:is>
          <x:t xml:space="preserve">Zainab Yunusah Saadu Daniel Banjo</x:t>
        </x:is>
      </x:c>
      <x:c r="G527" s="6" t="inlineStr">
        <x:is>
          <x:t xml:space="preserve"/>
        </x:is>
      </x:c>
      <x:c r="H527" s="7" t="inlineStr">
        <x:is>
          <x:t xml:space="preserve">Operating Effectiveness</x:t>
        </x:is>
      </x:c>
      <x:c r="I527" s="7" t="inlineStr">
        <x:is>
          <x:t xml:space="preserve"/>
        </x:is>
      </x:c>
      <x:c r="J527" s="8" t="n">
        <x:v>46280</x:v>
      </x:c>
      <x:c r="K527" s="7" t="inlineStr">
        <x:is>
          <x:t xml:space="preserve">Not Started</x:t>
        </x:is>
      </x:c>
      <x:c r="L527" s="7" t="inlineStr">
        <x:is>
          <x:t xml:space="preserve"/>
        </x:is>
      </x:c>
      <x:c r="M527" s="6" t="inlineStr">
        <x:is>
          <x:t xml:space="preserve"/>
        </x:is>
      </x:c>
    </x:row>
    <x:row r="528" ht="35" customHeight="1">
      <x:c r="A528" s="7" t="inlineStr">
        <x:is>
          <x:t xml:space="preserve">P202609-0527</x:t>
        </x:is>
      </x:c>
      <x:c r="B528" s="7" t="n">
        <x:v>2026</x:v>
      </x:c>
      <x:c r="C528" s="7" t="inlineStr">
        <x:is>
          <x:t xml:space="preserve">Sep</x:t>
        </x:is>
      </x:c>
      <x:c r="D528" s="7" t="inlineStr">
        <x:is>
          <x:t xml:space="preserve">MCS47</x:t>
        </x:is>
      </x:c>
      <x:c r="E528" s="6" t="inlineStr">
        <x:is>
          <x:t xml:space="preserve">Transactions in a foreign currency</x:t>
        </x:is>
      </x:c>
      <x:c r="F528" s="6" t="inlineStr">
        <x:is>
          <x:t xml:space="preserve">Zainab Yunusah Saadu Daniel Banjo</x:t>
        </x:is>
      </x:c>
      <x:c r="G528" s="6" t="inlineStr">
        <x:is>
          <x:t xml:space="preserve"/>
        </x:is>
      </x:c>
      <x:c r="H528" s="7" t="inlineStr">
        <x:is>
          <x:t xml:space="preserve">Operating Effectiveness</x:t>
        </x:is>
      </x:c>
      <x:c r="I528" s="7" t="inlineStr">
        <x:is>
          <x:t xml:space="preserve"/>
        </x:is>
      </x:c>
      <x:c r="J528" s="8" t="n">
        <x:v>46280</x:v>
      </x:c>
      <x:c r="K528" s="7" t="inlineStr">
        <x:is>
          <x:t xml:space="preserve">Not Started</x:t>
        </x:is>
      </x:c>
      <x:c r="L528" s="7" t="inlineStr">
        <x:is>
          <x:t xml:space="preserve"/>
        </x:is>
      </x:c>
      <x:c r="M528" s="6" t="inlineStr">
        <x:is>
          <x:t xml:space="preserve"/>
        </x:is>
      </x:c>
    </x:row>
    <x:row r="529" ht="35" customHeight="1">
      <x:c r="A529" s="7" t="inlineStr">
        <x:is>
          <x:t xml:space="preserve">P202609-0528</x:t>
        </x:is>
      </x:c>
      <x:c r="B529" s="7" t="n">
        <x:v>2026</x:v>
      </x:c>
      <x:c r="C529" s="7" t="inlineStr">
        <x:is>
          <x:t xml:space="preserve">Sep</x:t>
        </x:is>
      </x:c>
      <x:c r="D529" s="7" t="inlineStr">
        <x:is>
          <x:t xml:space="preserve">MCS48</x:t>
        </x:is>
      </x:c>
      <x:c r="E529" s="6" t="inlineStr">
        <x:is>
          <x:t xml:space="preserve">Management of legal structure and consolidation hierarchy</x:t>
        </x:is>
      </x:c>
      <x:c r="F529" s="6" t="inlineStr">
        <x:is>
          <x:t xml:space="preserve">Zainab Yunusah Saadu Daniel Banjo</x:t>
        </x:is>
      </x:c>
      <x:c r="G529" s="6" t="inlineStr">
        <x:is>
          <x:t xml:space="preserve"/>
        </x:is>
      </x:c>
      <x:c r="H529" s="7" t="inlineStr">
        <x:is>
          <x:t xml:space="preserve">Operating Effectiveness</x:t>
        </x:is>
      </x:c>
      <x:c r="I529" s="7" t="inlineStr">
        <x:is>
          <x:t xml:space="preserve"/>
        </x:is>
      </x:c>
      <x:c r="J529" s="8" t="n">
        <x:v>46280</x:v>
      </x:c>
      <x:c r="K529" s="7" t="inlineStr">
        <x:is>
          <x:t xml:space="preserve">Not Started</x:t>
        </x:is>
      </x:c>
      <x:c r="L529" s="7" t="inlineStr">
        <x:is>
          <x:t xml:space="preserve"/>
        </x:is>
      </x:c>
      <x:c r="M529" s="6" t="inlineStr">
        <x:is>
          <x:t xml:space="preserve"/>
        </x:is>
      </x:c>
    </x:row>
    <x:row r="530" ht="35" customHeight="1">
      <x:c r="A530" s="7" t="inlineStr">
        <x:is>
          <x:t xml:space="preserve">P202609-0529</x:t>
        </x:is>
      </x:c>
      <x:c r="B530" s="7" t="n">
        <x:v>2026</x:v>
      </x:c>
      <x:c r="C530" s="7" t="inlineStr">
        <x:is>
          <x:t xml:space="preserve">Sep</x:t>
        </x:is>
      </x:c>
      <x:c r="D530" s="7" t="inlineStr">
        <x:is>
          <x:t xml:space="preserve">MCS49</x:t>
        </x:is>
      </x:c>
      <x:c r="E530" s="6" t="inlineStr">
        <x:is>
          <x:t xml:space="preserve">Consolidation of financial statement</x:t>
        </x:is>
      </x:c>
      <x:c r="F530" s="6" t="inlineStr">
        <x:is>
          <x:t xml:space="preserve">Zainab Yunusah Saadu Daniel Banjo</x:t>
        </x:is>
      </x:c>
      <x:c r="G530" s="6" t="inlineStr">
        <x:is>
          <x:t xml:space="preserve"/>
        </x:is>
      </x:c>
      <x:c r="H530" s="7" t="inlineStr">
        <x:is>
          <x:t xml:space="preserve">Operating Effectiveness</x:t>
        </x:is>
      </x:c>
      <x:c r="I530" s="7" t="inlineStr">
        <x:is>
          <x:t xml:space="preserve"/>
        </x:is>
      </x:c>
      <x:c r="J530" s="8" t="n">
        <x:v>46280</x:v>
      </x:c>
      <x:c r="K530" s="7" t="inlineStr">
        <x:is>
          <x:t xml:space="preserve">Not Started</x:t>
        </x:is>
      </x:c>
      <x:c r="L530" s="7" t="inlineStr">
        <x:is>
          <x:t xml:space="preserve"/>
        </x:is>
      </x:c>
      <x:c r="M530" s="6" t="inlineStr">
        <x:is>
          <x:t xml:space="preserve"/>
        </x:is>
      </x:c>
    </x:row>
    <x:row r="531" ht="35" customHeight="1">
      <x:c r="A531" s="7" t="inlineStr">
        <x:is>
          <x:t xml:space="preserve">P202609-0530</x:t>
        </x:is>
      </x:c>
      <x:c r="B531" s="7" t="n">
        <x:v>2026</x:v>
      </x:c>
      <x:c r="C531" s="7" t="inlineStr">
        <x:is>
          <x:t xml:space="preserve">Sep</x:t>
        </x:is>
      </x:c>
      <x:c r="D531" s="7" t="inlineStr">
        <x:is>
          <x:t xml:space="preserve">MCS50</x:t>
        </x:is>
      </x:c>
      <x:c r="E531" s="6" t="inlineStr">
        <x:is>
          <x:t xml:space="preserve">Statutory financial statements</x:t>
        </x:is>
      </x:c>
      <x:c r="F531" s="6" t="inlineStr">
        <x:is>
          <x:t xml:space="preserve">Zainab Yunusah Saadu Daniel Banjo</x:t>
        </x:is>
      </x:c>
      <x:c r="G531" s="6" t="inlineStr">
        <x:is>
          <x:t xml:space="preserve"/>
        </x:is>
      </x:c>
      <x:c r="H531" s="7" t="inlineStr">
        <x:is>
          <x:t xml:space="preserve">Operating Effectiveness</x:t>
        </x:is>
      </x:c>
      <x:c r="I531" s="7" t="inlineStr">
        <x:is>
          <x:t xml:space="preserve"/>
        </x:is>
      </x:c>
      <x:c r="J531" s="8" t="n">
        <x:v>46280</x:v>
      </x:c>
      <x:c r="K531" s="7" t="inlineStr">
        <x:is>
          <x:t xml:space="preserve">Not Started</x:t>
        </x:is>
      </x:c>
      <x:c r="L531" s="7" t="inlineStr">
        <x:is>
          <x:t xml:space="preserve"/>
        </x:is>
      </x:c>
      <x:c r="M531" s="6" t="inlineStr">
        <x:is>
          <x:t xml:space="preserve"/>
        </x:is>
      </x:c>
    </x:row>
    <x:row r="532" ht="35" customHeight="1">
      <x:c r="A532" s="7" t="inlineStr">
        <x:is>
          <x:t xml:space="preserve">P202609-0531</x:t>
        </x:is>
      </x:c>
      <x:c r="B532" s="7" t="n">
        <x:v>2026</x:v>
      </x:c>
      <x:c r="C532" s="7" t="inlineStr">
        <x:is>
          <x:t xml:space="preserve">Sep</x:t>
        </x:is>
      </x:c>
      <x:c r="D532" s="7" t="inlineStr">
        <x:is>
          <x:t xml:space="preserve">MCS51</x:t>
        </x:is>
      </x:c>
      <x:c r="E532" s="6" t="inlineStr">
        <x:is>
          <x:t xml:space="preserve">Tax risk assessment and reporting</x:t>
        </x:is>
      </x:c>
      <x:c r="F532" s="6" t="n"/>
      <x:c r="G532" s="6" t="inlineStr">
        <x:is>
          <x:t xml:space="preserve"/>
        </x:is>
      </x:c>
      <x:c r="H532" s="7" t="inlineStr">
        <x:is>
          <x:t xml:space="preserve">Operating Effectiveness</x:t>
        </x:is>
      </x:c>
      <x:c r="I532" s="7" t="inlineStr">
        <x:is>
          <x:t xml:space="preserve"/>
        </x:is>
      </x:c>
      <x:c r="J532" s="8" t="n">
        <x:v>46280</x:v>
      </x:c>
      <x:c r="K532" s="7" t="inlineStr">
        <x:is>
          <x:t xml:space="preserve">Not Started</x:t>
        </x:is>
      </x:c>
      <x:c r="L532" s="7" t="inlineStr">
        <x:is>
          <x:t xml:space="preserve"/>
        </x:is>
      </x:c>
      <x:c r="M532" s="6" t="inlineStr">
        <x:is>
          <x:t xml:space="preserve"/>
        </x:is>
      </x:c>
    </x:row>
    <x:row r="533" ht="35" customHeight="1">
      <x:c r="A533" s="7" t="inlineStr">
        <x:is>
          <x:t xml:space="preserve">P202609-0532</x:t>
        </x:is>
      </x:c>
      <x:c r="B533" s="7" t="n">
        <x:v>2026</x:v>
      </x:c>
      <x:c r="C533" s="7" t="inlineStr">
        <x:is>
          <x:t xml:space="preserve">Sep</x:t>
        </x:is>
      </x:c>
      <x:c r="D533" s="7" t="inlineStr">
        <x:is>
          <x:t xml:space="preserve">MCS52</x:t>
        </x:is>
      </x:c>
      <x:c r="E533" s="6" t="inlineStr">
        <x:is>
          <x:t xml:space="preserve">Tax filings and payments</x:t>
        </x:is>
      </x:c>
      <x:c r="F533" s="6" t="n"/>
      <x:c r="G533" s="6" t="inlineStr">
        <x:is>
          <x:t xml:space="preserve"/>
        </x:is>
      </x:c>
      <x:c r="H533" s="7" t="inlineStr">
        <x:is>
          <x:t xml:space="preserve">Operating Effectiveness</x:t>
        </x:is>
      </x:c>
      <x:c r="I533" s="7" t="inlineStr">
        <x:is>
          <x:t xml:space="preserve"/>
        </x:is>
      </x:c>
      <x:c r="J533" s="8" t="n">
        <x:v>46280</x:v>
      </x:c>
      <x:c r="K533" s="7" t="inlineStr">
        <x:is>
          <x:t xml:space="preserve">Not Started</x:t>
        </x:is>
      </x:c>
      <x:c r="L533" s="7" t="inlineStr">
        <x:is>
          <x:t xml:space="preserve"/>
        </x:is>
      </x:c>
      <x:c r="M533" s="6" t="inlineStr">
        <x:is>
          <x:t xml:space="preserve"/>
        </x:is>
      </x:c>
    </x:row>
    <x:row r="534" ht="35" customHeight="1">
      <x:c r="A534" s="7" t="inlineStr">
        <x:is>
          <x:t xml:space="preserve">P202609-0533</x:t>
        </x:is>
      </x:c>
      <x:c r="B534" s="7" t="n">
        <x:v>2026</x:v>
      </x:c>
      <x:c r="C534" s="7" t="inlineStr">
        <x:is>
          <x:t xml:space="preserve">Sep</x:t>
        </x:is>
      </x:c>
      <x:c r="D534" s="7" t="inlineStr">
        <x:is>
          <x:t xml:space="preserve">MCS53</x:t>
        </x:is>
      </x:c>
      <x:c r="E534" s="6" t="inlineStr">
        <x:is>
          <x:t xml:space="preserve">Deferred and current income tax calculations</x:t>
        </x:is>
      </x:c>
      <x:c r="F534" s="6" t="n"/>
      <x:c r="G534" s="6" t="inlineStr">
        <x:is>
          <x:t xml:space="preserve"/>
        </x:is>
      </x:c>
      <x:c r="H534" s="7" t="inlineStr">
        <x:is>
          <x:t xml:space="preserve">Operating Effectiveness</x:t>
        </x:is>
      </x:c>
      <x:c r="I534" s="7" t="inlineStr">
        <x:is>
          <x:t xml:space="preserve"/>
        </x:is>
      </x:c>
      <x:c r="J534" s="8" t="n">
        <x:v>46280</x:v>
      </x:c>
      <x:c r="K534" s="7" t="inlineStr">
        <x:is>
          <x:t xml:space="preserve">Not Started</x:t>
        </x:is>
      </x:c>
      <x:c r="L534" s="7" t="inlineStr">
        <x:is>
          <x:t xml:space="preserve"/>
        </x:is>
      </x:c>
      <x:c r="M534" s="6" t="inlineStr">
        <x:is>
          <x:t xml:space="preserve"/>
        </x:is>
      </x:c>
    </x:row>
    <x:row r="535" ht="35" customHeight="1">
      <x:c r="A535" s="7" t="inlineStr">
        <x:is>
          <x:t xml:space="preserve">P202609-0534</x:t>
        </x:is>
      </x:c>
      <x:c r="B535" s="7" t="n">
        <x:v>2026</x:v>
      </x:c>
      <x:c r="C535" s="7" t="inlineStr">
        <x:is>
          <x:t xml:space="preserve">Sep</x:t>
        </x:is>
      </x:c>
      <x:c r="D535" s="7" t="inlineStr">
        <x:is>
          <x:t xml:space="preserve">MCS54</x:t>
        </x:is>
      </x:c>
      <x:c r="E535" s="6" t="inlineStr">
        <x:is>
          <x:t xml:space="preserve">Transfer pricing</x:t>
        </x:is>
      </x:c>
      <x:c r="F535" s="6" t="n"/>
      <x:c r="G535" s="6" t="inlineStr">
        <x:is>
          <x:t xml:space="preserve"/>
        </x:is>
      </x:c>
      <x:c r="H535" s="7" t="inlineStr">
        <x:is>
          <x:t xml:space="preserve">Operating Effectiveness</x:t>
        </x:is>
      </x:c>
      <x:c r="I535" s="7" t="inlineStr">
        <x:is>
          <x:t xml:space="preserve"/>
        </x:is>
      </x:c>
      <x:c r="J535" s="8" t="n">
        <x:v>46280</x:v>
      </x:c>
      <x:c r="K535" s="7" t="inlineStr">
        <x:is>
          <x:t xml:space="preserve">Not Started</x:t>
        </x:is>
      </x:c>
      <x:c r="L535" s="7" t="inlineStr">
        <x:is>
          <x:t xml:space="preserve"/>
        </x:is>
      </x:c>
      <x:c r="M535" s="6" t="inlineStr">
        <x:is>
          <x:t xml:space="preserve"/>
        </x:is>
      </x:c>
    </x:row>
    <x:row r="536" ht="35" customHeight="1">
      <x:c r="A536" s="7" t="inlineStr">
        <x:is>
          <x:t xml:space="preserve">P202609-0535</x:t>
        </x:is>
      </x:c>
      <x:c r="B536" s="7" t="n">
        <x:v>2026</x:v>
      </x:c>
      <x:c r="C536" s="7" t="inlineStr">
        <x:is>
          <x:t xml:space="preserve">Sep</x:t>
        </x:is>
      </x:c>
      <x:c r="D536" s="7" t="inlineStr">
        <x:is>
          <x:t xml:space="preserve">MCS55</x:t>
        </x:is>
      </x:c>
      <x:c r="E536" s="6" t="inlineStr">
        <x:is>
          <x:t xml:space="preserve">Non-income (indirect) taxes</x:t>
        </x:is>
      </x:c>
      <x:c r="F536" s="6" t="n"/>
      <x:c r="G536" s="6" t="inlineStr">
        <x:is>
          <x:t xml:space="preserve"/>
        </x:is>
      </x:c>
      <x:c r="H536" s="7" t="inlineStr">
        <x:is>
          <x:t xml:space="preserve">Operating Effectiveness</x:t>
        </x:is>
      </x:c>
      <x:c r="I536" s="7" t="inlineStr">
        <x:is>
          <x:t xml:space="preserve"/>
        </x:is>
      </x:c>
      <x:c r="J536" s="8" t="n">
        <x:v>46280</x:v>
      </x:c>
      <x:c r="K536" s="7" t="inlineStr">
        <x:is>
          <x:t xml:space="preserve">Not Started</x:t>
        </x:is>
      </x:c>
      <x:c r="L536" s="7" t="inlineStr">
        <x:is>
          <x:t xml:space="preserve"/>
        </x:is>
      </x:c>
      <x:c r="M536" s="6" t="inlineStr">
        <x:is>
          <x:t xml:space="preserve"/>
        </x:is>
      </x:c>
    </x:row>
    <x:row r="537" ht="35" customHeight="1">
      <x:c r="A537" s="7" t="inlineStr">
        <x:is>
          <x:t xml:space="preserve">P202609-0536</x:t>
        </x:is>
      </x:c>
      <x:c r="B537" s="7" t="n">
        <x:v>2026</x:v>
      </x:c>
      <x:c r="C537" s="7" t="inlineStr">
        <x:is>
          <x:t xml:space="preserve">Sep</x:t>
        </x:is>
      </x:c>
      <x:c r="D537" s="7" t="inlineStr">
        <x:is>
          <x:t xml:space="preserve">MCS56</x:t>
        </x:is>
      </x:c>
      <x:c r="E537" s="6" t="inlineStr">
        <x:is>
          <x:t xml:space="preserve">Bank relations</x:t>
        </x:is>
      </x:c>
      <x:c r="F537" s="6" t="n"/>
      <x:c r="G537" s="6" t="inlineStr">
        <x:is>
          <x:t xml:space="preserve"/>
        </x:is>
      </x:c>
      <x:c r="H537" s="7" t="inlineStr">
        <x:is>
          <x:t xml:space="preserve">Operating Effectiveness</x:t>
        </x:is>
      </x:c>
      <x:c r="I537" s="7" t="inlineStr">
        <x:is>
          <x:t xml:space="preserve"/>
        </x:is>
      </x:c>
      <x:c r="J537" s="8" t="n">
        <x:v>46280</x:v>
      </x:c>
      <x:c r="K537" s="7" t="inlineStr">
        <x:is>
          <x:t xml:space="preserve">Not Started</x:t>
        </x:is>
      </x:c>
      <x:c r="L537" s="7" t="inlineStr">
        <x:is>
          <x:t xml:space="preserve"/>
        </x:is>
      </x:c>
      <x:c r="M537" s="6" t="inlineStr">
        <x:is>
          <x:t xml:space="preserve"/>
        </x:is>
      </x:c>
    </x:row>
    <x:row r="538" ht="35" customHeight="1">
      <x:c r="A538" s="7" t="inlineStr">
        <x:is>
          <x:t xml:space="preserve">P202609-0537</x:t>
        </x:is>
      </x:c>
      <x:c r="B538" s="7" t="n">
        <x:v>2026</x:v>
      </x:c>
      <x:c r="C538" s="7" t="inlineStr">
        <x:is>
          <x:t xml:space="preserve">Sep</x:t>
        </x:is>
      </x:c>
      <x:c r="D538" s="7" t="inlineStr">
        <x:is>
          <x:t xml:space="preserve">MCS57</x:t>
        </x:is>
      </x:c>
      <x:c r="E538" s="6" t="inlineStr">
        <x:is>
          <x:t xml:space="preserve">Cash transactions are not permitted without Regional Controller approval</x:t>
        </x:is>
      </x:c>
      <x:c r="F538" s="6" t="n"/>
      <x:c r="G538" s="6" t="inlineStr">
        <x:is>
          <x:t xml:space="preserve"/>
        </x:is>
      </x:c>
      <x:c r="H538" s="7" t="inlineStr">
        <x:is>
          <x:t xml:space="preserve">Operating Effectiveness</x:t>
        </x:is>
      </x:c>
      <x:c r="I538" s="7" t="inlineStr">
        <x:is>
          <x:t xml:space="preserve"/>
        </x:is>
      </x:c>
      <x:c r="J538" s="8" t="n">
        <x:v>46280</x:v>
      </x:c>
      <x:c r="K538" s="7" t="inlineStr">
        <x:is>
          <x:t xml:space="preserve">Not Started</x:t>
        </x:is>
      </x:c>
      <x:c r="L538" s="7" t="inlineStr">
        <x:is>
          <x:t xml:space="preserve"/>
        </x:is>
      </x:c>
      <x:c r="M538" s="6" t="inlineStr">
        <x:is>
          <x:t xml:space="preserve"/>
        </x:is>
      </x:c>
    </x:row>
    <x:row r="539" ht="35" customHeight="1">
      <x:c r="A539" s="7" t="inlineStr">
        <x:is>
          <x:t xml:space="preserve">P202609-0538</x:t>
        </x:is>
      </x:c>
      <x:c r="B539" s="7" t="n">
        <x:v>2026</x:v>
      </x:c>
      <x:c r="C539" s="7" t="inlineStr">
        <x:is>
          <x:t xml:space="preserve">Sep</x:t>
        </x:is>
      </x:c>
      <x:c r="D539" s="7" t="inlineStr">
        <x:is>
          <x:t xml:space="preserve">MCS58</x:t>
        </x:is>
      </x:c>
      <x:c r="E539" s="6" t="inlineStr">
        <x:is>
          <x:t xml:space="preserve">Secure payment means</x:t>
        </x:is>
      </x:c>
      <x:c r="F539" s="6" t="n"/>
      <x:c r="G539" s="6" t="inlineStr">
        <x:is>
          <x:t xml:space="preserve"/>
        </x:is>
      </x:c>
      <x:c r="H539" s="7" t="inlineStr">
        <x:is>
          <x:t xml:space="preserve">Operating Effectiveness</x:t>
        </x:is>
      </x:c>
      <x:c r="I539" s="7" t="inlineStr">
        <x:is>
          <x:t xml:space="preserve"/>
        </x:is>
      </x:c>
      <x:c r="J539" s="8" t="n">
        <x:v>46280</x:v>
      </x:c>
      <x:c r="K539" s="7" t="inlineStr">
        <x:is>
          <x:t xml:space="preserve">Not Started</x:t>
        </x:is>
      </x:c>
      <x:c r="L539" s="7" t="inlineStr">
        <x:is>
          <x:t xml:space="preserve"/>
        </x:is>
      </x:c>
      <x:c r="M539" s="6" t="inlineStr">
        <x:is>
          <x:t xml:space="preserve"/>
        </x:is>
      </x:c>
    </x:row>
    <x:row r="540" ht="35" customHeight="1">
      <x:c r="A540" s="7" t="inlineStr">
        <x:is>
          <x:t xml:space="preserve">P202609-0539</x:t>
        </x:is>
      </x:c>
      <x:c r="B540" s="7" t="n">
        <x:v>2026</x:v>
      </x:c>
      <x:c r="C540" s="7" t="inlineStr">
        <x:is>
          <x:t xml:space="preserve">Sep</x:t>
        </x:is>
      </x:c>
      <x:c r="D540" s="7" t="inlineStr">
        <x:is>
          <x:t xml:space="preserve">MCS59</x:t>
        </x:is>
      </x:c>
      <x:c r="E540" s="6" t="inlineStr">
        <x:is>
          <x:t xml:space="preserve">Financial instruments, borrowings, commitments and working capital schemes</x:t>
        </x:is>
      </x:c>
      <x:c r="F540" s="6" t="n"/>
      <x:c r="G540" s="6" t="inlineStr">
        <x:is>
          <x:t xml:space="preserve"/>
        </x:is>
      </x:c>
      <x:c r="H540" s="7" t="inlineStr">
        <x:is>
          <x:t xml:space="preserve">Operating Effectiveness</x:t>
        </x:is>
      </x:c>
      <x:c r="I540" s="7" t="inlineStr">
        <x:is>
          <x:t xml:space="preserve"/>
        </x:is>
      </x:c>
      <x:c r="J540" s="8" t="n">
        <x:v>46280</x:v>
      </x:c>
      <x:c r="K540" s="7" t="inlineStr">
        <x:is>
          <x:t xml:space="preserve">Not Started</x:t>
        </x:is>
      </x:c>
      <x:c r="L540" s="7" t="inlineStr">
        <x:is>
          <x:t xml:space="preserve"/>
        </x:is>
      </x:c>
      <x:c r="M540" s="6" t="inlineStr">
        <x:is>
          <x:t xml:space="preserve"/>
        </x:is>
      </x:c>
    </x:row>
    <x:row r="541" ht="35" customHeight="1">
      <x:c r="A541" s="7" t="inlineStr">
        <x:is>
          <x:t xml:space="preserve">P202609-0540</x:t>
        </x:is>
      </x:c>
      <x:c r="B541" s="7" t="n">
        <x:v>2026</x:v>
      </x:c>
      <x:c r="C541" s="7" t="inlineStr">
        <x:is>
          <x:t xml:space="preserve">Sep</x:t>
        </x:is>
      </x:c>
      <x:c r="D541" s="7" t="inlineStr">
        <x:is>
          <x:t xml:space="preserve">MCS60</x:t>
        </x:is>
      </x:c>
      <x:c r="E541" s="6" t="inlineStr">
        <x:is>
          <x:t xml:space="preserve">Forex, interest rate, commodities risks monitoring and hedging</x:t>
        </x:is>
      </x:c>
      <x:c r="F541" s="6" t="n"/>
      <x:c r="G541" s="6" t="inlineStr">
        <x:is>
          <x:t xml:space="preserve"/>
        </x:is>
      </x:c>
      <x:c r="H541" s="7" t="inlineStr">
        <x:is>
          <x:t xml:space="preserve">Operating Effectiveness</x:t>
        </x:is>
      </x:c>
      <x:c r="I541" s="7" t="inlineStr">
        <x:is>
          <x:t xml:space="preserve"/>
        </x:is>
      </x:c>
      <x:c r="J541" s="8" t="n">
        <x:v>46280</x:v>
      </x:c>
      <x:c r="K541" s="7" t="inlineStr">
        <x:is>
          <x:t xml:space="preserve">Not Started</x:t>
        </x:is>
      </x:c>
      <x:c r="L541" s="7" t="inlineStr">
        <x:is>
          <x:t xml:space="preserve"/>
        </x:is>
      </x:c>
      <x:c r="M541" s="6" t="inlineStr">
        <x:is>
          <x:t xml:space="preserve"/>
        </x:is>
      </x:c>
    </x:row>
    <x:row r="542" ht="35" customHeight="1">
      <x:c r="A542" s="7" t="inlineStr">
        <x:is>
          <x:t xml:space="preserve">P202610-0541</x:t>
        </x:is>
      </x:c>
      <x:c r="B542" s="7" t="n">
        <x:v>2026</x:v>
      </x:c>
      <x:c r="C542" s="7" t="inlineStr">
        <x:is>
          <x:t xml:space="preserve">Oct</x:t>
        </x:is>
      </x:c>
      <x:c r="D542" s="7" t="inlineStr">
        <x:is>
          <x:t xml:space="preserve">MCS01</x:t>
        </x:is>
      </x:c>
      <x:c r="E542" s="6" t="inlineStr">
        <x:is>
          <x:t xml:space="preserve">Communication and promotion of the Code of Business Conduct and speak-up culture</x:t>
        </x:is>
      </x:c>
      <x:c r="F542" s="6" t="inlineStr">
        <x:is>
          <x:t xml:space="preserve">Omoyemi Tuga Olamide Ayo-Ogunlade </x:t>
        </x:is>
      </x:c>
      <x:c r="G542" s="6" t="inlineStr">
        <x:is>
          <x:t xml:space="preserve"/>
        </x:is>
      </x:c>
      <x:c r="H542" s="7" t="inlineStr">
        <x:is>
          <x:t xml:space="preserve">Operating Effectiveness</x:t>
        </x:is>
      </x:c>
      <x:c r="I542" s="7" t="inlineStr">
        <x:is>
          <x:t xml:space="preserve"/>
        </x:is>
      </x:c>
      <x:c r="J542" s="8" t="n">
        <x:v>46310</x:v>
      </x:c>
      <x:c r="K542" s="7" t="inlineStr">
        <x:is>
          <x:t xml:space="preserve">Not Started</x:t>
        </x:is>
      </x:c>
      <x:c r="L542" s="7" t="inlineStr">
        <x:is>
          <x:t xml:space="preserve"/>
        </x:is>
      </x:c>
      <x:c r="M542" s="6" t="inlineStr">
        <x:is>
          <x:t xml:space="preserve"/>
        </x:is>
      </x:c>
    </x:row>
    <x:row r="543" ht="35" customHeight="1">
      <x:c r="A543" s="7" t="inlineStr">
        <x:is>
          <x:t xml:space="preserve">P202610-0542</x:t>
        </x:is>
      </x:c>
      <x:c r="B543" s="7" t="n">
        <x:v>2026</x:v>
      </x:c>
      <x:c r="C543" s="7" t="inlineStr">
        <x:is>
          <x:t xml:space="preserve">Oct</x:t>
        </x:is>
      </x:c>
      <x:c r="D543" s="7" t="inlineStr">
        <x:is>
          <x:t xml:space="preserve">MCS02</x:t>
        </x:is>
      </x:c>
      <x:c r="E543" s="6" t="inlineStr">
        <x:is>
          <x:t xml:space="preserve">Compliance with Fair Competition laws and requirements</x:t>
        </x:is>
      </x:c>
      <x:c r="F543" s="6" t="inlineStr">
        <x:is>
          <x:t xml:space="preserve">Mary Waititu</x:t>
        </x:is>
      </x:c>
      <x:c r="G543" s="6" t="inlineStr">
        <x:is>
          <x:t xml:space="preserve"/>
        </x:is>
      </x:c>
      <x:c r="H543" s="7" t="inlineStr">
        <x:is>
          <x:t xml:space="preserve">Operating Effectiveness</x:t>
        </x:is>
      </x:c>
      <x:c r="I543" s="7" t="inlineStr">
        <x:is>
          <x:t xml:space="preserve"/>
        </x:is>
      </x:c>
      <x:c r="J543" s="8" t="n">
        <x:v>46310</x:v>
      </x:c>
      <x:c r="K543" s="7" t="inlineStr">
        <x:is>
          <x:t xml:space="preserve">Not Started</x:t>
        </x:is>
      </x:c>
      <x:c r="L543" s="7" t="inlineStr">
        <x:is>
          <x:t xml:space="preserve"/>
        </x:is>
      </x:c>
      <x:c r="M543" s="6" t="inlineStr">
        <x:is>
          <x:t xml:space="preserve"/>
        </x:is>
      </x:c>
    </x:row>
    <x:row r="544" ht="35" customHeight="1">
      <x:c r="A544" s="7" t="inlineStr">
        <x:is>
          <x:t xml:space="preserve">P202610-0543</x:t>
        </x:is>
      </x:c>
      <x:c r="B544" s="7" t="n">
        <x:v>2026</x:v>
      </x:c>
      <x:c r="C544" s="7" t="inlineStr">
        <x:is>
          <x:t xml:space="preserve">Oct</x:t>
        </x:is>
      </x:c>
      <x:c r="D544" s="7" t="inlineStr">
        <x:is>
          <x:t xml:space="preserve">MCS03</x:t>
        </x:is>
      </x:c>
      <x:c r="E544" s="6" t="inlineStr">
        <x:is>
          <x:t xml:space="preserve">Related party transactions and conflict of interests</x:t>
        </x:is>
      </x:c>
      <x:c r="F544" s="6" t="inlineStr">
        <x:is>
          <x:t xml:space="preserve">Mary Waititu Godson Iwuozo</x:t>
        </x:is>
      </x:c>
      <x:c r="G544" s="6" t="inlineStr">
        <x:is>
          <x:t xml:space="preserve"/>
        </x:is>
      </x:c>
      <x:c r="H544" s="7" t="inlineStr">
        <x:is>
          <x:t xml:space="preserve">Operating Effectiveness</x:t>
        </x:is>
      </x:c>
      <x:c r="I544" s="7" t="inlineStr">
        <x:is>
          <x:t xml:space="preserve"/>
        </x:is>
      </x:c>
      <x:c r="J544" s="8" t="n">
        <x:v>46310</x:v>
      </x:c>
      <x:c r="K544" s="7" t="inlineStr">
        <x:is>
          <x:t xml:space="preserve">Not Started</x:t>
        </x:is>
      </x:c>
      <x:c r="L544" s="7" t="inlineStr">
        <x:is>
          <x:t xml:space="preserve"/>
        </x:is>
      </x:c>
      <x:c r="M544" s="6" t="inlineStr">
        <x:is>
          <x:t xml:space="preserve"/>
        </x:is>
      </x:c>
    </x:row>
    <x:row r="545" ht="35" customHeight="1">
      <x:c r="A545" s="7" t="inlineStr">
        <x:is>
          <x:t xml:space="preserve">P202610-0544</x:t>
        </x:is>
      </x:c>
      <x:c r="B545" s="7" t="n">
        <x:v>2026</x:v>
      </x:c>
      <x:c r="C545" s="7" t="inlineStr">
        <x:is>
          <x:t xml:space="preserve">Oct</x:t>
        </x:is>
      </x:c>
      <x:c r="D545" s="7" t="inlineStr">
        <x:is>
          <x:t xml:space="preserve">MCS04</x:t>
        </x:is>
      </x:c>
      <x:c r="E545" s="6" t="inlineStr">
        <x:is>
          <x:t xml:space="preserve">Board of Directors secretarial requirements</x:t>
        </x:is>
      </x:c>
      <x:c r="F545" s="6" t="inlineStr">
        <x:is>
          <x:t xml:space="preserve">Mary Waititu Godson Iwuozo</x:t>
        </x:is>
      </x:c>
      <x:c r="G545" s="6" t="inlineStr">
        <x:is>
          <x:t xml:space="preserve"/>
        </x:is>
      </x:c>
      <x:c r="H545" s="7" t="inlineStr">
        <x:is>
          <x:t xml:space="preserve">Operating Effectiveness</x:t>
        </x:is>
      </x:c>
      <x:c r="I545" s="7" t="inlineStr">
        <x:is>
          <x:t xml:space="preserve"/>
        </x:is>
      </x:c>
      <x:c r="J545" s="8" t="n">
        <x:v>46310</x:v>
      </x:c>
      <x:c r="K545" s="7" t="inlineStr">
        <x:is>
          <x:t xml:space="preserve">Not Started</x:t>
        </x:is>
      </x:c>
      <x:c r="L545" s="7" t="inlineStr">
        <x:is>
          <x:t xml:space="preserve"/>
        </x:is>
      </x:c>
      <x:c r="M545" s="6" t="inlineStr">
        <x:is>
          <x:t xml:space="preserve"/>
        </x:is>
      </x:c>
    </x:row>
    <x:row r="546" ht="35" customHeight="1">
      <x:c r="A546" s="7" t="inlineStr">
        <x:is>
          <x:t xml:space="preserve">P202610-0545</x:t>
        </x:is>
      </x:c>
      <x:c r="B546" s="7" t="n">
        <x:v>2026</x:v>
      </x:c>
      <x:c r="C546" s="7" t="inlineStr">
        <x:is>
          <x:t xml:space="preserve">Oct</x:t>
        </x:is>
      </x:c>
      <x:c r="D546" s="7" t="inlineStr">
        <x:is>
          <x:t xml:space="preserve">MCS05</x:t>
        </x:is>
      </x:c>
      <x:c r="E546" s="6" t="inlineStr">
        <x:is>
          <x:t xml:space="preserve">Health, Safety &amp; Environment</x:t>
        </x:is>
      </x:c>
      <x:c r="F546" s="6" t="inlineStr">
        <x:is>
          <x:t xml:space="preserve">Omoyemi Tuga Yomi Jegede</x:t>
        </x:is>
      </x:c>
      <x:c r="G546" s="6" t="inlineStr">
        <x:is>
          <x:t xml:space="preserve"/>
        </x:is>
      </x:c>
      <x:c r="H546" s="7" t="inlineStr">
        <x:is>
          <x:t xml:space="preserve">Operating Effectiveness</x:t>
        </x:is>
      </x:c>
      <x:c r="I546" s="7" t="inlineStr">
        <x:is>
          <x:t xml:space="preserve"/>
        </x:is>
      </x:c>
      <x:c r="J546" s="8" t="n">
        <x:v>46310</x:v>
      </x:c>
      <x:c r="K546" s="7" t="inlineStr">
        <x:is>
          <x:t xml:space="preserve">Not Started</x:t>
        </x:is>
      </x:c>
      <x:c r="L546" s="7" t="inlineStr">
        <x:is>
          <x:t xml:space="preserve"/>
        </x:is>
      </x:c>
      <x:c r="M546" s="6" t="inlineStr">
        <x:is>
          <x:t xml:space="preserve"/>
        </x:is>
      </x:c>
    </x:row>
    <x:row r="547" ht="35" customHeight="1">
      <x:c r="A547" s="7" t="inlineStr">
        <x:is>
          <x:t xml:space="preserve">P202610-0546</x:t>
        </x:is>
      </x:c>
      <x:c r="B547" s="7" t="n">
        <x:v>2026</x:v>
      </x:c>
      <x:c r="C547" s="7" t="inlineStr">
        <x:is>
          <x:t xml:space="preserve">Oct</x:t>
        </x:is>
      </x:c>
      <x:c r="D547" s="7" t="inlineStr">
        <x:is>
          <x:t xml:space="preserve">MCS06</x:t>
        </x:is>
      </x:c>
      <x:c r="E547" s="6" t="inlineStr">
        <x:is>
          <x:t xml:space="preserve">Risk assessment</x:t>
        </x:is>
      </x:c>
      <x:c r="F547" s="6" t="inlineStr">
        <x:is>
          <x:t xml:space="preserve">Oluwaseun Oyedepo</x:t>
        </x:is>
      </x:c>
      <x:c r="G547" s="6" t="inlineStr">
        <x:is>
          <x:t xml:space="preserve"/>
        </x:is>
      </x:c>
      <x:c r="H547" s="7" t="inlineStr">
        <x:is>
          <x:t xml:space="preserve">Operating Effectiveness</x:t>
        </x:is>
      </x:c>
      <x:c r="I547" s="7" t="inlineStr">
        <x:is>
          <x:t xml:space="preserve"/>
        </x:is>
      </x:c>
      <x:c r="J547" s="8" t="n">
        <x:v>46310</x:v>
      </x:c>
      <x:c r="K547" s="7" t="inlineStr">
        <x:is>
          <x:t xml:space="preserve">Not Started</x:t>
        </x:is>
      </x:c>
      <x:c r="L547" s="7" t="inlineStr">
        <x:is>
          <x:t xml:space="preserve"/>
        </x:is>
      </x:c>
      <x:c r="M547" s="6" t="inlineStr">
        <x:is>
          <x:t xml:space="preserve"/>
        </x:is>
      </x:c>
    </x:row>
    <x:row r="548" ht="35" customHeight="1">
      <x:c r="A548" s="7" t="inlineStr">
        <x:is>
          <x:t xml:space="preserve">P202610-0547</x:t>
        </x:is>
      </x:c>
      <x:c r="B548" s="7" t="n">
        <x:v>2026</x:v>
      </x:c>
      <x:c r="C548" s="7" t="inlineStr">
        <x:is>
          <x:t xml:space="preserve">Oct</x:t>
        </x:is>
      </x:c>
      <x:c r="D548" s="7" t="inlineStr">
        <x:is>
          <x:t xml:space="preserve">MCS07</x:t>
        </x:is>
      </x:c>
      <x:c r="E548" s="6" t="inlineStr">
        <x:is>
          <x:t xml:space="preserve">Mitigation of business risks - Security</x:t>
        </x:is>
      </x:c>
      <x:c r="F548" s="6" t="inlineStr">
        <x:is>
          <x:t xml:space="preserve">Olamide Ayo-Ogunlade Obinna Ojimba</x:t>
        </x:is>
      </x:c>
      <x:c r="G548" s="6" t="inlineStr">
        <x:is>
          <x:t xml:space="preserve"/>
        </x:is>
      </x:c>
      <x:c r="H548" s="7" t="inlineStr">
        <x:is>
          <x:t xml:space="preserve">Operating Effectiveness</x:t>
        </x:is>
      </x:c>
      <x:c r="I548" s="7" t="inlineStr">
        <x:is>
          <x:t xml:space="preserve"/>
        </x:is>
      </x:c>
      <x:c r="J548" s="8" t="n">
        <x:v>46310</x:v>
      </x:c>
      <x:c r="K548" s="7" t="inlineStr">
        <x:is>
          <x:t xml:space="preserve">Not Started</x:t>
        </x:is>
      </x:c>
      <x:c r="L548" s="7" t="inlineStr">
        <x:is>
          <x:t xml:space="preserve"/>
        </x:is>
      </x:c>
      <x:c r="M548" s="6" t="inlineStr">
        <x:is>
          <x:t xml:space="preserve"/>
        </x:is>
      </x:c>
    </x:row>
    <x:row r="549" ht="35" customHeight="1">
      <x:c r="A549" s="7" t="inlineStr">
        <x:is>
          <x:t xml:space="preserve">P202610-0548</x:t>
        </x:is>
      </x:c>
      <x:c r="B549" s="7" t="n">
        <x:v>2026</x:v>
      </x:c>
      <x:c r="C549" s="7" t="inlineStr">
        <x:is>
          <x:t xml:space="preserve">Oct</x:t>
        </x:is>
      </x:c>
      <x:c r="D549" s="7" t="inlineStr">
        <x:is>
          <x:t xml:space="preserve">MCS08</x:t>
        </x:is>
      </x:c>
      <x:c r="E549" s="6" t="inlineStr">
        <x:is>
          <x:t xml:space="preserve">Mitigation of business risks - Group insurance</x:t>
        </x:is>
      </x:c>
      <x:c r="F549" s="6" t="inlineStr">
        <x:is>
          <x:t xml:space="preserve">Victory Olumuyiwa</x:t>
        </x:is>
      </x:c>
      <x:c r="G549" s="6" t="inlineStr">
        <x:is>
          <x:t xml:space="preserve"/>
        </x:is>
      </x:c>
      <x:c r="H549" s="7" t="inlineStr">
        <x:is>
          <x:t xml:space="preserve">Operating Effectiveness</x:t>
        </x:is>
      </x:c>
      <x:c r="I549" s="7" t="inlineStr">
        <x:is>
          <x:t xml:space="preserve"/>
        </x:is>
      </x:c>
      <x:c r="J549" s="8" t="n">
        <x:v>46310</x:v>
      </x:c>
      <x:c r="K549" s="7" t="inlineStr">
        <x:is>
          <x:t xml:space="preserve">Not Started</x:t>
        </x:is>
      </x:c>
      <x:c r="L549" s="7" t="inlineStr">
        <x:is>
          <x:t xml:space="preserve"/>
        </x:is>
      </x:c>
      <x:c r="M549" s="6" t="inlineStr">
        <x:is>
          <x:t xml:space="preserve"/>
        </x:is>
      </x:c>
    </x:row>
    <x:row r="550" ht="35" customHeight="1">
      <x:c r="A550" s="7" t="inlineStr">
        <x:is>
          <x:t xml:space="preserve">P202610-0549</x:t>
        </x:is>
      </x:c>
      <x:c r="B550" s="7" t="n">
        <x:v>2026</x:v>
      </x:c>
      <x:c r="C550" s="7" t="inlineStr">
        <x:is>
          <x:t xml:space="preserve">Oct</x:t>
        </x:is>
      </x:c>
      <x:c r="D550" s="7" t="inlineStr">
        <x:is>
          <x:t xml:space="preserve">MCS09</x:t>
        </x:is>
      </x:c>
      <x:c r="E550" s="6" t="inlineStr">
        <x:is>
          <x:t xml:space="preserve">Mitigation of business risks - Business Resilience System</x:t>
        </x:is>
      </x:c>
      <x:c r="F550" s="6" t="inlineStr">
        <x:is>
          <x:t xml:space="preserve">Oluwaseun Oyedepo</x:t>
        </x:is>
      </x:c>
      <x:c r="G550" s="6" t="inlineStr">
        <x:is>
          <x:t xml:space="preserve"/>
        </x:is>
      </x:c>
      <x:c r="H550" s="7" t="inlineStr">
        <x:is>
          <x:t xml:space="preserve">Operating Effectiveness</x:t>
        </x:is>
      </x:c>
      <x:c r="I550" s="7" t="inlineStr">
        <x:is>
          <x:t xml:space="preserve"/>
        </x:is>
      </x:c>
      <x:c r="J550" s="8" t="n">
        <x:v>46310</x:v>
      </x:c>
      <x:c r="K550" s="7" t="inlineStr">
        <x:is>
          <x:t xml:space="preserve">Not Started</x:t>
        </x:is>
      </x:c>
      <x:c r="L550" s="7" t="inlineStr">
        <x:is>
          <x:t xml:space="preserve"/>
        </x:is>
      </x:c>
      <x:c r="M550" s="6" t="inlineStr">
        <x:is>
          <x:t xml:space="preserve"/>
        </x:is>
      </x:c>
    </x:row>
    <x:row r="551" ht="35" customHeight="1">
      <x:c r="A551" s="7" t="inlineStr">
        <x:is>
          <x:t xml:space="preserve">P202610-0550</x:t>
        </x:is>
      </x:c>
      <x:c r="B551" s="7" t="n">
        <x:v>2026</x:v>
      </x:c>
      <x:c r="C551" s="7" t="inlineStr">
        <x:is>
          <x:t xml:space="preserve">Oct</x:t>
        </x:is>
      </x:c>
      <x:c r="D551" s="7" t="inlineStr">
        <x:is>
          <x:t xml:space="preserve">MCS10</x:t>
        </x:is>
      </x:c>
      <x:c r="E551" s="6" t="inlineStr">
        <x:is>
          <x:t xml:space="preserve">Mitigation of business risks - Remediation of deficiencies and non-compliance with MCS</x:t>
        </x:is>
      </x:c>
      <x:c r="F551" s="6" t="inlineStr">
        <x:is>
          <x:t xml:space="preserve">Oluwaseun Oyedepo</x:t>
        </x:is>
      </x:c>
      <x:c r="G551" s="6" t="inlineStr">
        <x:is>
          <x:t xml:space="preserve"/>
        </x:is>
      </x:c>
      <x:c r="H551" s="7" t="inlineStr">
        <x:is>
          <x:t xml:space="preserve">Operating Effectiveness</x:t>
        </x:is>
      </x:c>
      <x:c r="I551" s="7" t="inlineStr">
        <x:is>
          <x:t xml:space="preserve"/>
        </x:is>
      </x:c>
      <x:c r="J551" s="8" t="n">
        <x:v>46310</x:v>
      </x:c>
      <x:c r="K551" s="7" t="inlineStr">
        <x:is>
          <x:t xml:space="preserve">Not Started</x:t>
        </x:is>
      </x:c>
      <x:c r="L551" s="7" t="inlineStr">
        <x:is>
          <x:t xml:space="preserve"/>
        </x:is>
      </x:c>
      <x:c r="M551" s="6" t="inlineStr">
        <x:is>
          <x:t xml:space="preserve"/>
        </x:is>
      </x:c>
    </x:row>
    <x:row r="552" ht="35" customHeight="1">
      <x:c r="A552" s="7" t="inlineStr">
        <x:is>
          <x:t xml:space="preserve">P202610-0551</x:t>
        </x:is>
      </x:c>
      <x:c r="B552" s="7" t="n">
        <x:v>2026</x:v>
      </x:c>
      <x:c r="C552" s="7" t="inlineStr">
        <x:is>
          <x:t xml:space="preserve">Oct</x:t>
        </x:is>
      </x:c>
      <x:c r="D552" s="7" t="inlineStr">
        <x:is>
          <x:t xml:space="preserve">MCS11</x:t>
        </x:is>
      </x:c>
      <x:c r="E552" s="6" t="inlineStr">
        <x:is>
          <x:t xml:space="preserve">Personal data protection</x:t>
        </x:is>
      </x:c>
      <x:c r="F552" s="6" t="inlineStr">
        <x:is>
          <x:t xml:space="preserve">Olamide Ayo-Ogunlade @</x:t>
        </x:is>
      </x:c>
      <x:c r="G552" s="6" t="inlineStr">
        <x:is>
          <x:t xml:space="preserve"/>
        </x:is>
      </x:c>
      <x:c r="H552" s="7" t="inlineStr">
        <x:is>
          <x:t xml:space="preserve">Operating Effectiveness</x:t>
        </x:is>
      </x:c>
      <x:c r="I552" s="7" t="inlineStr">
        <x:is>
          <x:t xml:space="preserve"/>
        </x:is>
      </x:c>
      <x:c r="J552" s="8" t="n">
        <x:v>46310</x:v>
      </x:c>
      <x:c r="K552" s="7" t="inlineStr">
        <x:is>
          <x:t xml:space="preserve">Not Started</x:t>
        </x:is>
      </x:c>
      <x:c r="L552" s="7" t="inlineStr">
        <x:is>
          <x:t xml:space="preserve"/>
        </x:is>
      </x:c>
      <x:c r="M552" s="6" t="inlineStr">
        <x:is>
          <x:t xml:space="preserve"/>
        </x:is>
      </x:c>
    </x:row>
    <x:row r="553" ht="35" customHeight="1">
      <x:c r="A553" s="7" t="inlineStr">
        <x:is>
          <x:t xml:space="preserve">P202610-0552</x:t>
        </x:is>
      </x:c>
      <x:c r="B553" s="7" t="n">
        <x:v>2026</x:v>
      </x:c>
      <x:c r="C553" s="7" t="inlineStr">
        <x:is>
          <x:t xml:space="preserve">Oct</x:t>
        </x:is>
      </x:c>
      <x:c r="D553" s="7" t="inlineStr">
        <x:is>
          <x:t xml:space="preserve">MCS12</x:t>
        </x:is>
      </x:c>
      <x:c r="E553" s="6" t="inlineStr">
        <x:is>
          <x:t xml:space="preserve">Segregation of duties and user access review</x:t>
        </x:is>
      </x:c>
      <x:c r="F553" s="6" t="inlineStr">
        <x:is>
          <x:t xml:space="preserve">Theophilus Okolie</x:t>
        </x:is>
      </x:c>
      <x:c r="G553" s="6" t="inlineStr">
        <x:is>
          <x:t xml:space="preserve"/>
        </x:is>
      </x:c>
      <x:c r="H553" s="7" t="inlineStr">
        <x:is>
          <x:t xml:space="preserve">Operating Effectiveness</x:t>
        </x:is>
      </x:c>
      <x:c r="I553" s="7" t="inlineStr">
        <x:is>
          <x:t xml:space="preserve"/>
        </x:is>
      </x:c>
      <x:c r="J553" s="8" t="n">
        <x:v>46310</x:v>
      </x:c>
      <x:c r="K553" s="7" t="inlineStr">
        <x:is>
          <x:t xml:space="preserve">Not Started</x:t>
        </x:is>
      </x:c>
      <x:c r="L553" s="7" t="inlineStr">
        <x:is>
          <x:t xml:space="preserve"/>
        </x:is>
      </x:c>
      <x:c r="M553" s="6" t="inlineStr">
        <x:is>
          <x:t xml:space="preserve"/>
        </x:is>
      </x:c>
    </x:row>
    <x:row r="554" ht="35" customHeight="1">
      <x:c r="A554" s="7" t="inlineStr">
        <x:is>
          <x:t xml:space="preserve">P202610-0553</x:t>
        </x:is>
      </x:c>
      <x:c r="B554" s="7" t="n">
        <x:v>2026</x:v>
      </x:c>
      <x:c r="C554" s="7" t="inlineStr">
        <x:is>
          <x:t xml:space="preserve">Oct</x:t>
        </x:is>
      </x:c>
      <x:c r="D554" s="7" t="inlineStr">
        <x:is>
          <x:t xml:space="preserve">MCS13</x:t>
        </x:is>
      </x:c>
      <x:c r="E554" s="6" t="inlineStr">
        <x:is>
          <x:t xml:space="preserve">Delegation of authorities and approval workflows</x:t>
        </x:is>
      </x:c>
      <x:c r="F554" s="6" t="inlineStr">
        <x:is>
          <x:t xml:space="preserve">Ramakant Patil</x:t>
        </x:is>
      </x:c>
      <x:c r="G554" s="6" t="inlineStr">
        <x:is>
          <x:t xml:space="preserve"/>
        </x:is>
      </x:c>
      <x:c r="H554" s="7" t="inlineStr">
        <x:is>
          <x:t xml:space="preserve">Operating Effectiveness</x:t>
        </x:is>
      </x:c>
      <x:c r="I554" s="7" t="inlineStr">
        <x:is>
          <x:t xml:space="preserve"/>
        </x:is>
      </x:c>
      <x:c r="J554" s="8" t="n">
        <x:v>46310</x:v>
      </x:c>
      <x:c r="K554" s="7" t="inlineStr">
        <x:is>
          <x:t xml:space="preserve">Not Started</x:t>
        </x:is>
      </x:c>
      <x:c r="L554" s="7" t="inlineStr">
        <x:is>
          <x:t xml:space="preserve"/>
        </x:is>
      </x:c>
      <x:c r="M554" s="6" t="inlineStr">
        <x:is>
          <x:t xml:space="preserve"/>
        </x:is>
      </x:c>
    </x:row>
    <x:row r="555" ht="35" customHeight="1">
      <x:c r="A555" s="7" t="inlineStr">
        <x:is>
          <x:t xml:space="preserve">P202610-0554</x:t>
        </x:is>
      </x:c>
      <x:c r="B555" s="7" t="n">
        <x:v>2026</x:v>
      </x:c>
      <x:c r="C555" s="7" t="inlineStr">
        <x:is>
          <x:t xml:space="preserve">Oct</x:t>
        </x:is>
      </x:c>
      <x:c r="D555" s="7" t="inlineStr">
        <x:is>
          <x:t xml:space="preserve">MCS14</x:t>
        </x:is>
      </x:c>
      <x:c r="E555" s="6" t="inlineStr">
        <x:is>
          <x:t xml:space="preserve">Litigation disputes</x:t>
        </x:is>
      </x:c>
      <x:c r="F555" s="6" t="inlineStr">
        <x:is>
          <x:t xml:space="preserve">Mary Waititu</x:t>
        </x:is>
      </x:c>
      <x:c r="G555" s="6" t="inlineStr">
        <x:is>
          <x:t xml:space="preserve"/>
        </x:is>
      </x:c>
      <x:c r="H555" s="7" t="inlineStr">
        <x:is>
          <x:t xml:space="preserve">Operating Effectiveness</x:t>
        </x:is>
      </x:c>
      <x:c r="I555" s="7" t="inlineStr">
        <x:is>
          <x:t xml:space="preserve"/>
        </x:is>
      </x:c>
      <x:c r="J555" s="8" t="n">
        <x:v>46310</x:v>
      </x:c>
      <x:c r="K555" s="7" t="inlineStr">
        <x:is>
          <x:t xml:space="preserve">Not Started</x:t>
        </x:is>
      </x:c>
      <x:c r="L555" s="7" t="inlineStr">
        <x:is>
          <x:t xml:space="preserve"/>
        </x:is>
      </x:c>
      <x:c r="M555" s="6" t="inlineStr">
        <x:is>
          <x:t xml:space="preserve"/>
        </x:is>
      </x:c>
    </x:row>
    <x:row r="556" ht="35" customHeight="1">
      <x:c r="A556" s="7" t="inlineStr">
        <x:is>
          <x:t xml:space="preserve">P202610-0555</x:t>
        </x:is>
      </x:c>
      <x:c r="B556" s="7" t="n">
        <x:v>2026</x:v>
      </x:c>
      <x:c r="C556" s="7" t="inlineStr">
        <x:is>
          <x:t xml:space="preserve">Oct</x:t>
        </x:is>
      </x:c>
      <x:c r="D556" s="7" t="inlineStr">
        <x:is>
          <x:t xml:space="preserve">MCS15</x:t>
        </x:is>
      </x:c>
      <x:c r="E556" s="6" t="inlineStr">
        <x:is>
          <x:t xml:space="preserve">Review of contracts by finance</x:t>
        </x:is>
      </x:c>
      <x:c r="F556" s="6" t="inlineStr">
        <x:is>
          <x:t xml:space="preserve">Ovie Itie</x:t>
        </x:is>
      </x:c>
      <x:c r="G556" s="6" t="inlineStr">
        <x:is>
          <x:t xml:space="preserve"/>
        </x:is>
      </x:c>
      <x:c r="H556" s="7" t="inlineStr">
        <x:is>
          <x:t xml:space="preserve">Operating Effectiveness</x:t>
        </x:is>
      </x:c>
      <x:c r="I556" s="7" t="inlineStr">
        <x:is>
          <x:t xml:space="preserve"/>
        </x:is>
      </x:c>
      <x:c r="J556" s="8" t="n">
        <x:v>46310</x:v>
      </x:c>
      <x:c r="K556" s="7" t="inlineStr">
        <x:is>
          <x:t xml:space="preserve">Not Started</x:t>
        </x:is>
      </x:c>
      <x:c r="L556" s="7" t="inlineStr">
        <x:is>
          <x:t xml:space="preserve"/>
        </x:is>
      </x:c>
      <x:c r="M556" s="6" t="inlineStr">
        <x:is>
          <x:t xml:space="preserve"/>
        </x:is>
      </x:c>
    </x:row>
    <x:row r="557" ht="35" customHeight="1">
      <x:c r="A557" s="7" t="inlineStr">
        <x:is>
          <x:t xml:space="preserve">P202610-0556</x:t>
        </x:is>
      </x:c>
      <x:c r="B557" s="7" t="n">
        <x:v>2026</x:v>
      </x:c>
      <x:c r="C557" s="7" t="inlineStr">
        <x:is>
          <x:t xml:space="preserve">Oct</x:t>
        </x:is>
      </x:c>
      <x:c r="D557" s="7" t="inlineStr">
        <x:is>
          <x:t xml:space="preserve">MCS16</x:t>
        </x:is>
      </x:c>
      <x:c r="E557" s="6" t="inlineStr">
        <x:is>
          <x:t xml:space="preserve">Management of titles and permits</x:t>
        </x:is>
      </x:c>
      <x:c r="F557" s="6" t="n"/>
      <x:c r="G557" s="6" t="inlineStr">
        <x:is>
          <x:t xml:space="preserve"/>
        </x:is>
      </x:c>
      <x:c r="H557" s="7" t="inlineStr">
        <x:is>
          <x:t xml:space="preserve">Operating Effectiveness</x:t>
        </x:is>
      </x:c>
      <x:c r="I557" s="7" t="inlineStr">
        <x:is>
          <x:t xml:space="preserve"/>
        </x:is>
      </x:c>
      <x:c r="J557" s="8" t="n">
        <x:v>46310</x:v>
      </x:c>
      <x:c r="K557" s="7" t="inlineStr">
        <x:is>
          <x:t xml:space="preserve">Not Started</x:t>
        </x:is>
      </x:c>
      <x:c r="L557" s="7" t="inlineStr">
        <x:is>
          <x:t xml:space="preserve"/>
        </x:is>
      </x:c>
      <x:c r="M557" s="6" t="inlineStr">
        <x:is>
          <x:t xml:space="preserve"/>
        </x:is>
      </x:c>
    </x:row>
    <x:row r="558" ht="35" customHeight="1">
      <x:c r="A558" s="7" t="inlineStr">
        <x:is>
          <x:t xml:space="preserve">P202610-0557</x:t>
        </x:is>
      </x:c>
      <x:c r="B558" s="7" t="n">
        <x:v>2026</x:v>
      </x:c>
      <x:c r="C558" s="7" t="inlineStr">
        <x:is>
          <x:t xml:space="preserve">Oct</x:t>
        </x:is>
      </x:c>
      <x:c r="D558" s="7" t="inlineStr">
        <x:is>
          <x:t xml:space="preserve">MCS18</x:t>
        </x:is>
      </x:c>
      <x:c r="E558" s="6" t="inlineStr">
        <x:is>
          <x:t xml:space="preserve">Classification and depreciation of property, plant &amp; equipment</x:t>
        </x:is>
      </x:c>
      <x:c r="F558" s="6" t="n"/>
      <x:c r="G558" s="6" t="inlineStr">
        <x:is>
          <x:t xml:space="preserve"/>
        </x:is>
      </x:c>
      <x:c r="H558" s="7" t="inlineStr">
        <x:is>
          <x:t xml:space="preserve">Operating Effectiveness</x:t>
        </x:is>
      </x:c>
      <x:c r="I558" s="7" t="inlineStr">
        <x:is>
          <x:t xml:space="preserve"/>
        </x:is>
      </x:c>
      <x:c r="J558" s="8" t="n">
        <x:v>46310</x:v>
      </x:c>
      <x:c r="K558" s="7" t="inlineStr">
        <x:is>
          <x:t xml:space="preserve">Not Started</x:t>
        </x:is>
      </x:c>
      <x:c r="L558" s="7" t="inlineStr">
        <x:is>
          <x:t xml:space="preserve"/>
        </x:is>
      </x:c>
      <x:c r="M558" s="6" t="inlineStr">
        <x:is>
          <x:t xml:space="preserve"/>
        </x:is>
      </x:c>
    </x:row>
    <x:row r="559" ht="35" customHeight="1">
      <x:c r="A559" s="7" t="inlineStr">
        <x:is>
          <x:t xml:space="preserve">P202610-0558</x:t>
        </x:is>
      </x:c>
      <x:c r="B559" s="7" t="n">
        <x:v>2026</x:v>
      </x:c>
      <x:c r="C559" s="7" t="inlineStr">
        <x:is>
          <x:t xml:space="preserve">Oct</x:t>
        </x:is>
      </x:c>
      <x:c r="D559" s="7" t="inlineStr">
        <x:is>
          <x:t xml:space="preserve">MCS19</x:t>
        </x:is>
      </x:c>
      <x:c r="E559" s="6" t="inlineStr">
        <x:is>
          <x:t xml:space="preserve">Physical verification of Fixed Asset</x:t>
        </x:is>
      </x:c>
      <x:c r="F559" s="6" t="n"/>
      <x:c r="G559" s="6" t="inlineStr">
        <x:is>
          <x:t xml:space="preserve"/>
        </x:is>
      </x:c>
      <x:c r="H559" s="7" t="inlineStr">
        <x:is>
          <x:t xml:space="preserve">Operating Effectiveness</x:t>
        </x:is>
      </x:c>
      <x:c r="I559" s="7" t="inlineStr">
        <x:is>
          <x:t xml:space="preserve"/>
        </x:is>
      </x:c>
      <x:c r="J559" s="8" t="n">
        <x:v>46310</x:v>
      </x:c>
      <x:c r="K559" s="7" t="inlineStr">
        <x:is>
          <x:t xml:space="preserve">Not Started</x:t>
        </x:is>
      </x:c>
      <x:c r="L559" s="7" t="inlineStr">
        <x:is>
          <x:t xml:space="preserve"/>
        </x:is>
      </x:c>
      <x:c r="M559" s="6" t="inlineStr">
        <x:is>
          <x:t xml:space="preserve"/>
        </x:is>
      </x:c>
    </x:row>
    <x:row r="560" ht="35" customHeight="1">
      <x:c r="A560" s="7" t="inlineStr">
        <x:is>
          <x:t xml:space="preserve">P202610-0559</x:t>
        </x:is>
      </x:c>
      <x:c r="B560" s="7" t="n">
        <x:v>2026</x:v>
      </x:c>
      <x:c r="C560" s="7" t="inlineStr">
        <x:is>
          <x:t xml:space="preserve">Oct</x:t>
        </x:is>
      </x:c>
      <x:c r="D560" s="7" t="inlineStr">
        <x:is>
          <x:t xml:space="preserve">MCS20</x:t>
        </x:is>
      </x:c>
      <x:c r="E560" s="6" t="inlineStr">
        <x:is>
          <x:t xml:space="preserve">Management of customer and inventory master data</x:t>
        </x:is>
      </x:c>
      <x:c r="F560" s="6" t="inlineStr">
        <x:is>
          <x:t xml:space="preserve">Yomi Jegede</x:t>
        </x:is>
      </x:c>
      <x:c r="G560" s="6" t="inlineStr">
        <x:is>
          <x:t xml:space="preserve"/>
        </x:is>
      </x:c>
      <x:c r="H560" s="7" t="inlineStr">
        <x:is>
          <x:t xml:space="preserve">Operating Effectiveness</x:t>
        </x:is>
      </x:c>
      <x:c r="I560" s="7" t="inlineStr">
        <x:is>
          <x:t xml:space="preserve"/>
        </x:is>
      </x:c>
      <x:c r="J560" s="8" t="n">
        <x:v>46310</x:v>
      </x:c>
      <x:c r="K560" s="7" t="inlineStr">
        <x:is>
          <x:t xml:space="preserve">Not Started</x:t>
        </x:is>
      </x:c>
      <x:c r="L560" s="7" t="inlineStr">
        <x:is>
          <x:t xml:space="preserve"/>
        </x:is>
      </x:c>
      <x:c r="M560" s="6" t="inlineStr">
        <x:is>
          <x:t xml:space="preserve"/>
        </x:is>
      </x:c>
    </x:row>
    <x:row r="561" ht="35" customHeight="1">
      <x:c r="A561" s="7" t="inlineStr">
        <x:is>
          <x:t xml:space="preserve">P202610-0560</x:t>
        </x:is>
      </x:c>
      <x:c r="B561" s="7" t="n">
        <x:v>2026</x:v>
      </x:c>
      <x:c r="C561" s="7" t="inlineStr">
        <x:is>
          <x:t xml:space="preserve">Oct</x:t>
        </x:is>
      </x:c>
      <x:c r="D561" s="7" t="inlineStr">
        <x:is>
          <x:t xml:space="preserve">MCS21</x:t>
        </x:is>
      </x:c>
      <x:c r="E561" s="6" t="inlineStr">
        <x:is>
          <x:t xml:space="preserve">Price management</x:t>
        </x:is>
      </x:c>
      <x:c r="F561" s="6" t="n"/>
      <x:c r="G561" s="6" t="inlineStr">
        <x:is>
          <x:t xml:space="preserve"/>
        </x:is>
      </x:c>
      <x:c r="H561" s="7" t="inlineStr">
        <x:is>
          <x:t xml:space="preserve">Operating Effectiveness</x:t>
        </x:is>
      </x:c>
      <x:c r="I561" s="7" t="inlineStr">
        <x:is>
          <x:t xml:space="preserve"/>
        </x:is>
      </x:c>
      <x:c r="J561" s="8" t="n">
        <x:v>46310</x:v>
      </x:c>
      <x:c r="K561" s="7" t="inlineStr">
        <x:is>
          <x:t xml:space="preserve">Not Started</x:t>
        </x:is>
      </x:c>
      <x:c r="L561" s="7" t="inlineStr">
        <x:is>
          <x:t xml:space="preserve"/>
        </x:is>
      </x:c>
      <x:c r="M561" s="6" t="inlineStr">
        <x:is>
          <x:t xml:space="preserve"/>
        </x:is>
      </x:c>
    </x:row>
    <x:row r="562" ht="35" customHeight="1">
      <x:c r="A562" s="7" t="inlineStr">
        <x:is>
          <x:t xml:space="preserve">P202610-0561</x:t>
        </x:is>
      </x:c>
      <x:c r="B562" s="7" t="n">
        <x:v>2026</x:v>
      </x:c>
      <x:c r="C562" s="7" t="inlineStr">
        <x:is>
          <x:t xml:space="preserve">Oct</x:t>
        </x:is>
      </x:c>
      <x:c r="D562" s="7" t="inlineStr">
        <x:is>
          <x:t xml:space="preserve">MCS22.1</x:t>
        </x:is>
      </x:c>
      <x:c r="E562" s="6" t="inlineStr">
        <x:is>
          <x:t xml:space="preserve">Control of customer credit limits - Easybuy</x:t>
        </x:is>
      </x:c>
      <x:c r="F562" s="6" t="inlineStr">
        <x:is>
          <x:t xml:space="preserve">Omoyemi Tuga Ogunsanmi Opeyemi Listbon</x:t>
        </x:is>
      </x:c>
      <x:c r="G562" s="6" t="inlineStr">
        <x:is>
          <x:t xml:space="preserve"/>
        </x:is>
      </x:c>
      <x:c r="H562" s="7" t="inlineStr">
        <x:is>
          <x:t xml:space="preserve">Operating Effectiveness</x:t>
        </x:is>
      </x:c>
      <x:c r="I562" s="7" t="inlineStr">
        <x:is>
          <x:t xml:space="preserve"/>
        </x:is>
      </x:c>
      <x:c r="J562" s="8" t="n">
        <x:v>46310</x:v>
      </x:c>
      <x:c r="K562" s="7" t="inlineStr">
        <x:is>
          <x:t xml:space="preserve">Not Started</x:t>
        </x:is>
      </x:c>
      <x:c r="L562" s="7" t="inlineStr">
        <x:is>
          <x:t xml:space="preserve"/>
        </x:is>
      </x:c>
      <x:c r="M562" s="6" t="inlineStr">
        <x:is>
          <x:t xml:space="preserve"/>
        </x:is>
      </x:c>
    </x:row>
    <x:row r="563" ht="35" customHeight="1">
      <x:c r="A563" s="7" t="inlineStr">
        <x:is>
          <x:t xml:space="preserve">P202610-0562</x:t>
        </x:is>
      </x:c>
      <x:c r="B563" s="7" t="n">
        <x:v>2026</x:v>
      </x:c>
      <x:c r="C563" s="7" t="inlineStr">
        <x:is>
          <x:t xml:space="preserve">Oct</x:t>
        </x:is>
      </x:c>
      <x:c r="D563" s="7" t="inlineStr">
        <x:is>
          <x:t xml:space="preserve">MCS22.2</x:t>
        </x:is>
      </x:c>
      <x:c r="E563" s="6" t="inlineStr">
        <x:is>
          <x:t xml:space="preserve">Control of customer credit limits - Partnership</x:t>
        </x:is>
      </x:c>
      <x:c r="F563" s="6" t="inlineStr">
        <x:is>
          <x:t xml:space="preserve">Eno Umoh Ameh Bright Agbo</x:t>
        </x:is>
      </x:c>
      <x:c r="G563" s="6" t="inlineStr">
        <x:is>
          <x:t xml:space="preserve"/>
        </x:is>
      </x:c>
      <x:c r="H563" s="7" t="inlineStr">
        <x:is>
          <x:t xml:space="preserve">Operating Effectiveness</x:t>
        </x:is>
      </x:c>
      <x:c r="I563" s="7" t="inlineStr">
        <x:is>
          <x:t xml:space="preserve"/>
        </x:is>
      </x:c>
      <x:c r="J563" s="8" t="n">
        <x:v>46310</x:v>
      </x:c>
      <x:c r="K563" s="7" t="inlineStr">
        <x:is>
          <x:t xml:space="preserve">Not Started</x:t>
        </x:is>
      </x:c>
      <x:c r="L563" s="7" t="inlineStr">
        <x:is>
          <x:t xml:space="preserve"/>
        </x:is>
      </x:c>
      <x:c r="M563" s="6" t="inlineStr">
        <x:is>
          <x:t xml:space="preserve"/>
        </x:is>
      </x:c>
    </x:row>
    <x:row r="564" ht="35" customHeight="1">
      <x:c r="A564" s="7" t="inlineStr">
        <x:is>
          <x:t xml:space="preserve">P202610-0563</x:t>
        </x:is>
      </x:c>
      <x:c r="B564" s="7" t="n">
        <x:v>2026</x:v>
      </x:c>
      <x:c r="C564" s="7" t="inlineStr">
        <x:is>
          <x:t xml:space="preserve">Oct</x:t>
        </x:is>
      </x:c>
      <x:c r="D564" s="7" t="inlineStr">
        <x:is>
          <x:t xml:space="preserve">MCS23</x:t>
        </x:is>
      </x:c>
      <x:c r="E564" s="6" t="inlineStr">
        <x:is>
          <x:t xml:space="preserve">Invoicing </x:t>
        </x:is>
      </x:c>
      <x:c r="F564" s="6" t="inlineStr">
        <x:is>
          <x:t xml:space="preserve">Ramakant Patil</x:t>
        </x:is>
      </x:c>
      <x:c r="G564" s="6" t="inlineStr">
        <x:is>
          <x:t xml:space="preserve"/>
        </x:is>
      </x:c>
      <x:c r="H564" s="7" t="inlineStr">
        <x:is>
          <x:t xml:space="preserve">Operating Effectiveness</x:t>
        </x:is>
      </x:c>
      <x:c r="I564" s="7" t="inlineStr">
        <x:is>
          <x:t xml:space="preserve"/>
        </x:is>
      </x:c>
      <x:c r="J564" s="8" t="n">
        <x:v>46310</x:v>
      </x:c>
      <x:c r="K564" s="7" t="inlineStr">
        <x:is>
          <x:t xml:space="preserve">Not Started</x:t>
        </x:is>
      </x:c>
      <x:c r="L564" s="7" t="inlineStr">
        <x:is>
          <x:t xml:space="preserve"/>
        </x:is>
      </x:c>
      <x:c r="M564" s="6" t="inlineStr">
        <x:is>
          <x:t xml:space="preserve"/>
        </x:is>
      </x:c>
    </x:row>
    <x:row r="565" ht="35" customHeight="1">
      <x:c r="A565" s="7" t="inlineStr">
        <x:is>
          <x:t xml:space="preserve">P202610-0564</x:t>
        </x:is>
      </x:c>
      <x:c r="B565" s="7" t="n">
        <x:v>2026</x:v>
      </x:c>
      <x:c r="C565" s="7" t="inlineStr">
        <x:is>
          <x:t xml:space="preserve">Oct</x:t>
        </x:is>
      </x:c>
      <x:c r="D565" s="7" t="inlineStr">
        <x:is>
          <x:t xml:space="preserve">MCS24</x:t>
        </x:is>
      </x:c>
      <x:c r="E565" s="6" t="inlineStr">
        <x:is>
          <x:t xml:space="preserve">Accounts receivable valuation</x:t>
        </x:is>
      </x:c>
      <x:c r="F565" s="6" t="inlineStr">
        <x:is>
          <x:t xml:space="preserve">Zainab Yunusah Saadu</x:t>
        </x:is>
      </x:c>
      <x:c r="G565" s="6" t="inlineStr">
        <x:is>
          <x:t xml:space="preserve"/>
        </x:is>
      </x:c>
      <x:c r="H565" s="7" t="inlineStr">
        <x:is>
          <x:t xml:space="preserve">Operating Effectiveness</x:t>
        </x:is>
      </x:c>
      <x:c r="I565" s="7" t="inlineStr">
        <x:is>
          <x:t xml:space="preserve"/>
        </x:is>
      </x:c>
      <x:c r="J565" s="8" t="n">
        <x:v>46310</x:v>
      </x:c>
      <x:c r="K565" s="7" t="inlineStr">
        <x:is>
          <x:t xml:space="preserve">Not Started</x:t>
        </x:is>
      </x:c>
      <x:c r="L565" s="7" t="inlineStr">
        <x:is>
          <x:t xml:space="preserve"/>
        </x:is>
      </x:c>
      <x:c r="M565" s="6" t="inlineStr">
        <x:is>
          <x:t xml:space="preserve"/>
        </x:is>
      </x:c>
    </x:row>
    <x:row r="566" ht="35" customHeight="1">
      <x:c r="A566" s="7" t="inlineStr">
        <x:is>
          <x:t xml:space="preserve">P202610-0565</x:t>
        </x:is>
      </x:c>
      <x:c r="B566" s="7" t="n">
        <x:v>2026</x:v>
      </x:c>
      <x:c r="C566" s="7" t="inlineStr">
        <x:is>
          <x:t xml:space="preserve">Oct</x:t>
        </x:is>
      </x:c>
      <x:c r="D566" s="7" t="inlineStr">
        <x:is>
          <x:t xml:space="preserve">MCS25</x:t>
        </x:is>
      </x:c>
      <x:c r="E566" s="6" t="inlineStr">
        <x:is>
          <x:t xml:space="preserve">Execution of onboarding, offboarding, master data management and transfers of workers</x:t>
        </x:is>
      </x:c>
      <x:c r="F566" s="6" t="n"/>
      <x:c r="G566" s="6" t="inlineStr">
        <x:is>
          <x:t xml:space="preserve"/>
        </x:is>
      </x:c>
      <x:c r="H566" s="7" t="inlineStr">
        <x:is>
          <x:t xml:space="preserve">Operating Effectiveness</x:t>
        </x:is>
      </x:c>
      <x:c r="I566" s="7" t="inlineStr">
        <x:is>
          <x:t xml:space="preserve"/>
        </x:is>
      </x:c>
      <x:c r="J566" s="8" t="n">
        <x:v>46310</x:v>
      </x:c>
      <x:c r="K566" s="7" t="inlineStr">
        <x:is>
          <x:t xml:space="preserve">Not Started</x:t>
        </x:is>
      </x:c>
      <x:c r="L566" s="7" t="inlineStr">
        <x:is>
          <x:t xml:space="preserve"/>
        </x:is>
      </x:c>
      <x:c r="M566" s="6" t="inlineStr">
        <x:is>
          <x:t xml:space="preserve"/>
        </x:is>
      </x:c>
    </x:row>
    <x:row r="567" ht="35" customHeight="1">
      <x:c r="A567" s="7" t="inlineStr">
        <x:is>
          <x:t xml:space="preserve">P202610-0566</x:t>
        </x:is>
      </x:c>
      <x:c r="B567" s="7" t="n">
        <x:v>2026</x:v>
      </x:c>
      <x:c r="C567" s="7" t="inlineStr">
        <x:is>
          <x:t xml:space="preserve">Oct</x:t>
        </x:is>
      </x:c>
      <x:c r="D567" s="7" t="inlineStr">
        <x:is>
          <x:t xml:space="preserve">MCS26</x:t>
        </x:is>
      </x:c>
      <x:c r="E567" s="6" t="inlineStr">
        <x:is>
          <x:t xml:space="preserve">Payroll</x:t>
        </x:is>
      </x:c>
      <x:c r="F567" s="6" t="inlineStr">
        <x:is>
          <x:t xml:space="preserve">Olamide Ayo-Ogunlade Oluwatosin Ogunsekan</x:t>
        </x:is>
      </x:c>
      <x:c r="G567" s="6" t="inlineStr">
        <x:is>
          <x:t xml:space="preserve"/>
        </x:is>
      </x:c>
      <x:c r="H567" s="7" t="inlineStr">
        <x:is>
          <x:t xml:space="preserve">Operating Effectiveness</x:t>
        </x:is>
      </x:c>
      <x:c r="I567" s="7" t="inlineStr">
        <x:is>
          <x:t xml:space="preserve"/>
        </x:is>
      </x:c>
      <x:c r="J567" s="8" t="n">
        <x:v>46310</x:v>
      </x:c>
      <x:c r="K567" s="7" t="inlineStr">
        <x:is>
          <x:t xml:space="preserve">Not Started</x:t>
        </x:is>
      </x:c>
      <x:c r="L567" s="7" t="inlineStr">
        <x:is>
          <x:t xml:space="preserve"/>
        </x:is>
      </x:c>
      <x:c r="M567" s="6" t="inlineStr">
        <x:is>
          <x:t xml:space="preserve"/>
        </x:is>
      </x:c>
    </x:row>
    <x:row r="568" ht="35" customHeight="1">
      <x:c r="A568" s="7" t="inlineStr">
        <x:is>
          <x:t xml:space="preserve">P202610-0567</x:t>
        </x:is>
      </x:c>
      <x:c r="B568" s="7" t="n">
        <x:v>2026</x:v>
      </x:c>
      <x:c r="C568" s="7" t="inlineStr">
        <x:is>
          <x:t xml:space="preserve">Oct</x:t>
        </x:is>
      </x:c>
      <x:c r="D568" s="7" t="inlineStr">
        <x:is>
          <x:t xml:space="preserve">MCS27</x:t>
        </x:is>
      </x:c>
      <x:c r="E568" s="6" t="inlineStr">
        <x:is>
          <x:t xml:space="preserve">Compliance with Labour law</x:t>
        </x:is>
      </x:c>
      <x:c r="F568" s="6" t="inlineStr">
        <x:is>
          <x:t xml:space="preserve">Olamide Ayo-Ogunlade Oluwatosin Ogunsekan</x:t>
        </x:is>
      </x:c>
      <x:c r="G568" s="6" t="inlineStr">
        <x:is>
          <x:t xml:space="preserve"/>
        </x:is>
      </x:c>
      <x:c r="H568" s="7" t="inlineStr">
        <x:is>
          <x:t xml:space="preserve">Operating Effectiveness</x:t>
        </x:is>
      </x:c>
      <x:c r="I568" s="7" t="inlineStr">
        <x:is>
          <x:t xml:space="preserve"/>
        </x:is>
      </x:c>
      <x:c r="J568" s="8" t="n">
        <x:v>46310</x:v>
      </x:c>
      <x:c r="K568" s="7" t="inlineStr">
        <x:is>
          <x:t xml:space="preserve">Not Started</x:t>
        </x:is>
      </x:c>
      <x:c r="L568" s="7" t="inlineStr">
        <x:is>
          <x:t xml:space="preserve"/>
        </x:is>
      </x:c>
      <x:c r="M568" s="6" t="inlineStr">
        <x:is>
          <x:t xml:space="preserve"/>
        </x:is>
      </x:c>
    </x:row>
    <x:row r="569" ht="35" customHeight="1">
      <x:c r="A569" s="7" t="inlineStr">
        <x:is>
          <x:t xml:space="preserve">P202610-0568</x:t>
        </x:is>
      </x:c>
      <x:c r="B569" s="7" t="n">
        <x:v>2026</x:v>
      </x:c>
      <x:c r="C569" s="7" t="inlineStr">
        <x:is>
          <x:t xml:space="preserve">Oct</x:t>
        </x:is>
      </x:c>
      <x:c r="D569" s="7" t="inlineStr">
        <x:is>
          <x:t xml:space="preserve">MCS28</x:t>
        </x:is>
      </x:c>
      <x:c r="E569" s="6" t="inlineStr">
        <x:is>
          <x:t xml:space="preserve">Employee pension and benefit plan</x:t>
        </x:is>
      </x:c>
      <x:c r="F569" s="6" t="inlineStr">
        <x:is>
          <x:t xml:space="preserve">Olamide Ayo-Ogunlade Oluwatosin Ogunsekan</x:t>
        </x:is>
      </x:c>
      <x:c r="G569" s="6" t="inlineStr">
        <x:is>
          <x:t xml:space="preserve"/>
        </x:is>
      </x:c>
      <x:c r="H569" s="7" t="inlineStr">
        <x:is>
          <x:t xml:space="preserve">Operating Effectiveness</x:t>
        </x:is>
      </x:c>
      <x:c r="I569" s="7" t="inlineStr">
        <x:is>
          <x:t xml:space="preserve"/>
        </x:is>
      </x:c>
      <x:c r="J569" s="8" t="n">
        <x:v>46310</x:v>
      </x:c>
      <x:c r="K569" s="7" t="inlineStr">
        <x:is>
          <x:t xml:space="preserve">Not Started</x:t>
        </x:is>
      </x:c>
      <x:c r="L569" s="7" t="inlineStr">
        <x:is>
          <x:t xml:space="preserve"/>
        </x:is>
      </x:c>
      <x:c r="M569" s="6" t="inlineStr">
        <x:is>
          <x:t xml:space="preserve"/>
        </x:is>
      </x:c>
    </x:row>
    <x:row r="570" ht="35" customHeight="1">
      <x:c r="A570" s="7" t="inlineStr">
        <x:is>
          <x:t xml:space="preserve">P202610-0569</x:t>
        </x:is>
      </x:c>
      <x:c r="B570" s="7" t="n">
        <x:v>2026</x:v>
      </x:c>
      <x:c r="C570" s="7" t="inlineStr">
        <x:is>
          <x:t xml:space="preserve">Oct</x:t>
        </x:is>
      </x:c>
      <x:c r="D570" s="7" t="inlineStr">
        <x:is>
          <x:t xml:space="preserve">MCS 29</x:t>
        </x:is>
      </x:c>
      <x:c r="E570" s="6" t="inlineStr">
        <x:is>
          <x:t xml:space="preserve">Management of supplier master data</x:t>
        </x:is>
      </x:c>
      <x:c r="F570" s="6" t="inlineStr">
        <x:is>
          <x:t xml:space="preserve">Ramakant Patil Zainab Yunusah Saadu</x:t>
        </x:is>
      </x:c>
      <x:c r="G570" s="6" t="inlineStr">
        <x:is>
          <x:t xml:space="preserve"/>
        </x:is>
      </x:c>
      <x:c r="H570" s="7" t="inlineStr">
        <x:is>
          <x:t xml:space="preserve">Operating Effectiveness</x:t>
        </x:is>
      </x:c>
      <x:c r="I570" s="7" t="inlineStr">
        <x:is>
          <x:t xml:space="preserve"/>
        </x:is>
      </x:c>
      <x:c r="J570" s="8" t="n">
        <x:v>46310</x:v>
      </x:c>
      <x:c r="K570" s="7" t="inlineStr">
        <x:is>
          <x:t xml:space="preserve">Not Started</x:t>
        </x:is>
      </x:c>
      <x:c r="L570" s="7" t="inlineStr">
        <x:is>
          <x:t xml:space="preserve"/>
        </x:is>
      </x:c>
      <x:c r="M570" s="6" t="inlineStr">
        <x:is>
          <x:t xml:space="preserve"/>
        </x:is>
      </x:c>
    </x:row>
    <x:row r="571" ht="35" customHeight="1">
      <x:c r="A571" s="7" t="inlineStr">
        <x:is>
          <x:t xml:space="preserve">P202610-0570</x:t>
        </x:is>
      </x:c>
      <x:c r="B571" s="7" t="n">
        <x:v>2026</x:v>
      </x:c>
      <x:c r="C571" s="7" t="inlineStr">
        <x:is>
          <x:t xml:space="preserve">Oct</x:t>
        </x:is>
      </x:c>
      <x:c r="D571" s="7" t="inlineStr">
        <x:is>
          <x:t xml:space="preserve">MCS30</x:t>
        </x:is>
      </x:c>
      <x:c r="E571" s="6" t="inlineStr">
        <x:is>
          <x:t xml:space="preserve">Vendor Registration and Performance Management</x:t>
        </x:is>
      </x:c>
      <x:c r="F571" s="6" t="inlineStr">
        <x:is>
          <x:t xml:space="preserve">Ramakant Patil Zainab Yunusah Saadu</x:t>
        </x:is>
      </x:c>
      <x:c r="G571" s="6" t="inlineStr">
        <x:is>
          <x:t xml:space="preserve"/>
        </x:is>
      </x:c>
      <x:c r="H571" s="7" t="inlineStr">
        <x:is>
          <x:t xml:space="preserve">Operating Effectiveness</x:t>
        </x:is>
      </x:c>
      <x:c r="I571" s="7" t="inlineStr">
        <x:is>
          <x:t xml:space="preserve"/>
        </x:is>
      </x:c>
      <x:c r="J571" s="8" t="n">
        <x:v>46310</x:v>
      </x:c>
      <x:c r="K571" s="7" t="inlineStr">
        <x:is>
          <x:t xml:space="preserve">Not Started</x:t>
        </x:is>
      </x:c>
      <x:c r="L571" s="7" t="inlineStr">
        <x:is>
          <x:t xml:space="preserve"/>
        </x:is>
      </x:c>
      <x:c r="M571" s="6" t="inlineStr">
        <x:is>
          <x:t xml:space="preserve"/>
        </x:is>
      </x:c>
    </x:row>
    <x:row r="572" ht="35" customHeight="1">
      <x:c r="A572" s="7" t="inlineStr">
        <x:is>
          <x:t xml:space="preserve">P202610-0571</x:t>
        </x:is>
      </x:c>
      <x:c r="B572" s="7" t="n">
        <x:v>2026</x:v>
      </x:c>
      <x:c r="C572" s="7" t="inlineStr">
        <x:is>
          <x:t xml:space="preserve">Oct</x:t>
        </x:is>
      </x:c>
      <x:c r="D572" s="7" t="inlineStr">
        <x:is>
          <x:t xml:space="preserve">MCS31</x:t>
        </x:is>
      </x:c>
      <x:c r="E572" s="6" t="inlineStr">
        <x:is>
          <x:t xml:space="preserve">Three-way match, two way match and direct vendor invoices</x:t>
        </x:is>
      </x:c>
      <x:c r="F572" s="6" t="inlineStr">
        <x:is>
          <x:t xml:space="preserve">Ramakant Patil Zainab Yunusah Saadu</x:t>
        </x:is>
      </x:c>
      <x:c r="G572" s="6" t="inlineStr">
        <x:is>
          <x:t xml:space="preserve"/>
        </x:is>
      </x:c>
      <x:c r="H572" s="7" t="inlineStr">
        <x:is>
          <x:t xml:space="preserve">Operating Effectiveness</x:t>
        </x:is>
      </x:c>
      <x:c r="I572" s="7" t="inlineStr">
        <x:is>
          <x:t xml:space="preserve"/>
        </x:is>
      </x:c>
      <x:c r="J572" s="8" t="n">
        <x:v>46310</x:v>
      </x:c>
      <x:c r="K572" s="7" t="inlineStr">
        <x:is>
          <x:t xml:space="preserve">Not Started</x:t>
        </x:is>
      </x:c>
      <x:c r="L572" s="7" t="inlineStr">
        <x:is>
          <x:t xml:space="preserve"/>
        </x:is>
      </x:c>
      <x:c r="M572" s="6" t="inlineStr">
        <x:is>
          <x:t xml:space="preserve"/>
        </x:is>
      </x:c>
    </x:row>
    <x:row r="573" ht="35" customHeight="1">
      <x:c r="A573" s="7" t="inlineStr">
        <x:is>
          <x:t xml:space="preserve">P202610-0572</x:t>
        </x:is>
      </x:c>
      <x:c r="B573" s="7" t="n">
        <x:v>2026</x:v>
      </x:c>
      <x:c r="C573" s="7" t="inlineStr">
        <x:is>
          <x:t xml:space="preserve">Oct</x:t>
        </x:is>
      </x:c>
      <x:c r="D573" s="7" t="inlineStr">
        <x:is>
          <x:t xml:space="preserve">MCS32</x:t>
        </x:is>
      </x:c>
      <x:c r="E573" s="6" t="inlineStr">
        <x:is>
          <x:t xml:space="preserve">Payment processing</x:t>
        </x:is>
      </x:c>
      <x:c r="F573" s="6" t="inlineStr">
        <x:is>
          <x:t xml:space="preserve">Ramakant Patil Zainab Yunusah Saadu</x:t>
        </x:is>
      </x:c>
      <x:c r="G573" s="6" t="inlineStr">
        <x:is>
          <x:t xml:space="preserve"/>
        </x:is>
      </x:c>
      <x:c r="H573" s="7" t="inlineStr">
        <x:is>
          <x:t xml:space="preserve">Operating Effectiveness</x:t>
        </x:is>
      </x:c>
      <x:c r="I573" s="7" t="inlineStr">
        <x:is>
          <x:t xml:space="preserve"/>
        </x:is>
      </x:c>
      <x:c r="J573" s="8" t="n">
        <x:v>46310</x:v>
      </x:c>
      <x:c r="K573" s="7" t="inlineStr">
        <x:is>
          <x:t xml:space="preserve">Not Started</x:t>
        </x:is>
      </x:c>
      <x:c r="L573" s="7" t="inlineStr">
        <x:is>
          <x:t xml:space="preserve"/>
        </x:is>
      </x:c>
      <x:c r="M573" s="6" t="inlineStr">
        <x:is>
          <x:t xml:space="preserve"/>
        </x:is>
      </x:c>
    </x:row>
    <x:row r="574" ht="35" customHeight="1">
      <x:c r="A574" s="7" t="inlineStr">
        <x:is>
          <x:t xml:space="preserve">P202610-0573</x:t>
        </x:is>
      </x:c>
      <x:c r="B574" s="7" t="n">
        <x:v>2026</x:v>
      </x:c>
      <x:c r="C574" s="7" t="inlineStr">
        <x:is>
          <x:t xml:space="preserve">Oct</x:t>
        </x:is>
      </x:c>
      <x:c r="D574" s="7" t="inlineStr">
        <x:is>
          <x:t xml:space="preserve">MCS33</x:t>
        </x:is>
      </x:c>
      <x:c r="E574" s="6" t="inlineStr">
        <x:is>
          <x:t xml:space="preserve">3 Accruals for expenditures not invoiced</x:t>
        </x:is>
      </x:c>
      <x:c r="F574" s="6" t="inlineStr">
        <x:is>
          <x:t xml:space="preserve">Ramakant Patil Zainab Yunusah Saadu</x:t>
        </x:is>
      </x:c>
      <x:c r="G574" s="6" t="inlineStr">
        <x:is>
          <x:t xml:space="preserve"/>
        </x:is>
      </x:c>
      <x:c r="H574" s="7" t="inlineStr">
        <x:is>
          <x:t xml:space="preserve">Operating Effectiveness</x:t>
        </x:is>
      </x:c>
      <x:c r="I574" s="7" t="inlineStr">
        <x:is>
          <x:t xml:space="preserve"/>
        </x:is>
      </x:c>
      <x:c r="J574" s="8" t="n">
        <x:v>46310</x:v>
      </x:c>
      <x:c r="K574" s="7" t="inlineStr">
        <x:is>
          <x:t xml:space="preserve">Not Started</x:t>
        </x:is>
      </x:c>
      <x:c r="L574" s="7" t="inlineStr">
        <x:is>
          <x:t xml:space="preserve"/>
        </x:is>
      </x:c>
      <x:c r="M574" s="6" t="inlineStr">
        <x:is>
          <x:t xml:space="preserve"/>
        </x:is>
      </x:c>
    </x:row>
    <x:row r="575" ht="35" customHeight="1">
      <x:c r="A575" s="7" t="inlineStr">
        <x:is>
          <x:t xml:space="preserve">P202610-0574</x:t>
        </x:is>
      </x:c>
      <x:c r="B575" s="7" t="n">
        <x:v>2026</x:v>
      </x:c>
      <x:c r="C575" s="7" t="inlineStr">
        <x:is>
          <x:t xml:space="preserve">Oct</x:t>
        </x:is>
      </x:c>
      <x:c r="D575" s="7" t="inlineStr">
        <x:is>
          <x:t xml:space="preserve">MCS34</x:t>
        </x:is>
      </x:c>
      <x:c r="E575" s="6" t="inlineStr">
        <x:is>
          <x:t xml:space="preserve">Physical Stock Count ,Reconciliation &amp; Valuation</x:t>
        </x:is>
      </x:c>
      <x:c r="F575" s="6" t="inlineStr">
        <x:is>
          <x:t xml:space="preserve">Yomi Jegede Zainab Yunusah Saadu</x:t>
        </x:is>
      </x:c>
      <x:c r="G575" s="6" t="inlineStr">
        <x:is>
          <x:t xml:space="preserve"/>
        </x:is>
      </x:c>
      <x:c r="H575" s="7" t="inlineStr">
        <x:is>
          <x:t xml:space="preserve">Operating Effectiveness</x:t>
        </x:is>
      </x:c>
      <x:c r="I575" s="7" t="inlineStr">
        <x:is>
          <x:t xml:space="preserve"/>
        </x:is>
      </x:c>
      <x:c r="J575" s="8" t="n">
        <x:v>46310</x:v>
      </x:c>
      <x:c r="K575" s="7" t="inlineStr">
        <x:is>
          <x:t xml:space="preserve">Not Started</x:t>
        </x:is>
      </x:c>
      <x:c r="L575" s="7" t="inlineStr">
        <x:is>
          <x:t xml:space="preserve"/>
        </x:is>
      </x:c>
      <x:c r="M575" s="6" t="inlineStr">
        <x:is>
          <x:t xml:space="preserve"/>
        </x:is>
      </x:c>
    </x:row>
    <x:row r="576" ht="35" customHeight="1">
      <x:c r="A576" s="7" t="inlineStr">
        <x:is>
          <x:t xml:space="preserve">P202610-0575</x:t>
        </x:is>
      </x:c>
      <x:c r="B576" s="7" t="n">
        <x:v>2026</x:v>
      </x:c>
      <x:c r="C576" s="7" t="inlineStr">
        <x:is>
          <x:t xml:space="preserve">Oct</x:t>
        </x:is>
      </x:c>
      <x:c r="D576" s="7" t="inlineStr">
        <x:is>
          <x:t xml:space="preserve">MCS35</x:t>
        </x:is>
      </x:c>
      <x:c r="E576" s="6" t="inlineStr">
        <x:is>
          <x:t xml:space="preserve">Inventory Documentation (IMPEX)</x:t>
        </x:is>
      </x:c>
      <x:c r="F576" s="6" t="inlineStr">
        <x:is>
          <x:t xml:space="preserve">Yomi Jegede Zainab Yunusah Saadu</x:t>
        </x:is>
      </x:c>
      <x:c r="G576" s="6" t="inlineStr">
        <x:is>
          <x:t xml:space="preserve"/>
        </x:is>
      </x:c>
      <x:c r="H576" s="7" t="inlineStr">
        <x:is>
          <x:t xml:space="preserve">Operating Effectiveness</x:t>
        </x:is>
      </x:c>
      <x:c r="I576" s="7" t="inlineStr">
        <x:is>
          <x:t xml:space="preserve"/>
        </x:is>
      </x:c>
      <x:c r="J576" s="8" t="n">
        <x:v>46310</x:v>
      </x:c>
      <x:c r="K576" s="7" t="inlineStr">
        <x:is>
          <x:t xml:space="preserve">Not Started</x:t>
        </x:is>
      </x:c>
      <x:c r="L576" s="7" t="inlineStr">
        <x:is>
          <x:t xml:space="preserve"/>
        </x:is>
      </x:c>
      <x:c r="M576" s="6" t="inlineStr">
        <x:is>
          <x:t xml:space="preserve"/>
        </x:is>
      </x:c>
    </x:row>
    <x:row r="577" ht="35" customHeight="1">
      <x:c r="A577" s="7" t="inlineStr">
        <x:is>
          <x:t xml:space="preserve">P202610-0576</x:t>
        </x:is>
      </x:c>
      <x:c r="B577" s="7" t="n">
        <x:v>2026</x:v>
      </x:c>
      <x:c r="C577" s="7" t="inlineStr">
        <x:is>
          <x:t xml:space="preserve">Oct</x:t>
        </x:is>
      </x:c>
      <x:c r="D577" s="7" t="inlineStr">
        <x:is>
          <x:t xml:space="preserve">MCS36</x:t>
        </x:is>
      </x:c>
      <x:c r="E577" s="6" t="inlineStr">
        <x:is>
          <x:t xml:space="preserve">Management of access to IT systems</x:t>
        </x:is>
      </x:c>
      <x:c r="F577" s="6" t="inlineStr">
        <x:is>
          <x:t xml:space="preserve">Theophilus Okolie </x:t>
        </x:is>
      </x:c>
      <x:c r="G577" s="6" t="inlineStr">
        <x:is>
          <x:t xml:space="preserve"/>
        </x:is>
      </x:c>
      <x:c r="H577" s="7" t="inlineStr">
        <x:is>
          <x:t xml:space="preserve">Operating Effectiveness</x:t>
        </x:is>
      </x:c>
      <x:c r="I577" s="7" t="inlineStr">
        <x:is>
          <x:t xml:space="preserve"/>
        </x:is>
      </x:c>
      <x:c r="J577" s="8" t="n">
        <x:v>46310</x:v>
      </x:c>
      <x:c r="K577" s="7" t="inlineStr">
        <x:is>
          <x:t xml:space="preserve">Not Started</x:t>
        </x:is>
      </x:c>
      <x:c r="L577" s="7" t="inlineStr">
        <x:is>
          <x:t xml:space="preserve"/>
        </x:is>
      </x:c>
      <x:c r="M577" s="6" t="inlineStr">
        <x:is>
          <x:t xml:space="preserve"/>
        </x:is>
      </x:c>
    </x:row>
    <x:row r="578" ht="35" customHeight="1">
      <x:c r="A578" s="7" t="inlineStr">
        <x:is>
          <x:t xml:space="preserve">P202610-0577</x:t>
        </x:is>
      </x:c>
      <x:c r="B578" s="7" t="n">
        <x:v>2026</x:v>
      </x:c>
      <x:c r="C578" s="7" t="inlineStr">
        <x:is>
          <x:t xml:space="preserve">Oct</x:t>
        </x:is>
      </x:c>
      <x:c r="D578" s="7" t="inlineStr">
        <x:is>
          <x:t xml:space="preserve">MCS37</x:t>
        </x:is>
      </x:c>
      <x:c r="E578" s="6" t="inlineStr">
        <x:is>
          <x:t xml:space="preserve">Review of IT user access rights to production IT systems</x:t>
        </x:is>
      </x:c>
      <x:c r="F578" s="6" t="inlineStr">
        <x:is>
          <x:t xml:space="preserve">Theophilus Okolie </x:t>
        </x:is>
      </x:c>
      <x:c r="G578" s="6" t="inlineStr">
        <x:is>
          <x:t xml:space="preserve"/>
        </x:is>
      </x:c>
      <x:c r="H578" s="7" t="inlineStr">
        <x:is>
          <x:t xml:space="preserve">Operating Effectiveness</x:t>
        </x:is>
      </x:c>
      <x:c r="I578" s="7" t="inlineStr">
        <x:is>
          <x:t xml:space="preserve"/>
        </x:is>
      </x:c>
      <x:c r="J578" s="8" t="n">
        <x:v>46310</x:v>
      </x:c>
      <x:c r="K578" s="7" t="inlineStr">
        <x:is>
          <x:t xml:space="preserve">Not Started</x:t>
        </x:is>
      </x:c>
      <x:c r="L578" s="7" t="inlineStr">
        <x:is>
          <x:t xml:space="preserve"/>
        </x:is>
      </x:c>
      <x:c r="M578" s="6" t="inlineStr">
        <x:is>
          <x:t xml:space="preserve"/>
        </x:is>
      </x:c>
    </x:row>
    <x:row r="579" ht="35" customHeight="1">
      <x:c r="A579" s="7" t="inlineStr">
        <x:is>
          <x:t xml:space="preserve">P202610-0578</x:t>
        </x:is>
      </x:c>
      <x:c r="B579" s="7" t="n">
        <x:v>2026</x:v>
      </x:c>
      <x:c r="C579" s="7" t="inlineStr">
        <x:is>
          <x:t xml:space="preserve">Oct</x:t>
        </x:is>
      </x:c>
      <x:c r="D579" s="7" t="inlineStr">
        <x:is>
          <x:t xml:space="preserve">MCS38</x:t>
        </x:is>
      </x:c>
      <x:c r="E579" s="6" t="inlineStr">
        <x:is>
          <x:t xml:space="preserve">Security configuration settings and batch job management</x:t>
        </x:is>
      </x:c>
      <x:c r="F579" s="6" t="inlineStr">
        <x:is>
          <x:t xml:space="preserve">Theophilus Okolie </x:t>
        </x:is>
      </x:c>
      <x:c r="G579" s="6" t="inlineStr">
        <x:is>
          <x:t xml:space="preserve"/>
        </x:is>
      </x:c>
      <x:c r="H579" s="7" t="inlineStr">
        <x:is>
          <x:t xml:space="preserve">Operating Effectiveness</x:t>
        </x:is>
      </x:c>
      <x:c r="I579" s="7" t="inlineStr">
        <x:is>
          <x:t xml:space="preserve"/>
        </x:is>
      </x:c>
      <x:c r="J579" s="8" t="n">
        <x:v>46310</x:v>
      </x:c>
      <x:c r="K579" s="7" t="inlineStr">
        <x:is>
          <x:t xml:space="preserve">Not Started</x:t>
        </x:is>
      </x:c>
      <x:c r="L579" s="7" t="inlineStr">
        <x:is>
          <x:t xml:space="preserve"/>
        </x:is>
      </x:c>
      <x:c r="M579" s="6" t="inlineStr">
        <x:is>
          <x:t xml:space="preserve"/>
        </x:is>
      </x:c>
    </x:row>
    <x:row r="580" ht="35" customHeight="1">
      <x:c r="A580" s="7" t="inlineStr">
        <x:is>
          <x:t xml:space="preserve">P202610-0579</x:t>
        </x:is>
      </x:c>
      <x:c r="B580" s="7" t="n">
        <x:v>2026</x:v>
      </x:c>
      <x:c r="C580" s="7" t="inlineStr">
        <x:is>
          <x:t xml:space="preserve">Oct</x:t>
        </x:is>
      </x:c>
      <x:c r="D580" s="7" t="inlineStr">
        <x:is>
          <x:t xml:space="preserve">MCS39</x:t>
        </x:is>
      </x:c>
      <x:c r="E580" s="6" t="inlineStr">
        <x:is>
          <x:t xml:space="preserve">Data backup, storage and restoration process</x:t>
        </x:is>
      </x:c>
      <x:c r="F580" s="6" t="inlineStr">
        <x:is>
          <x:t xml:space="preserve">Theophilus Okolie </x:t>
        </x:is>
      </x:c>
      <x:c r="G580" s="6" t="inlineStr">
        <x:is>
          <x:t xml:space="preserve"/>
        </x:is>
      </x:c>
      <x:c r="H580" s="7" t="inlineStr">
        <x:is>
          <x:t xml:space="preserve">Operating Effectiveness</x:t>
        </x:is>
      </x:c>
      <x:c r="I580" s="7" t="inlineStr">
        <x:is>
          <x:t xml:space="preserve"/>
        </x:is>
      </x:c>
      <x:c r="J580" s="8" t="n">
        <x:v>46310</x:v>
      </x:c>
      <x:c r="K580" s="7" t="inlineStr">
        <x:is>
          <x:t xml:space="preserve">Not Started</x:t>
        </x:is>
      </x:c>
      <x:c r="L580" s="7" t="inlineStr">
        <x:is>
          <x:t xml:space="preserve"/>
        </x:is>
      </x:c>
      <x:c r="M580" s="6" t="inlineStr">
        <x:is>
          <x:t xml:space="preserve"/>
        </x:is>
      </x:c>
    </x:row>
    <x:row r="581" ht="35" customHeight="1">
      <x:c r="A581" s="7" t="inlineStr">
        <x:is>
          <x:t xml:space="preserve">P202610-0580</x:t>
        </x:is>
      </x:c>
      <x:c r="B581" s="7" t="n">
        <x:v>2026</x:v>
      </x:c>
      <x:c r="C581" s="7" t="inlineStr">
        <x:is>
          <x:t xml:space="preserve">Oct</x:t>
        </x:is>
      </x:c>
      <x:c r="D581" s="7" t="inlineStr">
        <x:is>
          <x:t xml:space="preserve">MCS40</x:t>
        </x:is>
      </x:c>
      <x:c r="E581" s="6" t="inlineStr">
        <x:is>
          <x:t xml:space="preserve">Managing changes to IT systems</x:t>
        </x:is>
      </x:c>
      <x:c r="F581" s="6" t="inlineStr">
        <x:is>
          <x:t xml:space="preserve">Theophilus Okolie </x:t>
        </x:is>
      </x:c>
      <x:c r="G581" s="6" t="inlineStr">
        <x:is>
          <x:t xml:space="preserve"/>
        </x:is>
      </x:c>
      <x:c r="H581" s="7" t="inlineStr">
        <x:is>
          <x:t xml:space="preserve">Operating Effectiveness</x:t>
        </x:is>
      </x:c>
      <x:c r="I581" s="7" t="inlineStr">
        <x:is>
          <x:t xml:space="preserve"/>
        </x:is>
      </x:c>
      <x:c r="J581" s="8" t="n">
        <x:v>46310</x:v>
      </x:c>
      <x:c r="K581" s="7" t="inlineStr">
        <x:is>
          <x:t xml:space="preserve">Not Started</x:t>
        </x:is>
      </x:c>
      <x:c r="L581" s="7" t="inlineStr">
        <x:is>
          <x:t xml:space="preserve"/>
        </x:is>
      </x:c>
      <x:c r="M581" s="6" t="inlineStr">
        <x:is>
          <x:t xml:space="preserve"/>
        </x:is>
      </x:c>
    </x:row>
    <x:row r="582" ht="35" customHeight="1">
      <x:c r="A582" s="7" t="inlineStr">
        <x:is>
          <x:t xml:space="preserve">P202610-0581</x:t>
        </x:is>
      </x:c>
      <x:c r="B582" s="7" t="n">
        <x:v>2026</x:v>
      </x:c>
      <x:c r="C582" s="7" t="inlineStr">
        <x:is>
          <x:t xml:space="preserve">Oct</x:t>
        </x:is>
      </x:c>
      <x:c r="D582" s="7" t="inlineStr">
        <x:is>
          <x:t xml:space="preserve">MCS41</x:t>
        </x:is>
      </x:c>
      <x:c r="E582" s="6" t="inlineStr">
        <x:is>
          <x:t xml:space="preserve">Compliance with accounting and reporting standards</x:t>
        </x:is>
      </x:c>
      <x:c r="F582" s="6" t="inlineStr">
        <x:is>
          <x:t xml:space="preserve">Zainab Yunusah Saadu Daniel Banjo</x:t>
        </x:is>
      </x:c>
      <x:c r="G582" s="6" t="inlineStr">
        <x:is>
          <x:t xml:space="preserve"/>
        </x:is>
      </x:c>
      <x:c r="H582" s="7" t="inlineStr">
        <x:is>
          <x:t xml:space="preserve">Operating Effectiveness</x:t>
        </x:is>
      </x:c>
      <x:c r="I582" s="7" t="inlineStr">
        <x:is>
          <x:t xml:space="preserve"/>
        </x:is>
      </x:c>
      <x:c r="J582" s="8" t="n">
        <x:v>46310</x:v>
      </x:c>
      <x:c r="K582" s="7" t="inlineStr">
        <x:is>
          <x:t xml:space="preserve">Not Started</x:t>
        </x:is>
      </x:c>
      <x:c r="L582" s="7" t="inlineStr">
        <x:is>
          <x:t xml:space="preserve"/>
        </x:is>
      </x:c>
      <x:c r="M582" s="6" t="inlineStr">
        <x:is>
          <x:t xml:space="preserve"/>
        </x:is>
      </x:c>
    </x:row>
    <x:row r="583" ht="35" customHeight="1">
      <x:c r="A583" s="7" t="inlineStr">
        <x:is>
          <x:t xml:space="preserve">P202610-0582</x:t>
        </x:is>
      </x:c>
      <x:c r="B583" s="7" t="n">
        <x:v>2026</x:v>
      </x:c>
      <x:c r="C583" s="7" t="inlineStr">
        <x:is>
          <x:t xml:space="preserve">Oct</x:t>
        </x:is>
      </x:c>
      <x:c r="D583" s="7" t="inlineStr">
        <x:is>
          <x:t xml:space="preserve">MCS42</x:t>
        </x:is>
      </x:c>
      <x:c r="E583" s="6" t="inlineStr">
        <x:is>
          <x:t xml:space="preserve">Reconciliation of general ledger accounts</x:t>
        </x:is>
      </x:c>
      <x:c r="F583" s="6" t="inlineStr">
        <x:is>
          <x:t xml:space="preserve">Zainab Yunusah Saadu Daniel Banjo</x:t>
        </x:is>
      </x:c>
      <x:c r="G583" s="6" t="inlineStr">
        <x:is>
          <x:t xml:space="preserve"/>
        </x:is>
      </x:c>
      <x:c r="H583" s="7" t="inlineStr">
        <x:is>
          <x:t xml:space="preserve">Operating Effectiveness</x:t>
        </x:is>
      </x:c>
      <x:c r="I583" s="7" t="inlineStr">
        <x:is>
          <x:t xml:space="preserve"/>
        </x:is>
      </x:c>
      <x:c r="J583" s="8" t="n">
        <x:v>46310</x:v>
      </x:c>
      <x:c r="K583" s="7" t="inlineStr">
        <x:is>
          <x:t xml:space="preserve">Not Started</x:t>
        </x:is>
      </x:c>
      <x:c r="L583" s="7" t="inlineStr">
        <x:is>
          <x:t xml:space="preserve"/>
        </x:is>
      </x:c>
      <x:c r="M583" s="6" t="inlineStr">
        <x:is>
          <x:t xml:space="preserve"/>
        </x:is>
      </x:c>
    </x:row>
    <x:row r="584" ht="35" customHeight="1">
      <x:c r="A584" s="7" t="inlineStr">
        <x:is>
          <x:t xml:space="preserve">P202610-0583</x:t>
        </x:is>
      </x:c>
      <x:c r="B584" s="7" t="n">
        <x:v>2026</x:v>
      </x:c>
      <x:c r="C584" s="7" t="inlineStr">
        <x:is>
          <x:t xml:space="preserve">Oct</x:t>
        </x:is>
      </x:c>
      <x:c r="D584" s="7" t="inlineStr">
        <x:is>
          <x:t xml:space="preserve">MCS43</x:t>
        </x:is>
      </x:c>
      <x:c r="E584" s="6" t="inlineStr">
        <x:is>
          <x:t xml:space="preserve">Reconciliation of bank accounts</x:t>
        </x:is>
      </x:c>
      <x:c r="F584" s="6" t="inlineStr">
        <x:is>
          <x:t xml:space="preserve">Zainab Yunusah Saadu Daniel Banjo</x:t>
        </x:is>
      </x:c>
      <x:c r="G584" s="6" t="inlineStr">
        <x:is>
          <x:t xml:space="preserve"/>
        </x:is>
      </x:c>
      <x:c r="H584" s="7" t="inlineStr">
        <x:is>
          <x:t xml:space="preserve">Operating Effectiveness</x:t>
        </x:is>
      </x:c>
      <x:c r="I584" s="7" t="inlineStr">
        <x:is>
          <x:t xml:space="preserve"/>
        </x:is>
      </x:c>
      <x:c r="J584" s="8" t="n">
        <x:v>46310</x:v>
      </x:c>
      <x:c r="K584" s="7" t="inlineStr">
        <x:is>
          <x:t xml:space="preserve">Not Started</x:t>
        </x:is>
      </x:c>
      <x:c r="L584" s="7" t="inlineStr">
        <x:is>
          <x:t xml:space="preserve"/>
        </x:is>
      </x:c>
      <x:c r="M584" s="6" t="inlineStr">
        <x:is>
          <x:t xml:space="preserve"/>
        </x:is>
      </x:c>
    </x:row>
    <x:row r="585" ht="35" customHeight="1">
      <x:c r="A585" s="7" t="inlineStr">
        <x:is>
          <x:t xml:space="preserve">P202610-0584</x:t>
        </x:is>
      </x:c>
      <x:c r="B585" s="7" t="n">
        <x:v>2026</x:v>
      </x:c>
      <x:c r="C585" s="7" t="inlineStr">
        <x:is>
          <x:t xml:space="preserve">Oct</x:t>
        </x:is>
      </x:c>
      <x:c r="D585" s="7" t="inlineStr">
        <x:is>
          <x:t xml:space="preserve">MCS44</x:t>
        </x:is>
      </x:c>
      <x:c r="E585" s="6" t="inlineStr">
        <x:is>
          <x:t xml:space="preserve">Reconciliation of intercompany balances</x:t>
        </x:is>
      </x:c>
      <x:c r="F585" s="6" t="inlineStr">
        <x:is>
          <x:t xml:space="preserve">Zainab Yunusah Saadu Daniel Banjo</x:t>
        </x:is>
      </x:c>
      <x:c r="G585" s="6" t="inlineStr">
        <x:is>
          <x:t xml:space="preserve"/>
        </x:is>
      </x:c>
      <x:c r="H585" s="7" t="inlineStr">
        <x:is>
          <x:t xml:space="preserve">Operating Effectiveness</x:t>
        </x:is>
      </x:c>
      <x:c r="I585" s="7" t="inlineStr">
        <x:is>
          <x:t xml:space="preserve"/>
        </x:is>
      </x:c>
      <x:c r="J585" s="8" t="n">
        <x:v>46310</x:v>
      </x:c>
      <x:c r="K585" s="7" t="inlineStr">
        <x:is>
          <x:t xml:space="preserve">Not Started</x:t>
        </x:is>
      </x:c>
      <x:c r="L585" s="7" t="inlineStr">
        <x:is>
          <x:t xml:space="preserve"/>
        </x:is>
      </x:c>
      <x:c r="M585" s="6" t="inlineStr">
        <x:is>
          <x:t xml:space="preserve"/>
        </x:is>
      </x:c>
    </x:row>
    <x:row r="586" ht="35" customHeight="1">
      <x:c r="A586" s="7" t="inlineStr">
        <x:is>
          <x:t xml:space="preserve">P202610-0585</x:t>
        </x:is>
      </x:c>
      <x:c r="B586" s="7" t="n">
        <x:v>2026</x:v>
      </x:c>
      <x:c r="C586" s="7" t="inlineStr">
        <x:is>
          <x:t xml:space="preserve">Oct</x:t>
        </x:is>
      </x:c>
      <x:c r="D586" s="7" t="inlineStr">
        <x:is>
          <x:t xml:space="preserve">MCS45</x:t>
        </x:is>
      </x:c>
      <x:c r="E586" s="6" t="inlineStr">
        <x:is>
          <x:t xml:space="preserve">Manual journal entries</x:t>
        </x:is>
      </x:c>
      <x:c r="F586" s="6" t="inlineStr">
        <x:is>
          <x:t xml:space="preserve">Zainab Yunusah Saadu Daniel Banjo</x:t>
        </x:is>
      </x:c>
      <x:c r="G586" s="6" t="inlineStr">
        <x:is>
          <x:t xml:space="preserve"/>
        </x:is>
      </x:c>
      <x:c r="H586" s="7" t="inlineStr">
        <x:is>
          <x:t xml:space="preserve">Operating Effectiveness</x:t>
        </x:is>
      </x:c>
      <x:c r="I586" s="7" t="inlineStr">
        <x:is>
          <x:t xml:space="preserve"/>
        </x:is>
      </x:c>
      <x:c r="J586" s="8" t="n">
        <x:v>46310</x:v>
      </x:c>
      <x:c r="K586" s="7" t="inlineStr">
        <x:is>
          <x:t xml:space="preserve">Not Started</x:t>
        </x:is>
      </x:c>
      <x:c r="L586" s="7" t="inlineStr">
        <x:is>
          <x:t xml:space="preserve"/>
        </x:is>
      </x:c>
      <x:c r="M586" s="6" t="inlineStr">
        <x:is>
          <x:t xml:space="preserve"/>
        </x:is>
      </x:c>
    </x:row>
    <x:row r="587" ht="35" customHeight="1">
      <x:c r="A587" s="7" t="inlineStr">
        <x:is>
          <x:t xml:space="preserve">P202610-0586</x:t>
        </x:is>
      </x:c>
      <x:c r="B587" s="7" t="n">
        <x:v>2026</x:v>
      </x:c>
      <x:c r="C587" s="7" t="inlineStr">
        <x:is>
          <x:t xml:space="preserve">Oct</x:t>
        </x:is>
      </x:c>
      <x:c r="D587" s="7" t="inlineStr">
        <x:is>
          <x:t xml:space="preserve">MCS46</x:t>
        </x:is>
      </x:c>
      <x:c r="E587" s="6" t="inlineStr">
        <x:is>
          <x:t xml:space="preserve">Impairment of goodwill, intangible assets and tangible assets</x:t>
        </x:is>
      </x:c>
      <x:c r="F587" s="6" t="inlineStr">
        <x:is>
          <x:t xml:space="preserve">Zainab Yunusah Saadu Daniel Banjo</x:t>
        </x:is>
      </x:c>
      <x:c r="G587" s="6" t="inlineStr">
        <x:is>
          <x:t xml:space="preserve"/>
        </x:is>
      </x:c>
      <x:c r="H587" s="7" t="inlineStr">
        <x:is>
          <x:t xml:space="preserve">Operating Effectiveness</x:t>
        </x:is>
      </x:c>
      <x:c r="I587" s="7" t="inlineStr">
        <x:is>
          <x:t xml:space="preserve"/>
        </x:is>
      </x:c>
      <x:c r="J587" s="8" t="n">
        <x:v>46310</x:v>
      </x:c>
      <x:c r="K587" s="7" t="inlineStr">
        <x:is>
          <x:t xml:space="preserve">Not Started</x:t>
        </x:is>
      </x:c>
      <x:c r="L587" s="7" t="inlineStr">
        <x:is>
          <x:t xml:space="preserve"/>
        </x:is>
      </x:c>
      <x:c r="M587" s="6" t="inlineStr">
        <x:is>
          <x:t xml:space="preserve"/>
        </x:is>
      </x:c>
    </x:row>
    <x:row r="588" ht="35" customHeight="1">
      <x:c r="A588" s="7" t="inlineStr">
        <x:is>
          <x:t xml:space="preserve">P202610-0587</x:t>
        </x:is>
      </x:c>
      <x:c r="B588" s="7" t="n">
        <x:v>2026</x:v>
      </x:c>
      <x:c r="C588" s="7" t="inlineStr">
        <x:is>
          <x:t xml:space="preserve">Oct</x:t>
        </x:is>
      </x:c>
      <x:c r="D588" s="7" t="inlineStr">
        <x:is>
          <x:t xml:space="preserve">MCS47</x:t>
        </x:is>
      </x:c>
      <x:c r="E588" s="6" t="inlineStr">
        <x:is>
          <x:t xml:space="preserve">Transactions in a foreign currency</x:t>
        </x:is>
      </x:c>
      <x:c r="F588" s="6" t="inlineStr">
        <x:is>
          <x:t xml:space="preserve">Zainab Yunusah Saadu Daniel Banjo</x:t>
        </x:is>
      </x:c>
      <x:c r="G588" s="6" t="inlineStr">
        <x:is>
          <x:t xml:space="preserve"/>
        </x:is>
      </x:c>
      <x:c r="H588" s="7" t="inlineStr">
        <x:is>
          <x:t xml:space="preserve">Operating Effectiveness</x:t>
        </x:is>
      </x:c>
      <x:c r="I588" s="7" t="inlineStr">
        <x:is>
          <x:t xml:space="preserve"/>
        </x:is>
      </x:c>
      <x:c r="J588" s="8" t="n">
        <x:v>46310</x:v>
      </x:c>
      <x:c r="K588" s="7" t="inlineStr">
        <x:is>
          <x:t xml:space="preserve">Not Started</x:t>
        </x:is>
      </x:c>
      <x:c r="L588" s="7" t="inlineStr">
        <x:is>
          <x:t xml:space="preserve"/>
        </x:is>
      </x:c>
      <x:c r="M588" s="6" t="inlineStr">
        <x:is>
          <x:t xml:space="preserve"/>
        </x:is>
      </x:c>
    </x:row>
    <x:row r="589" ht="35" customHeight="1">
      <x:c r="A589" s="7" t="inlineStr">
        <x:is>
          <x:t xml:space="preserve">P202610-0588</x:t>
        </x:is>
      </x:c>
      <x:c r="B589" s="7" t="n">
        <x:v>2026</x:v>
      </x:c>
      <x:c r="C589" s="7" t="inlineStr">
        <x:is>
          <x:t xml:space="preserve">Oct</x:t>
        </x:is>
      </x:c>
      <x:c r="D589" s="7" t="inlineStr">
        <x:is>
          <x:t xml:space="preserve">MCS48</x:t>
        </x:is>
      </x:c>
      <x:c r="E589" s="6" t="inlineStr">
        <x:is>
          <x:t xml:space="preserve">Management of legal structure and consolidation hierarchy</x:t>
        </x:is>
      </x:c>
      <x:c r="F589" s="6" t="inlineStr">
        <x:is>
          <x:t xml:space="preserve">Zainab Yunusah Saadu Daniel Banjo</x:t>
        </x:is>
      </x:c>
      <x:c r="G589" s="6" t="inlineStr">
        <x:is>
          <x:t xml:space="preserve"/>
        </x:is>
      </x:c>
      <x:c r="H589" s="7" t="inlineStr">
        <x:is>
          <x:t xml:space="preserve">Operating Effectiveness</x:t>
        </x:is>
      </x:c>
      <x:c r="I589" s="7" t="inlineStr">
        <x:is>
          <x:t xml:space="preserve"/>
        </x:is>
      </x:c>
      <x:c r="J589" s="8" t="n">
        <x:v>46310</x:v>
      </x:c>
      <x:c r="K589" s="7" t="inlineStr">
        <x:is>
          <x:t xml:space="preserve">Not Started</x:t>
        </x:is>
      </x:c>
      <x:c r="L589" s="7" t="inlineStr">
        <x:is>
          <x:t xml:space="preserve"/>
        </x:is>
      </x:c>
      <x:c r="M589" s="6" t="inlineStr">
        <x:is>
          <x:t xml:space="preserve"/>
        </x:is>
      </x:c>
    </x:row>
    <x:row r="590" ht="35" customHeight="1">
      <x:c r="A590" s="7" t="inlineStr">
        <x:is>
          <x:t xml:space="preserve">P202610-0589</x:t>
        </x:is>
      </x:c>
      <x:c r="B590" s="7" t="n">
        <x:v>2026</x:v>
      </x:c>
      <x:c r="C590" s="7" t="inlineStr">
        <x:is>
          <x:t xml:space="preserve">Oct</x:t>
        </x:is>
      </x:c>
      <x:c r="D590" s="7" t="inlineStr">
        <x:is>
          <x:t xml:space="preserve">MCS49</x:t>
        </x:is>
      </x:c>
      <x:c r="E590" s="6" t="inlineStr">
        <x:is>
          <x:t xml:space="preserve">Consolidation of financial statement</x:t>
        </x:is>
      </x:c>
      <x:c r="F590" s="6" t="inlineStr">
        <x:is>
          <x:t xml:space="preserve">Zainab Yunusah Saadu Daniel Banjo</x:t>
        </x:is>
      </x:c>
      <x:c r="G590" s="6" t="inlineStr">
        <x:is>
          <x:t xml:space="preserve"/>
        </x:is>
      </x:c>
      <x:c r="H590" s="7" t="inlineStr">
        <x:is>
          <x:t xml:space="preserve">Operating Effectiveness</x:t>
        </x:is>
      </x:c>
      <x:c r="I590" s="7" t="inlineStr">
        <x:is>
          <x:t xml:space="preserve"/>
        </x:is>
      </x:c>
      <x:c r="J590" s="8" t="n">
        <x:v>46310</x:v>
      </x:c>
      <x:c r="K590" s="7" t="inlineStr">
        <x:is>
          <x:t xml:space="preserve">Not Started</x:t>
        </x:is>
      </x:c>
      <x:c r="L590" s="7" t="inlineStr">
        <x:is>
          <x:t xml:space="preserve"/>
        </x:is>
      </x:c>
      <x:c r="M590" s="6" t="inlineStr">
        <x:is>
          <x:t xml:space="preserve"/>
        </x:is>
      </x:c>
    </x:row>
    <x:row r="591" ht="35" customHeight="1">
      <x:c r="A591" s="7" t="inlineStr">
        <x:is>
          <x:t xml:space="preserve">P202610-0590</x:t>
        </x:is>
      </x:c>
      <x:c r="B591" s="7" t="n">
        <x:v>2026</x:v>
      </x:c>
      <x:c r="C591" s="7" t="inlineStr">
        <x:is>
          <x:t xml:space="preserve">Oct</x:t>
        </x:is>
      </x:c>
      <x:c r="D591" s="7" t="inlineStr">
        <x:is>
          <x:t xml:space="preserve">MCS50</x:t>
        </x:is>
      </x:c>
      <x:c r="E591" s="6" t="inlineStr">
        <x:is>
          <x:t xml:space="preserve">Statutory financial statements</x:t>
        </x:is>
      </x:c>
      <x:c r="F591" s="6" t="inlineStr">
        <x:is>
          <x:t xml:space="preserve">Zainab Yunusah Saadu Daniel Banjo</x:t>
        </x:is>
      </x:c>
      <x:c r="G591" s="6" t="inlineStr">
        <x:is>
          <x:t xml:space="preserve"/>
        </x:is>
      </x:c>
      <x:c r="H591" s="7" t="inlineStr">
        <x:is>
          <x:t xml:space="preserve">Operating Effectiveness</x:t>
        </x:is>
      </x:c>
      <x:c r="I591" s="7" t="inlineStr">
        <x:is>
          <x:t xml:space="preserve"/>
        </x:is>
      </x:c>
      <x:c r="J591" s="8" t="n">
        <x:v>46310</x:v>
      </x:c>
      <x:c r="K591" s="7" t="inlineStr">
        <x:is>
          <x:t xml:space="preserve">Not Started</x:t>
        </x:is>
      </x:c>
      <x:c r="L591" s="7" t="inlineStr">
        <x:is>
          <x:t xml:space="preserve"/>
        </x:is>
      </x:c>
      <x:c r="M591" s="6" t="inlineStr">
        <x:is>
          <x:t xml:space="preserve"/>
        </x:is>
      </x:c>
    </x:row>
    <x:row r="592" ht="35" customHeight="1">
      <x:c r="A592" s="7" t="inlineStr">
        <x:is>
          <x:t xml:space="preserve">P202610-0591</x:t>
        </x:is>
      </x:c>
      <x:c r="B592" s="7" t="n">
        <x:v>2026</x:v>
      </x:c>
      <x:c r="C592" s="7" t="inlineStr">
        <x:is>
          <x:t xml:space="preserve">Oct</x:t>
        </x:is>
      </x:c>
      <x:c r="D592" s="7" t="inlineStr">
        <x:is>
          <x:t xml:space="preserve">MCS51</x:t>
        </x:is>
      </x:c>
      <x:c r="E592" s="6" t="inlineStr">
        <x:is>
          <x:t xml:space="preserve">Tax risk assessment and reporting</x:t>
        </x:is>
      </x:c>
      <x:c r="F592" s="6" t="n"/>
      <x:c r="G592" s="6" t="inlineStr">
        <x:is>
          <x:t xml:space="preserve"/>
        </x:is>
      </x:c>
      <x:c r="H592" s="7" t="inlineStr">
        <x:is>
          <x:t xml:space="preserve">Operating Effectiveness</x:t>
        </x:is>
      </x:c>
      <x:c r="I592" s="7" t="inlineStr">
        <x:is>
          <x:t xml:space="preserve"/>
        </x:is>
      </x:c>
      <x:c r="J592" s="8" t="n">
        <x:v>46310</x:v>
      </x:c>
      <x:c r="K592" s="7" t="inlineStr">
        <x:is>
          <x:t xml:space="preserve">Not Started</x:t>
        </x:is>
      </x:c>
      <x:c r="L592" s="7" t="inlineStr">
        <x:is>
          <x:t xml:space="preserve"/>
        </x:is>
      </x:c>
      <x:c r="M592" s="6" t="inlineStr">
        <x:is>
          <x:t xml:space="preserve"/>
        </x:is>
      </x:c>
    </x:row>
    <x:row r="593" ht="35" customHeight="1">
      <x:c r="A593" s="7" t="inlineStr">
        <x:is>
          <x:t xml:space="preserve">P202610-0592</x:t>
        </x:is>
      </x:c>
      <x:c r="B593" s="7" t="n">
        <x:v>2026</x:v>
      </x:c>
      <x:c r="C593" s="7" t="inlineStr">
        <x:is>
          <x:t xml:space="preserve">Oct</x:t>
        </x:is>
      </x:c>
      <x:c r="D593" s="7" t="inlineStr">
        <x:is>
          <x:t xml:space="preserve">MCS52</x:t>
        </x:is>
      </x:c>
      <x:c r="E593" s="6" t="inlineStr">
        <x:is>
          <x:t xml:space="preserve">Tax filings and payments</x:t>
        </x:is>
      </x:c>
      <x:c r="F593" s="6" t="n"/>
      <x:c r="G593" s="6" t="inlineStr">
        <x:is>
          <x:t xml:space="preserve"/>
        </x:is>
      </x:c>
      <x:c r="H593" s="7" t="inlineStr">
        <x:is>
          <x:t xml:space="preserve">Operating Effectiveness</x:t>
        </x:is>
      </x:c>
      <x:c r="I593" s="7" t="inlineStr">
        <x:is>
          <x:t xml:space="preserve"/>
        </x:is>
      </x:c>
      <x:c r="J593" s="8" t="n">
        <x:v>46310</x:v>
      </x:c>
      <x:c r="K593" s="7" t="inlineStr">
        <x:is>
          <x:t xml:space="preserve">Not Started</x:t>
        </x:is>
      </x:c>
      <x:c r="L593" s="7" t="inlineStr">
        <x:is>
          <x:t xml:space="preserve"/>
        </x:is>
      </x:c>
      <x:c r="M593" s="6" t="inlineStr">
        <x:is>
          <x:t xml:space="preserve"/>
        </x:is>
      </x:c>
    </x:row>
    <x:row r="594" ht="35" customHeight="1">
      <x:c r="A594" s="7" t="inlineStr">
        <x:is>
          <x:t xml:space="preserve">P202610-0593</x:t>
        </x:is>
      </x:c>
      <x:c r="B594" s="7" t="n">
        <x:v>2026</x:v>
      </x:c>
      <x:c r="C594" s="7" t="inlineStr">
        <x:is>
          <x:t xml:space="preserve">Oct</x:t>
        </x:is>
      </x:c>
      <x:c r="D594" s="7" t="inlineStr">
        <x:is>
          <x:t xml:space="preserve">MCS53</x:t>
        </x:is>
      </x:c>
      <x:c r="E594" s="6" t="inlineStr">
        <x:is>
          <x:t xml:space="preserve">Deferred and current income tax calculations</x:t>
        </x:is>
      </x:c>
      <x:c r="F594" s="6" t="n"/>
      <x:c r="G594" s="6" t="inlineStr">
        <x:is>
          <x:t xml:space="preserve"/>
        </x:is>
      </x:c>
      <x:c r="H594" s="7" t="inlineStr">
        <x:is>
          <x:t xml:space="preserve">Operating Effectiveness</x:t>
        </x:is>
      </x:c>
      <x:c r="I594" s="7" t="inlineStr">
        <x:is>
          <x:t xml:space="preserve"/>
        </x:is>
      </x:c>
      <x:c r="J594" s="8" t="n">
        <x:v>46310</x:v>
      </x:c>
      <x:c r="K594" s="7" t="inlineStr">
        <x:is>
          <x:t xml:space="preserve">Not Started</x:t>
        </x:is>
      </x:c>
      <x:c r="L594" s="7" t="inlineStr">
        <x:is>
          <x:t xml:space="preserve"/>
        </x:is>
      </x:c>
      <x:c r="M594" s="6" t="inlineStr">
        <x:is>
          <x:t xml:space="preserve"/>
        </x:is>
      </x:c>
    </x:row>
    <x:row r="595" ht="35" customHeight="1">
      <x:c r="A595" s="7" t="inlineStr">
        <x:is>
          <x:t xml:space="preserve">P202610-0594</x:t>
        </x:is>
      </x:c>
      <x:c r="B595" s="7" t="n">
        <x:v>2026</x:v>
      </x:c>
      <x:c r="C595" s="7" t="inlineStr">
        <x:is>
          <x:t xml:space="preserve">Oct</x:t>
        </x:is>
      </x:c>
      <x:c r="D595" s="7" t="inlineStr">
        <x:is>
          <x:t xml:space="preserve">MCS54</x:t>
        </x:is>
      </x:c>
      <x:c r="E595" s="6" t="inlineStr">
        <x:is>
          <x:t xml:space="preserve">Transfer pricing</x:t>
        </x:is>
      </x:c>
      <x:c r="F595" s="6" t="n"/>
      <x:c r="G595" s="6" t="inlineStr">
        <x:is>
          <x:t xml:space="preserve"/>
        </x:is>
      </x:c>
      <x:c r="H595" s="7" t="inlineStr">
        <x:is>
          <x:t xml:space="preserve">Operating Effectiveness</x:t>
        </x:is>
      </x:c>
      <x:c r="I595" s="7" t="inlineStr">
        <x:is>
          <x:t xml:space="preserve"/>
        </x:is>
      </x:c>
      <x:c r="J595" s="8" t="n">
        <x:v>46310</x:v>
      </x:c>
      <x:c r="K595" s="7" t="inlineStr">
        <x:is>
          <x:t xml:space="preserve">Not Started</x:t>
        </x:is>
      </x:c>
      <x:c r="L595" s="7" t="inlineStr">
        <x:is>
          <x:t xml:space="preserve"/>
        </x:is>
      </x:c>
      <x:c r="M595" s="6" t="inlineStr">
        <x:is>
          <x:t xml:space="preserve"/>
        </x:is>
      </x:c>
    </x:row>
    <x:row r="596" ht="35" customHeight="1">
      <x:c r="A596" s="7" t="inlineStr">
        <x:is>
          <x:t xml:space="preserve">P202610-0595</x:t>
        </x:is>
      </x:c>
      <x:c r="B596" s="7" t="n">
        <x:v>2026</x:v>
      </x:c>
      <x:c r="C596" s="7" t="inlineStr">
        <x:is>
          <x:t xml:space="preserve">Oct</x:t>
        </x:is>
      </x:c>
      <x:c r="D596" s="7" t="inlineStr">
        <x:is>
          <x:t xml:space="preserve">MCS55</x:t>
        </x:is>
      </x:c>
      <x:c r="E596" s="6" t="inlineStr">
        <x:is>
          <x:t xml:space="preserve">Non-income (indirect) taxes</x:t>
        </x:is>
      </x:c>
      <x:c r="F596" s="6" t="n"/>
      <x:c r="G596" s="6" t="inlineStr">
        <x:is>
          <x:t xml:space="preserve"/>
        </x:is>
      </x:c>
      <x:c r="H596" s="7" t="inlineStr">
        <x:is>
          <x:t xml:space="preserve">Operating Effectiveness</x:t>
        </x:is>
      </x:c>
      <x:c r="I596" s="7" t="inlineStr">
        <x:is>
          <x:t xml:space="preserve"/>
        </x:is>
      </x:c>
      <x:c r="J596" s="8" t="n">
        <x:v>46310</x:v>
      </x:c>
      <x:c r="K596" s="7" t="inlineStr">
        <x:is>
          <x:t xml:space="preserve">Not Started</x:t>
        </x:is>
      </x:c>
      <x:c r="L596" s="7" t="inlineStr">
        <x:is>
          <x:t xml:space="preserve"/>
        </x:is>
      </x:c>
      <x:c r="M596" s="6" t="inlineStr">
        <x:is>
          <x:t xml:space="preserve"/>
        </x:is>
      </x:c>
    </x:row>
    <x:row r="597" ht="35" customHeight="1">
      <x:c r="A597" s="7" t="inlineStr">
        <x:is>
          <x:t xml:space="preserve">P202610-0596</x:t>
        </x:is>
      </x:c>
      <x:c r="B597" s="7" t="n">
        <x:v>2026</x:v>
      </x:c>
      <x:c r="C597" s="7" t="inlineStr">
        <x:is>
          <x:t xml:space="preserve">Oct</x:t>
        </x:is>
      </x:c>
      <x:c r="D597" s="7" t="inlineStr">
        <x:is>
          <x:t xml:space="preserve">MCS56</x:t>
        </x:is>
      </x:c>
      <x:c r="E597" s="6" t="inlineStr">
        <x:is>
          <x:t xml:space="preserve">Bank relations</x:t>
        </x:is>
      </x:c>
      <x:c r="F597" s="6" t="n"/>
      <x:c r="G597" s="6" t="inlineStr">
        <x:is>
          <x:t xml:space="preserve"/>
        </x:is>
      </x:c>
      <x:c r="H597" s="7" t="inlineStr">
        <x:is>
          <x:t xml:space="preserve">Operating Effectiveness</x:t>
        </x:is>
      </x:c>
      <x:c r="I597" s="7" t="inlineStr">
        <x:is>
          <x:t xml:space="preserve"/>
        </x:is>
      </x:c>
      <x:c r="J597" s="8" t="n">
        <x:v>46310</x:v>
      </x:c>
      <x:c r="K597" s="7" t="inlineStr">
        <x:is>
          <x:t xml:space="preserve">Not Started</x:t>
        </x:is>
      </x:c>
      <x:c r="L597" s="7" t="inlineStr">
        <x:is>
          <x:t xml:space="preserve"/>
        </x:is>
      </x:c>
      <x:c r="M597" s="6" t="inlineStr">
        <x:is>
          <x:t xml:space="preserve"/>
        </x:is>
      </x:c>
    </x:row>
    <x:row r="598" ht="35" customHeight="1">
      <x:c r="A598" s="7" t="inlineStr">
        <x:is>
          <x:t xml:space="preserve">P202610-0597</x:t>
        </x:is>
      </x:c>
      <x:c r="B598" s="7" t="n">
        <x:v>2026</x:v>
      </x:c>
      <x:c r="C598" s="7" t="inlineStr">
        <x:is>
          <x:t xml:space="preserve">Oct</x:t>
        </x:is>
      </x:c>
      <x:c r="D598" s="7" t="inlineStr">
        <x:is>
          <x:t xml:space="preserve">MCS57</x:t>
        </x:is>
      </x:c>
      <x:c r="E598" s="6" t="inlineStr">
        <x:is>
          <x:t xml:space="preserve">Cash transactions are not permitted without Regional Controller approval</x:t>
        </x:is>
      </x:c>
      <x:c r="F598" s="6" t="n"/>
      <x:c r="G598" s="6" t="inlineStr">
        <x:is>
          <x:t xml:space="preserve"/>
        </x:is>
      </x:c>
      <x:c r="H598" s="7" t="inlineStr">
        <x:is>
          <x:t xml:space="preserve">Operating Effectiveness</x:t>
        </x:is>
      </x:c>
      <x:c r="I598" s="7" t="inlineStr">
        <x:is>
          <x:t xml:space="preserve"/>
        </x:is>
      </x:c>
      <x:c r="J598" s="8" t="n">
        <x:v>46310</x:v>
      </x:c>
      <x:c r="K598" s="7" t="inlineStr">
        <x:is>
          <x:t xml:space="preserve">Not Started</x:t>
        </x:is>
      </x:c>
      <x:c r="L598" s="7" t="inlineStr">
        <x:is>
          <x:t xml:space="preserve"/>
        </x:is>
      </x:c>
      <x:c r="M598" s="6" t="inlineStr">
        <x:is>
          <x:t xml:space="preserve"/>
        </x:is>
      </x:c>
    </x:row>
    <x:row r="599" ht="35" customHeight="1">
      <x:c r="A599" s="7" t="inlineStr">
        <x:is>
          <x:t xml:space="preserve">P202610-0598</x:t>
        </x:is>
      </x:c>
      <x:c r="B599" s="7" t="n">
        <x:v>2026</x:v>
      </x:c>
      <x:c r="C599" s="7" t="inlineStr">
        <x:is>
          <x:t xml:space="preserve">Oct</x:t>
        </x:is>
      </x:c>
      <x:c r="D599" s="7" t="inlineStr">
        <x:is>
          <x:t xml:space="preserve">MCS58</x:t>
        </x:is>
      </x:c>
      <x:c r="E599" s="6" t="inlineStr">
        <x:is>
          <x:t xml:space="preserve">Secure payment means</x:t>
        </x:is>
      </x:c>
      <x:c r="F599" s="6" t="n"/>
      <x:c r="G599" s="6" t="inlineStr">
        <x:is>
          <x:t xml:space="preserve"/>
        </x:is>
      </x:c>
      <x:c r="H599" s="7" t="inlineStr">
        <x:is>
          <x:t xml:space="preserve">Operating Effectiveness</x:t>
        </x:is>
      </x:c>
      <x:c r="I599" s="7" t="inlineStr">
        <x:is>
          <x:t xml:space="preserve"/>
        </x:is>
      </x:c>
      <x:c r="J599" s="8" t="n">
        <x:v>46310</x:v>
      </x:c>
      <x:c r="K599" s="7" t="inlineStr">
        <x:is>
          <x:t xml:space="preserve">Not Started</x:t>
        </x:is>
      </x:c>
      <x:c r="L599" s="7" t="inlineStr">
        <x:is>
          <x:t xml:space="preserve"/>
        </x:is>
      </x:c>
      <x:c r="M599" s="6" t="inlineStr">
        <x:is>
          <x:t xml:space="preserve"/>
        </x:is>
      </x:c>
    </x:row>
    <x:row r="600" ht="35" customHeight="1">
      <x:c r="A600" s="7" t="inlineStr">
        <x:is>
          <x:t xml:space="preserve">P202610-0599</x:t>
        </x:is>
      </x:c>
      <x:c r="B600" s="7" t="n">
        <x:v>2026</x:v>
      </x:c>
      <x:c r="C600" s="7" t="inlineStr">
        <x:is>
          <x:t xml:space="preserve">Oct</x:t>
        </x:is>
      </x:c>
      <x:c r="D600" s="7" t="inlineStr">
        <x:is>
          <x:t xml:space="preserve">MCS59</x:t>
        </x:is>
      </x:c>
      <x:c r="E600" s="6" t="inlineStr">
        <x:is>
          <x:t xml:space="preserve">Financial instruments, borrowings, commitments and working capital schemes</x:t>
        </x:is>
      </x:c>
      <x:c r="F600" s="6" t="n"/>
      <x:c r="G600" s="6" t="inlineStr">
        <x:is>
          <x:t xml:space="preserve"/>
        </x:is>
      </x:c>
      <x:c r="H600" s="7" t="inlineStr">
        <x:is>
          <x:t xml:space="preserve">Operating Effectiveness</x:t>
        </x:is>
      </x:c>
      <x:c r="I600" s="7" t="inlineStr">
        <x:is>
          <x:t xml:space="preserve"/>
        </x:is>
      </x:c>
      <x:c r="J600" s="8" t="n">
        <x:v>46310</x:v>
      </x:c>
      <x:c r="K600" s="7" t="inlineStr">
        <x:is>
          <x:t xml:space="preserve">Not Started</x:t>
        </x:is>
      </x:c>
      <x:c r="L600" s="7" t="inlineStr">
        <x:is>
          <x:t xml:space="preserve"/>
        </x:is>
      </x:c>
      <x:c r="M600" s="6" t="inlineStr">
        <x:is>
          <x:t xml:space="preserve"/>
        </x:is>
      </x:c>
    </x:row>
    <x:row r="601" ht="35" customHeight="1">
      <x:c r="A601" s="7" t="inlineStr">
        <x:is>
          <x:t xml:space="preserve">P202610-0600</x:t>
        </x:is>
      </x:c>
      <x:c r="B601" s="7" t="n">
        <x:v>2026</x:v>
      </x:c>
      <x:c r="C601" s="7" t="inlineStr">
        <x:is>
          <x:t xml:space="preserve">Oct</x:t>
        </x:is>
      </x:c>
      <x:c r="D601" s="7" t="inlineStr">
        <x:is>
          <x:t xml:space="preserve">MCS60</x:t>
        </x:is>
      </x:c>
      <x:c r="E601" s="6" t="inlineStr">
        <x:is>
          <x:t xml:space="preserve">Forex, interest rate, commodities risks monitoring and hedging</x:t>
        </x:is>
      </x:c>
      <x:c r="F601" s="6" t="n"/>
      <x:c r="G601" s="6" t="inlineStr">
        <x:is>
          <x:t xml:space="preserve"/>
        </x:is>
      </x:c>
      <x:c r="H601" s="7" t="inlineStr">
        <x:is>
          <x:t xml:space="preserve">Operating Effectiveness</x:t>
        </x:is>
      </x:c>
      <x:c r="I601" s="7" t="inlineStr">
        <x:is>
          <x:t xml:space="preserve"/>
        </x:is>
      </x:c>
      <x:c r="J601" s="8" t="n">
        <x:v>46310</x:v>
      </x:c>
      <x:c r="K601" s="7" t="inlineStr">
        <x:is>
          <x:t xml:space="preserve">Not Started</x:t>
        </x:is>
      </x:c>
      <x:c r="L601" s="7" t="inlineStr">
        <x:is>
          <x:t xml:space="preserve"/>
        </x:is>
      </x:c>
      <x:c r="M601" s="6" t="inlineStr">
        <x:is>
          <x:t xml:space="preserve"/>
        </x:is>
      </x:c>
    </x:row>
    <x:row r="602" ht="35" customHeight="1">
      <x:c r="A602" s="7" t="inlineStr">
        <x:is>
          <x:t xml:space="preserve">P202611-0601</x:t>
        </x:is>
      </x:c>
      <x:c r="B602" s="7" t="n">
        <x:v>2026</x:v>
      </x:c>
      <x:c r="C602" s="7" t="inlineStr">
        <x:is>
          <x:t xml:space="preserve">Nov</x:t>
        </x:is>
      </x:c>
      <x:c r="D602" s="7" t="inlineStr">
        <x:is>
          <x:t xml:space="preserve">MCS01</x:t>
        </x:is>
      </x:c>
      <x:c r="E602" s="6" t="inlineStr">
        <x:is>
          <x:t xml:space="preserve">Communication and promotion of the Code of Business Conduct and speak-up culture</x:t>
        </x:is>
      </x:c>
      <x:c r="F602" s="6" t="inlineStr">
        <x:is>
          <x:t xml:space="preserve">Omoyemi Tuga Olamide Ayo-Ogunlade </x:t>
        </x:is>
      </x:c>
      <x:c r="G602" s="6" t="inlineStr">
        <x:is>
          <x:t xml:space="preserve"/>
        </x:is>
      </x:c>
      <x:c r="H602" s="7" t="inlineStr">
        <x:is>
          <x:t xml:space="preserve">Operating Effectiveness</x:t>
        </x:is>
      </x:c>
      <x:c r="I602" s="7" t="inlineStr">
        <x:is>
          <x:t xml:space="preserve"/>
        </x:is>
      </x:c>
      <x:c r="J602" s="8" t="n">
        <x:v>46341</x:v>
      </x:c>
      <x:c r="K602" s="7" t="inlineStr">
        <x:is>
          <x:t xml:space="preserve">Not Started</x:t>
        </x:is>
      </x:c>
      <x:c r="L602" s="7" t="inlineStr">
        <x:is>
          <x:t xml:space="preserve"/>
        </x:is>
      </x:c>
      <x:c r="M602" s="6" t="inlineStr">
        <x:is>
          <x:t xml:space="preserve"/>
        </x:is>
      </x:c>
    </x:row>
    <x:row r="603" ht="35" customHeight="1">
      <x:c r="A603" s="7" t="inlineStr">
        <x:is>
          <x:t xml:space="preserve">P202611-0602</x:t>
        </x:is>
      </x:c>
      <x:c r="B603" s="7" t="n">
        <x:v>2026</x:v>
      </x:c>
      <x:c r="C603" s="7" t="inlineStr">
        <x:is>
          <x:t xml:space="preserve">Nov</x:t>
        </x:is>
      </x:c>
      <x:c r="D603" s="7" t="inlineStr">
        <x:is>
          <x:t xml:space="preserve">MCS02</x:t>
        </x:is>
      </x:c>
      <x:c r="E603" s="6" t="inlineStr">
        <x:is>
          <x:t xml:space="preserve">Compliance with Fair Competition laws and requirements</x:t>
        </x:is>
      </x:c>
      <x:c r="F603" s="6" t="inlineStr">
        <x:is>
          <x:t xml:space="preserve">Mary Waititu</x:t>
        </x:is>
      </x:c>
      <x:c r="G603" s="6" t="inlineStr">
        <x:is>
          <x:t xml:space="preserve"/>
        </x:is>
      </x:c>
      <x:c r="H603" s="7" t="inlineStr">
        <x:is>
          <x:t xml:space="preserve">Operating Effectiveness</x:t>
        </x:is>
      </x:c>
      <x:c r="I603" s="7" t="inlineStr">
        <x:is>
          <x:t xml:space="preserve"/>
        </x:is>
      </x:c>
      <x:c r="J603" s="8" t="n">
        <x:v>46341</x:v>
      </x:c>
      <x:c r="K603" s="7" t="inlineStr">
        <x:is>
          <x:t xml:space="preserve">Not Started</x:t>
        </x:is>
      </x:c>
      <x:c r="L603" s="7" t="inlineStr">
        <x:is>
          <x:t xml:space="preserve"/>
        </x:is>
      </x:c>
      <x:c r="M603" s="6" t="inlineStr">
        <x:is>
          <x:t xml:space="preserve"/>
        </x:is>
      </x:c>
    </x:row>
    <x:row r="604" ht="35" customHeight="1">
      <x:c r="A604" s="7" t="inlineStr">
        <x:is>
          <x:t xml:space="preserve">P202611-0603</x:t>
        </x:is>
      </x:c>
      <x:c r="B604" s="7" t="n">
        <x:v>2026</x:v>
      </x:c>
      <x:c r="C604" s="7" t="inlineStr">
        <x:is>
          <x:t xml:space="preserve">Nov</x:t>
        </x:is>
      </x:c>
      <x:c r="D604" s="7" t="inlineStr">
        <x:is>
          <x:t xml:space="preserve">MCS03</x:t>
        </x:is>
      </x:c>
      <x:c r="E604" s="6" t="inlineStr">
        <x:is>
          <x:t xml:space="preserve">Related party transactions and conflict of interests</x:t>
        </x:is>
      </x:c>
      <x:c r="F604" s="6" t="inlineStr">
        <x:is>
          <x:t xml:space="preserve">Mary Waititu Godson Iwuozo</x:t>
        </x:is>
      </x:c>
      <x:c r="G604" s="6" t="inlineStr">
        <x:is>
          <x:t xml:space="preserve"/>
        </x:is>
      </x:c>
      <x:c r="H604" s="7" t="inlineStr">
        <x:is>
          <x:t xml:space="preserve">Operating Effectiveness</x:t>
        </x:is>
      </x:c>
      <x:c r="I604" s="7" t="inlineStr">
        <x:is>
          <x:t xml:space="preserve"/>
        </x:is>
      </x:c>
      <x:c r="J604" s="8" t="n">
        <x:v>46341</x:v>
      </x:c>
      <x:c r="K604" s="7" t="inlineStr">
        <x:is>
          <x:t xml:space="preserve">Not Started</x:t>
        </x:is>
      </x:c>
      <x:c r="L604" s="7" t="inlineStr">
        <x:is>
          <x:t xml:space="preserve"/>
        </x:is>
      </x:c>
      <x:c r="M604" s="6" t="inlineStr">
        <x:is>
          <x:t xml:space="preserve"/>
        </x:is>
      </x:c>
    </x:row>
    <x:row r="605" ht="35" customHeight="1">
      <x:c r="A605" s="7" t="inlineStr">
        <x:is>
          <x:t xml:space="preserve">P202611-0604</x:t>
        </x:is>
      </x:c>
      <x:c r="B605" s="7" t="n">
        <x:v>2026</x:v>
      </x:c>
      <x:c r="C605" s="7" t="inlineStr">
        <x:is>
          <x:t xml:space="preserve">Nov</x:t>
        </x:is>
      </x:c>
      <x:c r="D605" s="7" t="inlineStr">
        <x:is>
          <x:t xml:space="preserve">MCS04</x:t>
        </x:is>
      </x:c>
      <x:c r="E605" s="6" t="inlineStr">
        <x:is>
          <x:t xml:space="preserve">Board of Directors secretarial requirements</x:t>
        </x:is>
      </x:c>
      <x:c r="F605" s="6" t="inlineStr">
        <x:is>
          <x:t xml:space="preserve">Mary Waititu Godson Iwuozo</x:t>
        </x:is>
      </x:c>
      <x:c r="G605" s="6" t="inlineStr">
        <x:is>
          <x:t xml:space="preserve"/>
        </x:is>
      </x:c>
      <x:c r="H605" s="7" t="inlineStr">
        <x:is>
          <x:t xml:space="preserve">Operating Effectiveness</x:t>
        </x:is>
      </x:c>
      <x:c r="I605" s="7" t="inlineStr">
        <x:is>
          <x:t xml:space="preserve"/>
        </x:is>
      </x:c>
      <x:c r="J605" s="8" t="n">
        <x:v>46341</x:v>
      </x:c>
      <x:c r="K605" s="7" t="inlineStr">
        <x:is>
          <x:t xml:space="preserve">Not Started</x:t>
        </x:is>
      </x:c>
      <x:c r="L605" s="7" t="inlineStr">
        <x:is>
          <x:t xml:space="preserve"/>
        </x:is>
      </x:c>
      <x:c r="M605" s="6" t="inlineStr">
        <x:is>
          <x:t xml:space="preserve"/>
        </x:is>
      </x:c>
    </x:row>
    <x:row r="606" ht="35" customHeight="1">
      <x:c r="A606" s="7" t="inlineStr">
        <x:is>
          <x:t xml:space="preserve">P202611-0605</x:t>
        </x:is>
      </x:c>
      <x:c r="B606" s="7" t="n">
        <x:v>2026</x:v>
      </x:c>
      <x:c r="C606" s="7" t="inlineStr">
        <x:is>
          <x:t xml:space="preserve">Nov</x:t>
        </x:is>
      </x:c>
      <x:c r="D606" s="7" t="inlineStr">
        <x:is>
          <x:t xml:space="preserve">MCS05</x:t>
        </x:is>
      </x:c>
      <x:c r="E606" s="6" t="inlineStr">
        <x:is>
          <x:t xml:space="preserve">Health, Safety &amp; Environment</x:t>
        </x:is>
      </x:c>
      <x:c r="F606" s="6" t="inlineStr">
        <x:is>
          <x:t xml:space="preserve">Omoyemi Tuga Yomi Jegede</x:t>
        </x:is>
      </x:c>
      <x:c r="G606" s="6" t="inlineStr">
        <x:is>
          <x:t xml:space="preserve"/>
        </x:is>
      </x:c>
      <x:c r="H606" s="7" t="inlineStr">
        <x:is>
          <x:t xml:space="preserve">Operating Effectiveness</x:t>
        </x:is>
      </x:c>
      <x:c r="I606" s="7" t="inlineStr">
        <x:is>
          <x:t xml:space="preserve"/>
        </x:is>
      </x:c>
      <x:c r="J606" s="8" t="n">
        <x:v>46341</x:v>
      </x:c>
      <x:c r="K606" s="7" t="inlineStr">
        <x:is>
          <x:t xml:space="preserve">Not Started</x:t>
        </x:is>
      </x:c>
      <x:c r="L606" s="7" t="inlineStr">
        <x:is>
          <x:t xml:space="preserve"/>
        </x:is>
      </x:c>
      <x:c r="M606" s="6" t="inlineStr">
        <x:is>
          <x:t xml:space="preserve"/>
        </x:is>
      </x:c>
    </x:row>
    <x:row r="607" ht="35" customHeight="1">
      <x:c r="A607" s="7" t="inlineStr">
        <x:is>
          <x:t xml:space="preserve">P202611-0606</x:t>
        </x:is>
      </x:c>
      <x:c r="B607" s="7" t="n">
        <x:v>2026</x:v>
      </x:c>
      <x:c r="C607" s="7" t="inlineStr">
        <x:is>
          <x:t xml:space="preserve">Nov</x:t>
        </x:is>
      </x:c>
      <x:c r="D607" s="7" t="inlineStr">
        <x:is>
          <x:t xml:space="preserve">MCS06</x:t>
        </x:is>
      </x:c>
      <x:c r="E607" s="6" t="inlineStr">
        <x:is>
          <x:t xml:space="preserve">Risk assessment</x:t>
        </x:is>
      </x:c>
      <x:c r="F607" s="6" t="inlineStr">
        <x:is>
          <x:t xml:space="preserve">Oluwaseun Oyedepo</x:t>
        </x:is>
      </x:c>
      <x:c r="G607" s="6" t="inlineStr">
        <x:is>
          <x:t xml:space="preserve"/>
        </x:is>
      </x:c>
      <x:c r="H607" s="7" t="inlineStr">
        <x:is>
          <x:t xml:space="preserve">Operating Effectiveness</x:t>
        </x:is>
      </x:c>
      <x:c r="I607" s="7" t="inlineStr">
        <x:is>
          <x:t xml:space="preserve"/>
        </x:is>
      </x:c>
      <x:c r="J607" s="8" t="n">
        <x:v>46341</x:v>
      </x:c>
      <x:c r="K607" s="7" t="inlineStr">
        <x:is>
          <x:t xml:space="preserve">Not Started</x:t>
        </x:is>
      </x:c>
      <x:c r="L607" s="7" t="inlineStr">
        <x:is>
          <x:t xml:space="preserve"/>
        </x:is>
      </x:c>
      <x:c r="M607" s="6" t="inlineStr">
        <x:is>
          <x:t xml:space="preserve"/>
        </x:is>
      </x:c>
    </x:row>
    <x:row r="608" ht="35" customHeight="1">
      <x:c r="A608" s="7" t="inlineStr">
        <x:is>
          <x:t xml:space="preserve">P202611-0607</x:t>
        </x:is>
      </x:c>
      <x:c r="B608" s="7" t="n">
        <x:v>2026</x:v>
      </x:c>
      <x:c r="C608" s="7" t="inlineStr">
        <x:is>
          <x:t xml:space="preserve">Nov</x:t>
        </x:is>
      </x:c>
      <x:c r="D608" s="7" t="inlineStr">
        <x:is>
          <x:t xml:space="preserve">MCS07</x:t>
        </x:is>
      </x:c>
      <x:c r="E608" s="6" t="inlineStr">
        <x:is>
          <x:t xml:space="preserve">Mitigation of business risks - Security</x:t>
        </x:is>
      </x:c>
      <x:c r="F608" s="6" t="inlineStr">
        <x:is>
          <x:t xml:space="preserve">Olamide Ayo-Ogunlade Obinna Ojimba</x:t>
        </x:is>
      </x:c>
      <x:c r="G608" s="6" t="inlineStr">
        <x:is>
          <x:t xml:space="preserve"/>
        </x:is>
      </x:c>
      <x:c r="H608" s="7" t="inlineStr">
        <x:is>
          <x:t xml:space="preserve">Operating Effectiveness</x:t>
        </x:is>
      </x:c>
      <x:c r="I608" s="7" t="inlineStr">
        <x:is>
          <x:t xml:space="preserve"/>
        </x:is>
      </x:c>
      <x:c r="J608" s="8" t="n">
        <x:v>46341</x:v>
      </x:c>
      <x:c r="K608" s="7" t="inlineStr">
        <x:is>
          <x:t xml:space="preserve">Not Started</x:t>
        </x:is>
      </x:c>
      <x:c r="L608" s="7" t="inlineStr">
        <x:is>
          <x:t xml:space="preserve"/>
        </x:is>
      </x:c>
      <x:c r="M608" s="6" t="inlineStr">
        <x:is>
          <x:t xml:space="preserve"/>
        </x:is>
      </x:c>
    </x:row>
    <x:row r="609" ht="35" customHeight="1">
      <x:c r="A609" s="7" t="inlineStr">
        <x:is>
          <x:t xml:space="preserve">P202611-0608</x:t>
        </x:is>
      </x:c>
      <x:c r="B609" s="7" t="n">
        <x:v>2026</x:v>
      </x:c>
      <x:c r="C609" s="7" t="inlineStr">
        <x:is>
          <x:t xml:space="preserve">Nov</x:t>
        </x:is>
      </x:c>
      <x:c r="D609" s="7" t="inlineStr">
        <x:is>
          <x:t xml:space="preserve">MCS08</x:t>
        </x:is>
      </x:c>
      <x:c r="E609" s="6" t="inlineStr">
        <x:is>
          <x:t xml:space="preserve">Mitigation of business risks - Group insurance</x:t>
        </x:is>
      </x:c>
      <x:c r="F609" s="6" t="inlineStr">
        <x:is>
          <x:t xml:space="preserve">Victory Olumuyiwa</x:t>
        </x:is>
      </x:c>
      <x:c r="G609" s="6" t="inlineStr">
        <x:is>
          <x:t xml:space="preserve"/>
        </x:is>
      </x:c>
      <x:c r="H609" s="7" t="inlineStr">
        <x:is>
          <x:t xml:space="preserve">Operating Effectiveness</x:t>
        </x:is>
      </x:c>
      <x:c r="I609" s="7" t="inlineStr">
        <x:is>
          <x:t xml:space="preserve"/>
        </x:is>
      </x:c>
      <x:c r="J609" s="8" t="n">
        <x:v>46341</x:v>
      </x:c>
      <x:c r="K609" s="7" t="inlineStr">
        <x:is>
          <x:t xml:space="preserve">Not Started</x:t>
        </x:is>
      </x:c>
      <x:c r="L609" s="7" t="inlineStr">
        <x:is>
          <x:t xml:space="preserve"/>
        </x:is>
      </x:c>
      <x:c r="M609" s="6" t="inlineStr">
        <x:is>
          <x:t xml:space="preserve"/>
        </x:is>
      </x:c>
    </x:row>
    <x:row r="610" ht="35" customHeight="1">
      <x:c r="A610" s="7" t="inlineStr">
        <x:is>
          <x:t xml:space="preserve">P202611-0609</x:t>
        </x:is>
      </x:c>
      <x:c r="B610" s="7" t="n">
        <x:v>2026</x:v>
      </x:c>
      <x:c r="C610" s="7" t="inlineStr">
        <x:is>
          <x:t xml:space="preserve">Nov</x:t>
        </x:is>
      </x:c>
      <x:c r="D610" s="7" t="inlineStr">
        <x:is>
          <x:t xml:space="preserve">MCS09</x:t>
        </x:is>
      </x:c>
      <x:c r="E610" s="6" t="inlineStr">
        <x:is>
          <x:t xml:space="preserve">Mitigation of business risks - Business Resilience System</x:t>
        </x:is>
      </x:c>
      <x:c r="F610" s="6" t="inlineStr">
        <x:is>
          <x:t xml:space="preserve">Oluwaseun Oyedepo</x:t>
        </x:is>
      </x:c>
      <x:c r="G610" s="6" t="inlineStr">
        <x:is>
          <x:t xml:space="preserve"/>
        </x:is>
      </x:c>
      <x:c r="H610" s="7" t="inlineStr">
        <x:is>
          <x:t xml:space="preserve">Operating Effectiveness</x:t>
        </x:is>
      </x:c>
      <x:c r="I610" s="7" t="inlineStr">
        <x:is>
          <x:t xml:space="preserve"/>
        </x:is>
      </x:c>
      <x:c r="J610" s="8" t="n">
        <x:v>46341</x:v>
      </x:c>
      <x:c r="K610" s="7" t="inlineStr">
        <x:is>
          <x:t xml:space="preserve">Not Started</x:t>
        </x:is>
      </x:c>
      <x:c r="L610" s="7" t="inlineStr">
        <x:is>
          <x:t xml:space="preserve"/>
        </x:is>
      </x:c>
      <x:c r="M610" s="6" t="inlineStr">
        <x:is>
          <x:t xml:space="preserve"/>
        </x:is>
      </x:c>
    </x:row>
    <x:row r="611" ht="35" customHeight="1">
      <x:c r="A611" s="7" t="inlineStr">
        <x:is>
          <x:t xml:space="preserve">P202611-0610</x:t>
        </x:is>
      </x:c>
      <x:c r="B611" s="7" t="n">
        <x:v>2026</x:v>
      </x:c>
      <x:c r="C611" s="7" t="inlineStr">
        <x:is>
          <x:t xml:space="preserve">Nov</x:t>
        </x:is>
      </x:c>
      <x:c r="D611" s="7" t="inlineStr">
        <x:is>
          <x:t xml:space="preserve">MCS10</x:t>
        </x:is>
      </x:c>
      <x:c r="E611" s="6" t="inlineStr">
        <x:is>
          <x:t xml:space="preserve">Mitigation of business risks - Remediation of deficiencies and non-compliance with MCS</x:t>
        </x:is>
      </x:c>
      <x:c r="F611" s="6" t="inlineStr">
        <x:is>
          <x:t xml:space="preserve">Oluwaseun Oyedepo</x:t>
        </x:is>
      </x:c>
      <x:c r="G611" s="6" t="inlineStr">
        <x:is>
          <x:t xml:space="preserve"/>
        </x:is>
      </x:c>
      <x:c r="H611" s="7" t="inlineStr">
        <x:is>
          <x:t xml:space="preserve">Operating Effectiveness</x:t>
        </x:is>
      </x:c>
      <x:c r="I611" s="7" t="inlineStr">
        <x:is>
          <x:t xml:space="preserve"/>
        </x:is>
      </x:c>
      <x:c r="J611" s="8" t="n">
        <x:v>46341</x:v>
      </x:c>
      <x:c r="K611" s="7" t="inlineStr">
        <x:is>
          <x:t xml:space="preserve">Not Started</x:t>
        </x:is>
      </x:c>
      <x:c r="L611" s="7" t="inlineStr">
        <x:is>
          <x:t xml:space="preserve"/>
        </x:is>
      </x:c>
      <x:c r="M611" s="6" t="inlineStr">
        <x:is>
          <x:t xml:space="preserve"/>
        </x:is>
      </x:c>
    </x:row>
    <x:row r="612" ht="35" customHeight="1">
      <x:c r="A612" s="7" t="inlineStr">
        <x:is>
          <x:t xml:space="preserve">P202611-0611</x:t>
        </x:is>
      </x:c>
      <x:c r="B612" s="7" t="n">
        <x:v>2026</x:v>
      </x:c>
      <x:c r="C612" s="7" t="inlineStr">
        <x:is>
          <x:t xml:space="preserve">Nov</x:t>
        </x:is>
      </x:c>
      <x:c r="D612" s="7" t="inlineStr">
        <x:is>
          <x:t xml:space="preserve">MCS11</x:t>
        </x:is>
      </x:c>
      <x:c r="E612" s="6" t="inlineStr">
        <x:is>
          <x:t xml:space="preserve">Personal data protection</x:t>
        </x:is>
      </x:c>
      <x:c r="F612" s="6" t="inlineStr">
        <x:is>
          <x:t xml:space="preserve">Olamide Ayo-Ogunlade @</x:t>
        </x:is>
      </x:c>
      <x:c r="G612" s="6" t="inlineStr">
        <x:is>
          <x:t xml:space="preserve"/>
        </x:is>
      </x:c>
      <x:c r="H612" s="7" t="inlineStr">
        <x:is>
          <x:t xml:space="preserve">Operating Effectiveness</x:t>
        </x:is>
      </x:c>
      <x:c r="I612" s="7" t="inlineStr">
        <x:is>
          <x:t xml:space="preserve"/>
        </x:is>
      </x:c>
      <x:c r="J612" s="8" t="n">
        <x:v>46341</x:v>
      </x:c>
      <x:c r="K612" s="7" t="inlineStr">
        <x:is>
          <x:t xml:space="preserve">Not Started</x:t>
        </x:is>
      </x:c>
      <x:c r="L612" s="7" t="inlineStr">
        <x:is>
          <x:t xml:space="preserve"/>
        </x:is>
      </x:c>
      <x:c r="M612" s="6" t="inlineStr">
        <x:is>
          <x:t xml:space="preserve"/>
        </x:is>
      </x:c>
    </x:row>
    <x:row r="613" ht="35" customHeight="1">
      <x:c r="A613" s="7" t="inlineStr">
        <x:is>
          <x:t xml:space="preserve">P202611-0612</x:t>
        </x:is>
      </x:c>
      <x:c r="B613" s="7" t="n">
        <x:v>2026</x:v>
      </x:c>
      <x:c r="C613" s="7" t="inlineStr">
        <x:is>
          <x:t xml:space="preserve">Nov</x:t>
        </x:is>
      </x:c>
      <x:c r="D613" s="7" t="inlineStr">
        <x:is>
          <x:t xml:space="preserve">MCS12</x:t>
        </x:is>
      </x:c>
      <x:c r="E613" s="6" t="inlineStr">
        <x:is>
          <x:t xml:space="preserve">Segregation of duties and user access review</x:t>
        </x:is>
      </x:c>
      <x:c r="F613" s="6" t="inlineStr">
        <x:is>
          <x:t xml:space="preserve">Theophilus Okolie</x:t>
        </x:is>
      </x:c>
      <x:c r="G613" s="6" t="inlineStr">
        <x:is>
          <x:t xml:space="preserve"/>
        </x:is>
      </x:c>
      <x:c r="H613" s="7" t="inlineStr">
        <x:is>
          <x:t xml:space="preserve">Operating Effectiveness</x:t>
        </x:is>
      </x:c>
      <x:c r="I613" s="7" t="inlineStr">
        <x:is>
          <x:t xml:space="preserve"/>
        </x:is>
      </x:c>
      <x:c r="J613" s="8" t="n">
        <x:v>46341</x:v>
      </x:c>
      <x:c r="K613" s="7" t="inlineStr">
        <x:is>
          <x:t xml:space="preserve">Not Started</x:t>
        </x:is>
      </x:c>
      <x:c r="L613" s="7" t="inlineStr">
        <x:is>
          <x:t xml:space="preserve"/>
        </x:is>
      </x:c>
      <x:c r="M613" s="6" t="inlineStr">
        <x:is>
          <x:t xml:space="preserve"/>
        </x:is>
      </x:c>
    </x:row>
    <x:row r="614" ht="35" customHeight="1">
      <x:c r="A614" s="7" t="inlineStr">
        <x:is>
          <x:t xml:space="preserve">P202611-0613</x:t>
        </x:is>
      </x:c>
      <x:c r="B614" s="7" t="n">
        <x:v>2026</x:v>
      </x:c>
      <x:c r="C614" s="7" t="inlineStr">
        <x:is>
          <x:t xml:space="preserve">Nov</x:t>
        </x:is>
      </x:c>
      <x:c r="D614" s="7" t="inlineStr">
        <x:is>
          <x:t xml:space="preserve">MCS13</x:t>
        </x:is>
      </x:c>
      <x:c r="E614" s="6" t="inlineStr">
        <x:is>
          <x:t xml:space="preserve">Delegation of authorities and approval workflows</x:t>
        </x:is>
      </x:c>
      <x:c r="F614" s="6" t="inlineStr">
        <x:is>
          <x:t xml:space="preserve">Ramakant Patil</x:t>
        </x:is>
      </x:c>
      <x:c r="G614" s="6" t="inlineStr">
        <x:is>
          <x:t xml:space="preserve"/>
        </x:is>
      </x:c>
      <x:c r="H614" s="7" t="inlineStr">
        <x:is>
          <x:t xml:space="preserve">Operating Effectiveness</x:t>
        </x:is>
      </x:c>
      <x:c r="I614" s="7" t="inlineStr">
        <x:is>
          <x:t xml:space="preserve"/>
        </x:is>
      </x:c>
      <x:c r="J614" s="8" t="n">
        <x:v>46341</x:v>
      </x:c>
      <x:c r="K614" s="7" t="inlineStr">
        <x:is>
          <x:t xml:space="preserve">Not Started</x:t>
        </x:is>
      </x:c>
      <x:c r="L614" s="7" t="inlineStr">
        <x:is>
          <x:t xml:space="preserve"/>
        </x:is>
      </x:c>
      <x:c r="M614" s="6" t="inlineStr">
        <x:is>
          <x:t xml:space="preserve"/>
        </x:is>
      </x:c>
    </x:row>
    <x:row r="615" ht="35" customHeight="1">
      <x:c r="A615" s="7" t="inlineStr">
        <x:is>
          <x:t xml:space="preserve">P202611-0614</x:t>
        </x:is>
      </x:c>
      <x:c r="B615" s="7" t="n">
        <x:v>2026</x:v>
      </x:c>
      <x:c r="C615" s="7" t="inlineStr">
        <x:is>
          <x:t xml:space="preserve">Nov</x:t>
        </x:is>
      </x:c>
      <x:c r="D615" s="7" t="inlineStr">
        <x:is>
          <x:t xml:space="preserve">MCS14</x:t>
        </x:is>
      </x:c>
      <x:c r="E615" s="6" t="inlineStr">
        <x:is>
          <x:t xml:space="preserve">Litigation disputes</x:t>
        </x:is>
      </x:c>
      <x:c r="F615" s="6" t="inlineStr">
        <x:is>
          <x:t xml:space="preserve">Mary Waititu</x:t>
        </x:is>
      </x:c>
      <x:c r="G615" s="6" t="inlineStr">
        <x:is>
          <x:t xml:space="preserve"/>
        </x:is>
      </x:c>
      <x:c r="H615" s="7" t="inlineStr">
        <x:is>
          <x:t xml:space="preserve">Operating Effectiveness</x:t>
        </x:is>
      </x:c>
      <x:c r="I615" s="7" t="inlineStr">
        <x:is>
          <x:t xml:space="preserve"/>
        </x:is>
      </x:c>
      <x:c r="J615" s="8" t="n">
        <x:v>46341</x:v>
      </x:c>
      <x:c r="K615" s="7" t="inlineStr">
        <x:is>
          <x:t xml:space="preserve">Not Started</x:t>
        </x:is>
      </x:c>
      <x:c r="L615" s="7" t="inlineStr">
        <x:is>
          <x:t xml:space="preserve"/>
        </x:is>
      </x:c>
      <x:c r="M615" s="6" t="inlineStr">
        <x:is>
          <x:t xml:space="preserve"/>
        </x:is>
      </x:c>
    </x:row>
    <x:row r="616" ht="35" customHeight="1">
      <x:c r="A616" s="7" t="inlineStr">
        <x:is>
          <x:t xml:space="preserve">P202611-0615</x:t>
        </x:is>
      </x:c>
      <x:c r="B616" s="7" t="n">
        <x:v>2026</x:v>
      </x:c>
      <x:c r="C616" s="7" t="inlineStr">
        <x:is>
          <x:t xml:space="preserve">Nov</x:t>
        </x:is>
      </x:c>
      <x:c r="D616" s="7" t="inlineStr">
        <x:is>
          <x:t xml:space="preserve">MCS15</x:t>
        </x:is>
      </x:c>
      <x:c r="E616" s="6" t="inlineStr">
        <x:is>
          <x:t xml:space="preserve">Review of contracts by finance</x:t>
        </x:is>
      </x:c>
      <x:c r="F616" s="6" t="inlineStr">
        <x:is>
          <x:t xml:space="preserve">Ovie Itie</x:t>
        </x:is>
      </x:c>
      <x:c r="G616" s="6" t="inlineStr">
        <x:is>
          <x:t xml:space="preserve"/>
        </x:is>
      </x:c>
      <x:c r="H616" s="7" t="inlineStr">
        <x:is>
          <x:t xml:space="preserve">Operating Effectiveness</x:t>
        </x:is>
      </x:c>
      <x:c r="I616" s="7" t="inlineStr">
        <x:is>
          <x:t xml:space="preserve"/>
        </x:is>
      </x:c>
      <x:c r="J616" s="8" t="n">
        <x:v>46341</x:v>
      </x:c>
      <x:c r="K616" s="7" t="inlineStr">
        <x:is>
          <x:t xml:space="preserve">Not Started</x:t>
        </x:is>
      </x:c>
      <x:c r="L616" s="7" t="inlineStr">
        <x:is>
          <x:t xml:space="preserve"/>
        </x:is>
      </x:c>
      <x:c r="M616" s="6" t="inlineStr">
        <x:is>
          <x:t xml:space="preserve"/>
        </x:is>
      </x:c>
    </x:row>
    <x:row r="617" ht="35" customHeight="1">
      <x:c r="A617" s="7" t="inlineStr">
        <x:is>
          <x:t xml:space="preserve">P202611-0616</x:t>
        </x:is>
      </x:c>
      <x:c r="B617" s="7" t="n">
        <x:v>2026</x:v>
      </x:c>
      <x:c r="C617" s="7" t="inlineStr">
        <x:is>
          <x:t xml:space="preserve">Nov</x:t>
        </x:is>
      </x:c>
      <x:c r="D617" s="7" t="inlineStr">
        <x:is>
          <x:t xml:space="preserve">MCS16</x:t>
        </x:is>
      </x:c>
      <x:c r="E617" s="6" t="inlineStr">
        <x:is>
          <x:t xml:space="preserve">Management of titles and permits</x:t>
        </x:is>
      </x:c>
      <x:c r="F617" s="6" t="n"/>
      <x:c r="G617" s="6" t="inlineStr">
        <x:is>
          <x:t xml:space="preserve"/>
        </x:is>
      </x:c>
      <x:c r="H617" s="7" t="inlineStr">
        <x:is>
          <x:t xml:space="preserve">Operating Effectiveness</x:t>
        </x:is>
      </x:c>
      <x:c r="I617" s="7" t="inlineStr">
        <x:is>
          <x:t xml:space="preserve"/>
        </x:is>
      </x:c>
      <x:c r="J617" s="8" t="n">
        <x:v>46341</x:v>
      </x:c>
      <x:c r="K617" s="7" t="inlineStr">
        <x:is>
          <x:t xml:space="preserve">Not Started</x:t>
        </x:is>
      </x:c>
      <x:c r="L617" s="7" t="inlineStr">
        <x:is>
          <x:t xml:space="preserve"/>
        </x:is>
      </x:c>
      <x:c r="M617" s="6" t="inlineStr">
        <x:is>
          <x:t xml:space="preserve"/>
        </x:is>
      </x:c>
    </x:row>
    <x:row r="618" ht="35" customHeight="1">
      <x:c r="A618" s="7" t="inlineStr">
        <x:is>
          <x:t xml:space="preserve">P202611-0617</x:t>
        </x:is>
      </x:c>
      <x:c r="B618" s="7" t="n">
        <x:v>2026</x:v>
      </x:c>
      <x:c r="C618" s="7" t="inlineStr">
        <x:is>
          <x:t xml:space="preserve">Nov</x:t>
        </x:is>
      </x:c>
      <x:c r="D618" s="7" t="inlineStr">
        <x:is>
          <x:t xml:space="preserve">MCS18</x:t>
        </x:is>
      </x:c>
      <x:c r="E618" s="6" t="inlineStr">
        <x:is>
          <x:t xml:space="preserve">Classification and depreciation of property, plant &amp; equipment</x:t>
        </x:is>
      </x:c>
      <x:c r="F618" s="6" t="n"/>
      <x:c r="G618" s="6" t="inlineStr">
        <x:is>
          <x:t xml:space="preserve"/>
        </x:is>
      </x:c>
      <x:c r="H618" s="7" t="inlineStr">
        <x:is>
          <x:t xml:space="preserve">Operating Effectiveness</x:t>
        </x:is>
      </x:c>
      <x:c r="I618" s="7" t="inlineStr">
        <x:is>
          <x:t xml:space="preserve"/>
        </x:is>
      </x:c>
      <x:c r="J618" s="8" t="n">
        <x:v>46341</x:v>
      </x:c>
      <x:c r="K618" s="7" t="inlineStr">
        <x:is>
          <x:t xml:space="preserve">Not Started</x:t>
        </x:is>
      </x:c>
      <x:c r="L618" s="7" t="inlineStr">
        <x:is>
          <x:t xml:space="preserve"/>
        </x:is>
      </x:c>
      <x:c r="M618" s="6" t="inlineStr">
        <x:is>
          <x:t xml:space="preserve"/>
        </x:is>
      </x:c>
    </x:row>
    <x:row r="619" ht="35" customHeight="1">
      <x:c r="A619" s="7" t="inlineStr">
        <x:is>
          <x:t xml:space="preserve">P202611-0618</x:t>
        </x:is>
      </x:c>
      <x:c r="B619" s="7" t="n">
        <x:v>2026</x:v>
      </x:c>
      <x:c r="C619" s="7" t="inlineStr">
        <x:is>
          <x:t xml:space="preserve">Nov</x:t>
        </x:is>
      </x:c>
      <x:c r="D619" s="7" t="inlineStr">
        <x:is>
          <x:t xml:space="preserve">MCS19</x:t>
        </x:is>
      </x:c>
      <x:c r="E619" s="6" t="inlineStr">
        <x:is>
          <x:t xml:space="preserve">Physical verification of Fixed Asset</x:t>
        </x:is>
      </x:c>
      <x:c r="F619" s="6" t="n"/>
      <x:c r="G619" s="6" t="inlineStr">
        <x:is>
          <x:t xml:space="preserve"/>
        </x:is>
      </x:c>
      <x:c r="H619" s="7" t="inlineStr">
        <x:is>
          <x:t xml:space="preserve">Operating Effectiveness</x:t>
        </x:is>
      </x:c>
      <x:c r="I619" s="7" t="inlineStr">
        <x:is>
          <x:t xml:space="preserve"/>
        </x:is>
      </x:c>
      <x:c r="J619" s="8" t="n">
        <x:v>46341</x:v>
      </x:c>
      <x:c r="K619" s="7" t="inlineStr">
        <x:is>
          <x:t xml:space="preserve">Not Started</x:t>
        </x:is>
      </x:c>
      <x:c r="L619" s="7" t="inlineStr">
        <x:is>
          <x:t xml:space="preserve"/>
        </x:is>
      </x:c>
      <x:c r="M619" s="6" t="inlineStr">
        <x:is>
          <x:t xml:space="preserve"/>
        </x:is>
      </x:c>
    </x:row>
    <x:row r="620" ht="35" customHeight="1">
      <x:c r="A620" s="7" t="inlineStr">
        <x:is>
          <x:t xml:space="preserve">P202611-0619</x:t>
        </x:is>
      </x:c>
      <x:c r="B620" s="7" t="n">
        <x:v>2026</x:v>
      </x:c>
      <x:c r="C620" s="7" t="inlineStr">
        <x:is>
          <x:t xml:space="preserve">Nov</x:t>
        </x:is>
      </x:c>
      <x:c r="D620" s="7" t="inlineStr">
        <x:is>
          <x:t xml:space="preserve">MCS20</x:t>
        </x:is>
      </x:c>
      <x:c r="E620" s="6" t="inlineStr">
        <x:is>
          <x:t xml:space="preserve">Management of customer and inventory master data</x:t>
        </x:is>
      </x:c>
      <x:c r="F620" s="6" t="inlineStr">
        <x:is>
          <x:t xml:space="preserve">Yomi Jegede</x:t>
        </x:is>
      </x:c>
      <x:c r="G620" s="6" t="inlineStr">
        <x:is>
          <x:t xml:space="preserve"/>
        </x:is>
      </x:c>
      <x:c r="H620" s="7" t="inlineStr">
        <x:is>
          <x:t xml:space="preserve">Operating Effectiveness</x:t>
        </x:is>
      </x:c>
      <x:c r="I620" s="7" t="inlineStr">
        <x:is>
          <x:t xml:space="preserve"/>
        </x:is>
      </x:c>
      <x:c r="J620" s="8" t="n">
        <x:v>46341</x:v>
      </x:c>
      <x:c r="K620" s="7" t="inlineStr">
        <x:is>
          <x:t xml:space="preserve">Not Started</x:t>
        </x:is>
      </x:c>
      <x:c r="L620" s="7" t="inlineStr">
        <x:is>
          <x:t xml:space="preserve"/>
        </x:is>
      </x:c>
      <x:c r="M620" s="6" t="inlineStr">
        <x:is>
          <x:t xml:space="preserve"/>
        </x:is>
      </x:c>
    </x:row>
    <x:row r="621" ht="35" customHeight="1">
      <x:c r="A621" s="7" t="inlineStr">
        <x:is>
          <x:t xml:space="preserve">P202611-0620</x:t>
        </x:is>
      </x:c>
      <x:c r="B621" s="7" t="n">
        <x:v>2026</x:v>
      </x:c>
      <x:c r="C621" s="7" t="inlineStr">
        <x:is>
          <x:t xml:space="preserve">Nov</x:t>
        </x:is>
      </x:c>
      <x:c r="D621" s="7" t="inlineStr">
        <x:is>
          <x:t xml:space="preserve">MCS21</x:t>
        </x:is>
      </x:c>
      <x:c r="E621" s="6" t="inlineStr">
        <x:is>
          <x:t xml:space="preserve">Price management</x:t>
        </x:is>
      </x:c>
      <x:c r="F621" s="6" t="n"/>
      <x:c r="G621" s="6" t="inlineStr">
        <x:is>
          <x:t xml:space="preserve"/>
        </x:is>
      </x:c>
      <x:c r="H621" s="7" t="inlineStr">
        <x:is>
          <x:t xml:space="preserve">Operating Effectiveness</x:t>
        </x:is>
      </x:c>
      <x:c r="I621" s="7" t="inlineStr">
        <x:is>
          <x:t xml:space="preserve"/>
        </x:is>
      </x:c>
      <x:c r="J621" s="8" t="n">
        <x:v>46341</x:v>
      </x:c>
      <x:c r="K621" s="7" t="inlineStr">
        <x:is>
          <x:t xml:space="preserve">Not Started</x:t>
        </x:is>
      </x:c>
      <x:c r="L621" s="7" t="inlineStr">
        <x:is>
          <x:t xml:space="preserve"/>
        </x:is>
      </x:c>
      <x:c r="M621" s="6" t="inlineStr">
        <x:is>
          <x:t xml:space="preserve"/>
        </x:is>
      </x:c>
    </x:row>
    <x:row r="622" ht="35" customHeight="1">
      <x:c r="A622" s="7" t="inlineStr">
        <x:is>
          <x:t xml:space="preserve">P202611-0621</x:t>
        </x:is>
      </x:c>
      <x:c r="B622" s="7" t="n">
        <x:v>2026</x:v>
      </x:c>
      <x:c r="C622" s="7" t="inlineStr">
        <x:is>
          <x:t xml:space="preserve">Nov</x:t>
        </x:is>
      </x:c>
      <x:c r="D622" s="7" t="inlineStr">
        <x:is>
          <x:t xml:space="preserve">MCS22.1</x:t>
        </x:is>
      </x:c>
      <x:c r="E622" s="6" t="inlineStr">
        <x:is>
          <x:t xml:space="preserve">Control of customer credit limits - Easybuy</x:t>
        </x:is>
      </x:c>
      <x:c r="F622" s="6" t="inlineStr">
        <x:is>
          <x:t xml:space="preserve">Omoyemi Tuga Ogunsanmi Opeyemi Listbon</x:t>
        </x:is>
      </x:c>
      <x:c r="G622" s="6" t="inlineStr">
        <x:is>
          <x:t xml:space="preserve"/>
        </x:is>
      </x:c>
      <x:c r="H622" s="7" t="inlineStr">
        <x:is>
          <x:t xml:space="preserve">Operating Effectiveness</x:t>
        </x:is>
      </x:c>
      <x:c r="I622" s="7" t="inlineStr">
        <x:is>
          <x:t xml:space="preserve"/>
        </x:is>
      </x:c>
      <x:c r="J622" s="8" t="n">
        <x:v>46341</x:v>
      </x:c>
      <x:c r="K622" s="7" t="inlineStr">
        <x:is>
          <x:t xml:space="preserve">Not Started</x:t>
        </x:is>
      </x:c>
      <x:c r="L622" s="7" t="inlineStr">
        <x:is>
          <x:t xml:space="preserve"/>
        </x:is>
      </x:c>
      <x:c r="M622" s="6" t="inlineStr">
        <x:is>
          <x:t xml:space="preserve"/>
        </x:is>
      </x:c>
    </x:row>
    <x:row r="623" ht="35" customHeight="1">
      <x:c r="A623" s="7" t="inlineStr">
        <x:is>
          <x:t xml:space="preserve">P202611-0622</x:t>
        </x:is>
      </x:c>
      <x:c r="B623" s="7" t="n">
        <x:v>2026</x:v>
      </x:c>
      <x:c r="C623" s="7" t="inlineStr">
        <x:is>
          <x:t xml:space="preserve">Nov</x:t>
        </x:is>
      </x:c>
      <x:c r="D623" s="7" t="inlineStr">
        <x:is>
          <x:t xml:space="preserve">MCS22.2</x:t>
        </x:is>
      </x:c>
      <x:c r="E623" s="6" t="inlineStr">
        <x:is>
          <x:t xml:space="preserve">Control of customer credit limits - Partnership</x:t>
        </x:is>
      </x:c>
      <x:c r="F623" s="6" t="inlineStr">
        <x:is>
          <x:t xml:space="preserve">Eno Umoh Ameh Bright Agbo</x:t>
        </x:is>
      </x:c>
      <x:c r="G623" s="6" t="inlineStr">
        <x:is>
          <x:t xml:space="preserve"/>
        </x:is>
      </x:c>
      <x:c r="H623" s="7" t="inlineStr">
        <x:is>
          <x:t xml:space="preserve">Operating Effectiveness</x:t>
        </x:is>
      </x:c>
      <x:c r="I623" s="7" t="inlineStr">
        <x:is>
          <x:t xml:space="preserve"/>
        </x:is>
      </x:c>
      <x:c r="J623" s="8" t="n">
        <x:v>46341</x:v>
      </x:c>
      <x:c r="K623" s="7" t="inlineStr">
        <x:is>
          <x:t xml:space="preserve">Not Started</x:t>
        </x:is>
      </x:c>
      <x:c r="L623" s="7" t="inlineStr">
        <x:is>
          <x:t xml:space="preserve"/>
        </x:is>
      </x:c>
      <x:c r="M623" s="6" t="inlineStr">
        <x:is>
          <x:t xml:space="preserve"/>
        </x:is>
      </x:c>
    </x:row>
    <x:row r="624" ht="35" customHeight="1">
      <x:c r="A624" s="7" t="inlineStr">
        <x:is>
          <x:t xml:space="preserve">P202611-0623</x:t>
        </x:is>
      </x:c>
      <x:c r="B624" s="7" t="n">
        <x:v>2026</x:v>
      </x:c>
      <x:c r="C624" s="7" t="inlineStr">
        <x:is>
          <x:t xml:space="preserve">Nov</x:t>
        </x:is>
      </x:c>
      <x:c r="D624" s="7" t="inlineStr">
        <x:is>
          <x:t xml:space="preserve">MCS23</x:t>
        </x:is>
      </x:c>
      <x:c r="E624" s="6" t="inlineStr">
        <x:is>
          <x:t xml:space="preserve">Invoicing </x:t>
        </x:is>
      </x:c>
      <x:c r="F624" s="6" t="inlineStr">
        <x:is>
          <x:t xml:space="preserve">Ramakant Patil</x:t>
        </x:is>
      </x:c>
      <x:c r="G624" s="6" t="inlineStr">
        <x:is>
          <x:t xml:space="preserve"/>
        </x:is>
      </x:c>
      <x:c r="H624" s="7" t="inlineStr">
        <x:is>
          <x:t xml:space="preserve">Operating Effectiveness</x:t>
        </x:is>
      </x:c>
      <x:c r="I624" s="7" t="inlineStr">
        <x:is>
          <x:t xml:space="preserve"/>
        </x:is>
      </x:c>
      <x:c r="J624" s="8" t="n">
        <x:v>46341</x:v>
      </x:c>
      <x:c r="K624" s="7" t="inlineStr">
        <x:is>
          <x:t xml:space="preserve">Not Started</x:t>
        </x:is>
      </x:c>
      <x:c r="L624" s="7" t="inlineStr">
        <x:is>
          <x:t xml:space="preserve"/>
        </x:is>
      </x:c>
      <x:c r="M624" s="6" t="inlineStr">
        <x:is>
          <x:t xml:space="preserve"/>
        </x:is>
      </x:c>
    </x:row>
    <x:row r="625" ht="35" customHeight="1">
      <x:c r="A625" s="7" t="inlineStr">
        <x:is>
          <x:t xml:space="preserve">P202611-0624</x:t>
        </x:is>
      </x:c>
      <x:c r="B625" s="7" t="n">
        <x:v>2026</x:v>
      </x:c>
      <x:c r="C625" s="7" t="inlineStr">
        <x:is>
          <x:t xml:space="preserve">Nov</x:t>
        </x:is>
      </x:c>
      <x:c r="D625" s="7" t="inlineStr">
        <x:is>
          <x:t xml:space="preserve">MCS24</x:t>
        </x:is>
      </x:c>
      <x:c r="E625" s="6" t="inlineStr">
        <x:is>
          <x:t xml:space="preserve">Accounts receivable valuation</x:t>
        </x:is>
      </x:c>
      <x:c r="F625" s="6" t="inlineStr">
        <x:is>
          <x:t xml:space="preserve">Zainab Yunusah Saadu</x:t>
        </x:is>
      </x:c>
      <x:c r="G625" s="6" t="inlineStr">
        <x:is>
          <x:t xml:space="preserve"/>
        </x:is>
      </x:c>
      <x:c r="H625" s="7" t="inlineStr">
        <x:is>
          <x:t xml:space="preserve">Operating Effectiveness</x:t>
        </x:is>
      </x:c>
      <x:c r="I625" s="7" t="inlineStr">
        <x:is>
          <x:t xml:space="preserve"/>
        </x:is>
      </x:c>
      <x:c r="J625" s="8" t="n">
        <x:v>46341</x:v>
      </x:c>
      <x:c r="K625" s="7" t="inlineStr">
        <x:is>
          <x:t xml:space="preserve">Not Started</x:t>
        </x:is>
      </x:c>
      <x:c r="L625" s="7" t="inlineStr">
        <x:is>
          <x:t xml:space="preserve"/>
        </x:is>
      </x:c>
      <x:c r="M625" s="6" t="inlineStr">
        <x:is>
          <x:t xml:space="preserve"/>
        </x:is>
      </x:c>
    </x:row>
    <x:row r="626" ht="35" customHeight="1">
      <x:c r="A626" s="7" t="inlineStr">
        <x:is>
          <x:t xml:space="preserve">P202611-0625</x:t>
        </x:is>
      </x:c>
      <x:c r="B626" s="7" t="n">
        <x:v>2026</x:v>
      </x:c>
      <x:c r="C626" s="7" t="inlineStr">
        <x:is>
          <x:t xml:space="preserve">Nov</x:t>
        </x:is>
      </x:c>
      <x:c r="D626" s="7" t="inlineStr">
        <x:is>
          <x:t xml:space="preserve">MCS25</x:t>
        </x:is>
      </x:c>
      <x:c r="E626" s="6" t="inlineStr">
        <x:is>
          <x:t xml:space="preserve">Execution of onboarding, offboarding, master data management and transfers of workers</x:t>
        </x:is>
      </x:c>
      <x:c r="F626" s="6" t="n"/>
      <x:c r="G626" s="6" t="inlineStr">
        <x:is>
          <x:t xml:space="preserve"/>
        </x:is>
      </x:c>
      <x:c r="H626" s="7" t="inlineStr">
        <x:is>
          <x:t xml:space="preserve">Operating Effectiveness</x:t>
        </x:is>
      </x:c>
      <x:c r="I626" s="7" t="inlineStr">
        <x:is>
          <x:t xml:space="preserve"/>
        </x:is>
      </x:c>
      <x:c r="J626" s="8" t="n">
        <x:v>46341</x:v>
      </x:c>
      <x:c r="K626" s="7" t="inlineStr">
        <x:is>
          <x:t xml:space="preserve">Not Started</x:t>
        </x:is>
      </x:c>
      <x:c r="L626" s="7" t="inlineStr">
        <x:is>
          <x:t xml:space="preserve"/>
        </x:is>
      </x:c>
      <x:c r="M626" s="6" t="inlineStr">
        <x:is>
          <x:t xml:space="preserve"/>
        </x:is>
      </x:c>
    </x:row>
    <x:row r="627" ht="35" customHeight="1">
      <x:c r="A627" s="7" t="inlineStr">
        <x:is>
          <x:t xml:space="preserve">P202611-0626</x:t>
        </x:is>
      </x:c>
      <x:c r="B627" s="7" t="n">
        <x:v>2026</x:v>
      </x:c>
      <x:c r="C627" s="7" t="inlineStr">
        <x:is>
          <x:t xml:space="preserve">Nov</x:t>
        </x:is>
      </x:c>
      <x:c r="D627" s="7" t="inlineStr">
        <x:is>
          <x:t xml:space="preserve">MCS26</x:t>
        </x:is>
      </x:c>
      <x:c r="E627" s="6" t="inlineStr">
        <x:is>
          <x:t xml:space="preserve">Payroll</x:t>
        </x:is>
      </x:c>
      <x:c r="F627" s="6" t="inlineStr">
        <x:is>
          <x:t xml:space="preserve">Olamide Ayo-Ogunlade Oluwatosin Ogunsekan</x:t>
        </x:is>
      </x:c>
      <x:c r="G627" s="6" t="inlineStr">
        <x:is>
          <x:t xml:space="preserve"/>
        </x:is>
      </x:c>
      <x:c r="H627" s="7" t="inlineStr">
        <x:is>
          <x:t xml:space="preserve">Operating Effectiveness</x:t>
        </x:is>
      </x:c>
      <x:c r="I627" s="7" t="inlineStr">
        <x:is>
          <x:t xml:space="preserve"/>
        </x:is>
      </x:c>
      <x:c r="J627" s="8" t="n">
        <x:v>46341</x:v>
      </x:c>
      <x:c r="K627" s="7" t="inlineStr">
        <x:is>
          <x:t xml:space="preserve">Not Started</x:t>
        </x:is>
      </x:c>
      <x:c r="L627" s="7" t="inlineStr">
        <x:is>
          <x:t xml:space="preserve"/>
        </x:is>
      </x:c>
      <x:c r="M627" s="6" t="inlineStr">
        <x:is>
          <x:t xml:space="preserve"/>
        </x:is>
      </x:c>
    </x:row>
    <x:row r="628" ht="35" customHeight="1">
      <x:c r="A628" s="7" t="inlineStr">
        <x:is>
          <x:t xml:space="preserve">P202611-0627</x:t>
        </x:is>
      </x:c>
      <x:c r="B628" s="7" t="n">
        <x:v>2026</x:v>
      </x:c>
      <x:c r="C628" s="7" t="inlineStr">
        <x:is>
          <x:t xml:space="preserve">Nov</x:t>
        </x:is>
      </x:c>
      <x:c r="D628" s="7" t="inlineStr">
        <x:is>
          <x:t xml:space="preserve">MCS27</x:t>
        </x:is>
      </x:c>
      <x:c r="E628" s="6" t="inlineStr">
        <x:is>
          <x:t xml:space="preserve">Compliance with Labour law</x:t>
        </x:is>
      </x:c>
      <x:c r="F628" s="6" t="inlineStr">
        <x:is>
          <x:t xml:space="preserve">Olamide Ayo-Ogunlade Oluwatosin Ogunsekan</x:t>
        </x:is>
      </x:c>
      <x:c r="G628" s="6" t="inlineStr">
        <x:is>
          <x:t xml:space="preserve"/>
        </x:is>
      </x:c>
      <x:c r="H628" s="7" t="inlineStr">
        <x:is>
          <x:t xml:space="preserve">Operating Effectiveness</x:t>
        </x:is>
      </x:c>
      <x:c r="I628" s="7" t="inlineStr">
        <x:is>
          <x:t xml:space="preserve"/>
        </x:is>
      </x:c>
      <x:c r="J628" s="8" t="n">
        <x:v>46341</x:v>
      </x:c>
      <x:c r="K628" s="7" t="inlineStr">
        <x:is>
          <x:t xml:space="preserve">Not Started</x:t>
        </x:is>
      </x:c>
      <x:c r="L628" s="7" t="inlineStr">
        <x:is>
          <x:t xml:space="preserve"/>
        </x:is>
      </x:c>
      <x:c r="M628" s="6" t="inlineStr">
        <x:is>
          <x:t xml:space="preserve"/>
        </x:is>
      </x:c>
    </x:row>
    <x:row r="629" ht="35" customHeight="1">
      <x:c r="A629" s="7" t="inlineStr">
        <x:is>
          <x:t xml:space="preserve">P202611-0628</x:t>
        </x:is>
      </x:c>
      <x:c r="B629" s="7" t="n">
        <x:v>2026</x:v>
      </x:c>
      <x:c r="C629" s="7" t="inlineStr">
        <x:is>
          <x:t xml:space="preserve">Nov</x:t>
        </x:is>
      </x:c>
      <x:c r="D629" s="7" t="inlineStr">
        <x:is>
          <x:t xml:space="preserve">MCS28</x:t>
        </x:is>
      </x:c>
      <x:c r="E629" s="6" t="inlineStr">
        <x:is>
          <x:t xml:space="preserve">Employee pension and benefit plan</x:t>
        </x:is>
      </x:c>
      <x:c r="F629" s="6" t="inlineStr">
        <x:is>
          <x:t xml:space="preserve">Olamide Ayo-Ogunlade Oluwatosin Ogunsekan</x:t>
        </x:is>
      </x:c>
      <x:c r="G629" s="6" t="inlineStr">
        <x:is>
          <x:t xml:space="preserve"/>
        </x:is>
      </x:c>
      <x:c r="H629" s="7" t="inlineStr">
        <x:is>
          <x:t xml:space="preserve">Operating Effectiveness</x:t>
        </x:is>
      </x:c>
      <x:c r="I629" s="7" t="inlineStr">
        <x:is>
          <x:t xml:space="preserve"/>
        </x:is>
      </x:c>
      <x:c r="J629" s="8" t="n">
        <x:v>46341</x:v>
      </x:c>
      <x:c r="K629" s="7" t="inlineStr">
        <x:is>
          <x:t xml:space="preserve">Not Started</x:t>
        </x:is>
      </x:c>
      <x:c r="L629" s="7" t="inlineStr">
        <x:is>
          <x:t xml:space="preserve"/>
        </x:is>
      </x:c>
      <x:c r="M629" s="6" t="inlineStr">
        <x:is>
          <x:t xml:space="preserve"/>
        </x:is>
      </x:c>
    </x:row>
    <x:row r="630" ht="35" customHeight="1">
      <x:c r="A630" s="7" t="inlineStr">
        <x:is>
          <x:t xml:space="preserve">P202611-0629</x:t>
        </x:is>
      </x:c>
      <x:c r="B630" s="7" t="n">
        <x:v>2026</x:v>
      </x:c>
      <x:c r="C630" s="7" t="inlineStr">
        <x:is>
          <x:t xml:space="preserve">Nov</x:t>
        </x:is>
      </x:c>
      <x:c r="D630" s="7" t="inlineStr">
        <x:is>
          <x:t xml:space="preserve">MCS 29</x:t>
        </x:is>
      </x:c>
      <x:c r="E630" s="6" t="inlineStr">
        <x:is>
          <x:t xml:space="preserve">Management of supplier master data</x:t>
        </x:is>
      </x:c>
      <x:c r="F630" s="6" t="inlineStr">
        <x:is>
          <x:t xml:space="preserve">Ramakant Patil Zainab Yunusah Saadu</x:t>
        </x:is>
      </x:c>
      <x:c r="G630" s="6" t="inlineStr">
        <x:is>
          <x:t xml:space="preserve"/>
        </x:is>
      </x:c>
      <x:c r="H630" s="7" t="inlineStr">
        <x:is>
          <x:t xml:space="preserve">Operating Effectiveness</x:t>
        </x:is>
      </x:c>
      <x:c r="I630" s="7" t="inlineStr">
        <x:is>
          <x:t xml:space="preserve"/>
        </x:is>
      </x:c>
      <x:c r="J630" s="8" t="n">
        <x:v>46341</x:v>
      </x:c>
      <x:c r="K630" s="7" t="inlineStr">
        <x:is>
          <x:t xml:space="preserve">Not Started</x:t>
        </x:is>
      </x:c>
      <x:c r="L630" s="7" t="inlineStr">
        <x:is>
          <x:t xml:space="preserve"/>
        </x:is>
      </x:c>
      <x:c r="M630" s="6" t="inlineStr">
        <x:is>
          <x:t xml:space="preserve"/>
        </x:is>
      </x:c>
    </x:row>
    <x:row r="631" ht="35" customHeight="1">
      <x:c r="A631" s="7" t="inlineStr">
        <x:is>
          <x:t xml:space="preserve">P202611-0630</x:t>
        </x:is>
      </x:c>
      <x:c r="B631" s="7" t="n">
        <x:v>2026</x:v>
      </x:c>
      <x:c r="C631" s="7" t="inlineStr">
        <x:is>
          <x:t xml:space="preserve">Nov</x:t>
        </x:is>
      </x:c>
      <x:c r="D631" s="7" t="inlineStr">
        <x:is>
          <x:t xml:space="preserve">MCS30</x:t>
        </x:is>
      </x:c>
      <x:c r="E631" s="6" t="inlineStr">
        <x:is>
          <x:t xml:space="preserve">Vendor Registration and Performance Management</x:t>
        </x:is>
      </x:c>
      <x:c r="F631" s="6" t="inlineStr">
        <x:is>
          <x:t xml:space="preserve">Ramakant Patil Zainab Yunusah Saadu</x:t>
        </x:is>
      </x:c>
      <x:c r="G631" s="6" t="inlineStr">
        <x:is>
          <x:t xml:space="preserve"/>
        </x:is>
      </x:c>
      <x:c r="H631" s="7" t="inlineStr">
        <x:is>
          <x:t xml:space="preserve">Operating Effectiveness</x:t>
        </x:is>
      </x:c>
      <x:c r="I631" s="7" t="inlineStr">
        <x:is>
          <x:t xml:space="preserve"/>
        </x:is>
      </x:c>
      <x:c r="J631" s="8" t="n">
        <x:v>46341</x:v>
      </x:c>
      <x:c r="K631" s="7" t="inlineStr">
        <x:is>
          <x:t xml:space="preserve">Not Started</x:t>
        </x:is>
      </x:c>
      <x:c r="L631" s="7" t="inlineStr">
        <x:is>
          <x:t xml:space="preserve"/>
        </x:is>
      </x:c>
      <x:c r="M631" s="6" t="inlineStr">
        <x:is>
          <x:t xml:space="preserve"/>
        </x:is>
      </x:c>
    </x:row>
    <x:row r="632" ht="35" customHeight="1">
      <x:c r="A632" s="7" t="inlineStr">
        <x:is>
          <x:t xml:space="preserve">P202611-0631</x:t>
        </x:is>
      </x:c>
      <x:c r="B632" s="7" t="n">
        <x:v>2026</x:v>
      </x:c>
      <x:c r="C632" s="7" t="inlineStr">
        <x:is>
          <x:t xml:space="preserve">Nov</x:t>
        </x:is>
      </x:c>
      <x:c r="D632" s="7" t="inlineStr">
        <x:is>
          <x:t xml:space="preserve">MCS31</x:t>
        </x:is>
      </x:c>
      <x:c r="E632" s="6" t="inlineStr">
        <x:is>
          <x:t xml:space="preserve">Three-way match, two way match and direct vendor invoices</x:t>
        </x:is>
      </x:c>
      <x:c r="F632" s="6" t="inlineStr">
        <x:is>
          <x:t xml:space="preserve">Ramakant Patil Zainab Yunusah Saadu</x:t>
        </x:is>
      </x:c>
      <x:c r="G632" s="6" t="inlineStr">
        <x:is>
          <x:t xml:space="preserve"/>
        </x:is>
      </x:c>
      <x:c r="H632" s="7" t="inlineStr">
        <x:is>
          <x:t xml:space="preserve">Operating Effectiveness</x:t>
        </x:is>
      </x:c>
      <x:c r="I632" s="7" t="inlineStr">
        <x:is>
          <x:t xml:space="preserve"/>
        </x:is>
      </x:c>
      <x:c r="J632" s="8" t="n">
        <x:v>46341</x:v>
      </x:c>
      <x:c r="K632" s="7" t="inlineStr">
        <x:is>
          <x:t xml:space="preserve">Not Started</x:t>
        </x:is>
      </x:c>
      <x:c r="L632" s="7" t="inlineStr">
        <x:is>
          <x:t xml:space="preserve"/>
        </x:is>
      </x:c>
      <x:c r="M632" s="6" t="inlineStr">
        <x:is>
          <x:t xml:space="preserve"/>
        </x:is>
      </x:c>
    </x:row>
    <x:row r="633" ht="35" customHeight="1">
      <x:c r="A633" s="7" t="inlineStr">
        <x:is>
          <x:t xml:space="preserve">P202611-0632</x:t>
        </x:is>
      </x:c>
      <x:c r="B633" s="7" t="n">
        <x:v>2026</x:v>
      </x:c>
      <x:c r="C633" s="7" t="inlineStr">
        <x:is>
          <x:t xml:space="preserve">Nov</x:t>
        </x:is>
      </x:c>
      <x:c r="D633" s="7" t="inlineStr">
        <x:is>
          <x:t xml:space="preserve">MCS32</x:t>
        </x:is>
      </x:c>
      <x:c r="E633" s="6" t="inlineStr">
        <x:is>
          <x:t xml:space="preserve">Payment processing</x:t>
        </x:is>
      </x:c>
      <x:c r="F633" s="6" t="inlineStr">
        <x:is>
          <x:t xml:space="preserve">Ramakant Patil Zainab Yunusah Saadu</x:t>
        </x:is>
      </x:c>
      <x:c r="G633" s="6" t="inlineStr">
        <x:is>
          <x:t xml:space="preserve"/>
        </x:is>
      </x:c>
      <x:c r="H633" s="7" t="inlineStr">
        <x:is>
          <x:t xml:space="preserve">Operating Effectiveness</x:t>
        </x:is>
      </x:c>
      <x:c r="I633" s="7" t="inlineStr">
        <x:is>
          <x:t xml:space="preserve"/>
        </x:is>
      </x:c>
      <x:c r="J633" s="8" t="n">
        <x:v>46341</x:v>
      </x:c>
      <x:c r="K633" s="7" t="inlineStr">
        <x:is>
          <x:t xml:space="preserve">Not Started</x:t>
        </x:is>
      </x:c>
      <x:c r="L633" s="7" t="inlineStr">
        <x:is>
          <x:t xml:space="preserve"/>
        </x:is>
      </x:c>
      <x:c r="M633" s="6" t="inlineStr">
        <x:is>
          <x:t xml:space="preserve"/>
        </x:is>
      </x:c>
    </x:row>
    <x:row r="634" ht="35" customHeight="1">
      <x:c r="A634" s="7" t="inlineStr">
        <x:is>
          <x:t xml:space="preserve">P202611-0633</x:t>
        </x:is>
      </x:c>
      <x:c r="B634" s="7" t="n">
        <x:v>2026</x:v>
      </x:c>
      <x:c r="C634" s="7" t="inlineStr">
        <x:is>
          <x:t xml:space="preserve">Nov</x:t>
        </x:is>
      </x:c>
      <x:c r="D634" s="7" t="inlineStr">
        <x:is>
          <x:t xml:space="preserve">MCS33</x:t>
        </x:is>
      </x:c>
      <x:c r="E634" s="6" t="inlineStr">
        <x:is>
          <x:t xml:space="preserve">3 Accruals for expenditures not invoiced</x:t>
        </x:is>
      </x:c>
      <x:c r="F634" s="6" t="inlineStr">
        <x:is>
          <x:t xml:space="preserve">Ramakant Patil Zainab Yunusah Saadu</x:t>
        </x:is>
      </x:c>
      <x:c r="G634" s="6" t="inlineStr">
        <x:is>
          <x:t xml:space="preserve"/>
        </x:is>
      </x:c>
      <x:c r="H634" s="7" t="inlineStr">
        <x:is>
          <x:t xml:space="preserve">Operating Effectiveness</x:t>
        </x:is>
      </x:c>
      <x:c r="I634" s="7" t="inlineStr">
        <x:is>
          <x:t xml:space="preserve"/>
        </x:is>
      </x:c>
      <x:c r="J634" s="8" t="n">
        <x:v>46341</x:v>
      </x:c>
      <x:c r="K634" s="7" t="inlineStr">
        <x:is>
          <x:t xml:space="preserve">Not Started</x:t>
        </x:is>
      </x:c>
      <x:c r="L634" s="7" t="inlineStr">
        <x:is>
          <x:t xml:space="preserve"/>
        </x:is>
      </x:c>
      <x:c r="M634" s="6" t="inlineStr">
        <x:is>
          <x:t xml:space="preserve"/>
        </x:is>
      </x:c>
    </x:row>
    <x:row r="635" ht="35" customHeight="1">
      <x:c r="A635" s="7" t="inlineStr">
        <x:is>
          <x:t xml:space="preserve">P202611-0634</x:t>
        </x:is>
      </x:c>
      <x:c r="B635" s="7" t="n">
        <x:v>2026</x:v>
      </x:c>
      <x:c r="C635" s="7" t="inlineStr">
        <x:is>
          <x:t xml:space="preserve">Nov</x:t>
        </x:is>
      </x:c>
      <x:c r="D635" s="7" t="inlineStr">
        <x:is>
          <x:t xml:space="preserve">MCS34</x:t>
        </x:is>
      </x:c>
      <x:c r="E635" s="6" t="inlineStr">
        <x:is>
          <x:t xml:space="preserve">Physical Stock Count ,Reconciliation &amp; Valuation</x:t>
        </x:is>
      </x:c>
      <x:c r="F635" s="6" t="inlineStr">
        <x:is>
          <x:t xml:space="preserve">Yomi Jegede Zainab Yunusah Saadu</x:t>
        </x:is>
      </x:c>
      <x:c r="G635" s="6" t="inlineStr">
        <x:is>
          <x:t xml:space="preserve"/>
        </x:is>
      </x:c>
      <x:c r="H635" s="7" t="inlineStr">
        <x:is>
          <x:t xml:space="preserve">Operating Effectiveness</x:t>
        </x:is>
      </x:c>
      <x:c r="I635" s="7" t="inlineStr">
        <x:is>
          <x:t xml:space="preserve"/>
        </x:is>
      </x:c>
      <x:c r="J635" s="8" t="n">
        <x:v>46341</x:v>
      </x:c>
      <x:c r="K635" s="7" t="inlineStr">
        <x:is>
          <x:t xml:space="preserve">Not Started</x:t>
        </x:is>
      </x:c>
      <x:c r="L635" s="7" t="inlineStr">
        <x:is>
          <x:t xml:space="preserve"/>
        </x:is>
      </x:c>
      <x:c r="M635" s="6" t="inlineStr">
        <x:is>
          <x:t xml:space="preserve"/>
        </x:is>
      </x:c>
    </x:row>
    <x:row r="636" ht="35" customHeight="1">
      <x:c r="A636" s="7" t="inlineStr">
        <x:is>
          <x:t xml:space="preserve">P202611-0635</x:t>
        </x:is>
      </x:c>
      <x:c r="B636" s="7" t="n">
        <x:v>2026</x:v>
      </x:c>
      <x:c r="C636" s="7" t="inlineStr">
        <x:is>
          <x:t xml:space="preserve">Nov</x:t>
        </x:is>
      </x:c>
      <x:c r="D636" s="7" t="inlineStr">
        <x:is>
          <x:t xml:space="preserve">MCS35</x:t>
        </x:is>
      </x:c>
      <x:c r="E636" s="6" t="inlineStr">
        <x:is>
          <x:t xml:space="preserve">Inventory Documentation (IMPEX)</x:t>
        </x:is>
      </x:c>
      <x:c r="F636" s="6" t="inlineStr">
        <x:is>
          <x:t xml:space="preserve">Yomi Jegede Zainab Yunusah Saadu</x:t>
        </x:is>
      </x:c>
      <x:c r="G636" s="6" t="inlineStr">
        <x:is>
          <x:t xml:space="preserve"/>
        </x:is>
      </x:c>
      <x:c r="H636" s="7" t="inlineStr">
        <x:is>
          <x:t xml:space="preserve">Operating Effectiveness</x:t>
        </x:is>
      </x:c>
      <x:c r="I636" s="7" t="inlineStr">
        <x:is>
          <x:t xml:space="preserve"/>
        </x:is>
      </x:c>
      <x:c r="J636" s="8" t="n">
        <x:v>46341</x:v>
      </x:c>
      <x:c r="K636" s="7" t="inlineStr">
        <x:is>
          <x:t xml:space="preserve">Not Started</x:t>
        </x:is>
      </x:c>
      <x:c r="L636" s="7" t="inlineStr">
        <x:is>
          <x:t xml:space="preserve"/>
        </x:is>
      </x:c>
      <x:c r="M636" s="6" t="inlineStr">
        <x:is>
          <x:t xml:space="preserve"/>
        </x:is>
      </x:c>
    </x:row>
    <x:row r="637" ht="35" customHeight="1">
      <x:c r="A637" s="7" t="inlineStr">
        <x:is>
          <x:t xml:space="preserve">P202611-0636</x:t>
        </x:is>
      </x:c>
      <x:c r="B637" s="7" t="n">
        <x:v>2026</x:v>
      </x:c>
      <x:c r="C637" s="7" t="inlineStr">
        <x:is>
          <x:t xml:space="preserve">Nov</x:t>
        </x:is>
      </x:c>
      <x:c r="D637" s="7" t="inlineStr">
        <x:is>
          <x:t xml:space="preserve">MCS36</x:t>
        </x:is>
      </x:c>
      <x:c r="E637" s="6" t="inlineStr">
        <x:is>
          <x:t xml:space="preserve">Management of access to IT systems</x:t>
        </x:is>
      </x:c>
      <x:c r="F637" s="6" t="inlineStr">
        <x:is>
          <x:t xml:space="preserve">Theophilus Okolie </x:t>
        </x:is>
      </x:c>
      <x:c r="G637" s="6" t="inlineStr">
        <x:is>
          <x:t xml:space="preserve"/>
        </x:is>
      </x:c>
      <x:c r="H637" s="7" t="inlineStr">
        <x:is>
          <x:t xml:space="preserve">Operating Effectiveness</x:t>
        </x:is>
      </x:c>
      <x:c r="I637" s="7" t="inlineStr">
        <x:is>
          <x:t xml:space="preserve"/>
        </x:is>
      </x:c>
      <x:c r="J637" s="8" t="n">
        <x:v>46341</x:v>
      </x:c>
      <x:c r="K637" s="7" t="inlineStr">
        <x:is>
          <x:t xml:space="preserve">Not Started</x:t>
        </x:is>
      </x:c>
      <x:c r="L637" s="7" t="inlineStr">
        <x:is>
          <x:t xml:space="preserve"/>
        </x:is>
      </x:c>
      <x:c r="M637" s="6" t="inlineStr">
        <x:is>
          <x:t xml:space="preserve"/>
        </x:is>
      </x:c>
    </x:row>
    <x:row r="638" ht="35" customHeight="1">
      <x:c r="A638" s="7" t="inlineStr">
        <x:is>
          <x:t xml:space="preserve">P202611-0637</x:t>
        </x:is>
      </x:c>
      <x:c r="B638" s="7" t="n">
        <x:v>2026</x:v>
      </x:c>
      <x:c r="C638" s="7" t="inlineStr">
        <x:is>
          <x:t xml:space="preserve">Nov</x:t>
        </x:is>
      </x:c>
      <x:c r="D638" s="7" t="inlineStr">
        <x:is>
          <x:t xml:space="preserve">MCS37</x:t>
        </x:is>
      </x:c>
      <x:c r="E638" s="6" t="inlineStr">
        <x:is>
          <x:t xml:space="preserve">Review of IT user access rights to production IT systems</x:t>
        </x:is>
      </x:c>
      <x:c r="F638" s="6" t="inlineStr">
        <x:is>
          <x:t xml:space="preserve">Theophilus Okolie </x:t>
        </x:is>
      </x:c>
      <x:c r="G638" s="6" t="inlineStr">
        <x:is>
          <x:t xml:space="preserve"/>
        </x:is>
      </x:c>
      <x:c r="H638" s="7" t="inlineStr">
        <x:is>
          <x:t xml:space="preserve">Operating Effectiveness</x:t>
        </x:is>
      </x:c>
      <x:c r="I638" s="7" t="inlineStr">
        <x:is>
          <x:t xml:space="preserve"/>
        </x:is>
      </x:c>
      <x:c r="J638" s="8" t="n">
        <x:v>46341</x:v>
      </x:c>
      <x:c r="K638" s="7" t="inlineStr">
        <x:is>
          <x:t xml:space="preserve">Not Started</x:t>
        </x:is>
      </x:c>
      <x:c r="L638" s="7" t="inlineStr">
        <x:is>
          <x:t xml:space="preserve"/>
        </x:is>
      </x:c>
      <x:c r="M638" s="6" t="inlineStr">
        <x:is>
          <x:t xml:space="preserve"/>
        </x:is>
      </x:c>
    </x:row>
    <x:row r="639" ht="35" customHeight="1">
      <x:c r="A639" s="7" t="inlineStr">
        <x:is>
          <x:t xml:space="preserve">P202611-0638</x:t>
        </x:is>
      </x:c>
      <x:c r="B639" s="7" t="n">
        <x:v>2026</x:v>
      </x:c>
      <x:c r="C639" s="7" t="inlineStr">
        <x:is>
          <x:t xml:space="preserve">Nov</x:t>
        </x:is>
      </x:c>
      <x:c r="D639" s="7" t="inlineStr">
        <x:is>
          <x:t xml:space="preserve">MCS38</x:t>
        </x:is>
      </x:c>
      <x:c r="E639" s="6" t="inlineStr">
        <x:is>
          <x:t xml:space="preserve">Security configuration settings and batch job management</x:t>
        </x:is>
      </x:c>
      <x:c r="F639" s="6" t="inlineStr">
        <x:is>
          <x:t xml:space="preserve">Theophilus Okolie </x:t>
        </x:is>
      </x:c>
      <x:c r="G639" s="6" t="inlineStr">
        <x:is>
          <x:t xml:space="preserve"/>
        </x:is>
      </x:c>
      <x:c r="H639" s="7" t="inlineStr">
        <x:is>
          <x:t xml:space="preserve">Operating Effectiveness</x:t>
        </x:is>
      </x:c>
      <x:c r="I639" s="7" t="inlineStr">
        <x:is>
          <x:t xml:space="preserve"/>
        </x:is>
      </x:c>
      <x:c r="J639" s="8" t="n">
        <x:v>46341</x:v>
      </x:c>
      <x:c r="K639" s="7" t="inlineStr">
        <x:is>
          <x:t xml:space="preserve">Not Started</x:t>
        </x:is>
      </x:c>
      <x:c r="L639" s="7" t="inlineStr">
        <x:is>
          <x:t xml:space="preserve"/>
        </x:is>
      </x:c>
      <x:c r="M639" s="6" t="inlineStr">
        <x:is>
          <x:t xml:space="preserve"/>
        </x:is>
      </x:c>
    </x:row>
    <x:row r="640" ht="35" customHeight="1">
      <x:c r="A640" s="7" t="inlineStr">
        <x:is>
          <x:t xml:space="preserve">P202611-0639</x:t>
        </x:is>
      </x:c>
      <x:c r="B640" s="7" t="n">
        <x:v>2026</x:v>
      </x:c>
      <x:c r="C640" s="7" t="inlineStr">
        <x:is>
          <x:t xml:space="preserve">Nov</x:t>
        </x:is>
      </x:c>
      <x:c r="D640" s="7" t="inlineStr">
        <x:is>
          <x:t xml:space="preserve">MCS39</x:t>
        </x:is>
      </x:c>
      <x:c r="E640" s="6" t="inlineStr">
        <x:is>
          <x:t xml:space="preserve">Data backup, storage and restoration process</x:t>
        </x:is>
      </x:c>
      <x:c r="F640" s="6" t="inlineStr">
        <x:is>
          <x:t xml:space="preserve">Theophilus Okolie </x:t>
        </x:is>
      </x:c>
      <x:c r="G640" s="6" t="inlineStr">
        <x:is>
          <x:t xml:space="preserve"/>
        </x:is>
      </x:c>
      <x:c r="H640" s="7" t="inlineStr">
        <x:is>
          <x:t xml:space="preserve">Operating Effectiveness</x:t>
        </x:is>
      </x:c>
      <x:c r="I640" s="7" t="inlineStr">
        <x:is>
          <x:t xml:space="preserve"/>
        </x:is>
      </x:c>
      <x:c r="J640" s="8" t="n">
        <x:v>46341</x:v>
      </x:c>
      <x:c r="K640" s="7" t="inlineStr">
        <x:is>
          <x:t xml:space="preserve">Not Started</x:t>
        </x:is>
      </x:c>
      <x:c r="L640" s="7" t="inlineStr">
        <x:is>
          <x:t xml:space="preserve"/>
        </x:is>
      </x:c>
      <x:c r="M640" s="6" t="inlineStr">
        <x:is>
          <x:t xml:space="preserve"/>
        </x:is>
      </x:c>
    </x:row>
    <x:row r="641" ht="35" customHeight="1">
      <x:c r="A641" s="7" t="inlineStr">
        <x:is>
          <x:t xml:space="preserve">P202611-0640</x:t>
        </x:is>
      </x:c>
      <x:c r="B641" s="7" t="n">
        <x:v>2026</x:v>
      </x:c>
      <x:c r="C641" s="7" t="inlineStr">
        <x:is>
          <x:t xml:space="preserve">Nov</x:t>
        </x:is>
      </x:c>
      <x:c r="D641" s="7" t="inlineStr">
        <x:is>
          <x:t xml:space="preserve">MCS40</x:t>
        </x:is>
      </x:c>
      <x:c r="E641" s="6" t="inlineStr">
        <x:is>
          <x:t xml:space="preserve">Managing changes to IT systems</x:t>
        </x:is>
      </x:c>
      <x:c r="F641" s="6" t="inlineStr">
        <x:is>
          <x:t xml:space="preserve">Theophilus Okolie </x:t>
        </x:is>
      </x:c>
      <x:c r="G641" s="6" t="inlineStr">
        <x:is>
          <x:t xml:space="preserve"/>
        </x:is>
      </x:c>
      <x:c r="H641" s="7" t="inlineStr">
        <x:is>
          <x:t xml:space="preserve">Operating Effectiveness</x:t>
        </x:is>
      </x:c>
      <x:c r="I641" s="7" t="inlineStr">
        <x:is>
          <x:t xml:space="preserve"/>
        </x:is>
      </x:c>
      <x:c r="J641" s="8" t="n">
        <x:v>46341</x:v>
      </x:c>
      <x:c r="K641" s="7" t="inlineStr">
        <x:is>
          <x:t xml:space="preserve">Not Started</x:t>
        </x:is>
      </x:c>
      <x:c r="L641" s="7" t="inlineStr">
        <x:is>
          <x:t xml:space="preserve"/>
        </x:is>
      </x:c>
      <x:c r="M641" s="6" t="inlineStr">
        <x:is>
          <x:t xml:space="preserve"/>
        </x:is>
      </x:c>
    </x:row>
    <x:row r="642" ht="35" customHeight="1">
      <x:c r="A642" s="7" t="inlineStr">
        <x:is>
          <x:t xml:space="preserve">P202611-0641</x:t>
        </x:is>
      </x:c>
      <x:c r="B642" s="7" t="n">
        <x:v>2026</x:v>
      </x:c>
      <x:c r="C642" s="7" t="inlineStr">
        <x:is>
          <x:t xml:space="preserve">Nov</x:t>
        </x:is>
      </x:c>
      <x:c r="D642" s="7" t="inlineStr">
        <x:is>
          <x:t xml:space="preserve">MCS41</x:t>
        </x:is>
      </x:c>
      <x:c r="E642" s="6" t="inlineStr">
        <x:is>
          <x:t xml:space="preserve">Compliance with accounting and reporting standards</x:t>
        </x:is>
      </x:c>
      <x:c r="F642" s="6" t="inlineStr">
        <x:is>
          <x:t xml:space="preserve">Zainab Yunusah Saadu Daniel Banjo</x:t>
        </x:is>
      </x:c>
      <x:c r="G642" s="6" t="inlineStr">
        <x:is>
          <x:t xml:space="preserve"/>
        </x:is>
      </x:c>
      <x:c r="H642" s="7" t="inlineStr">
        <x:is>
          <x:t xml:space="preserve">Operating Effectiveness</x:t>
        </x:is>
      </x:c>
      <x:c r="I642" s="7" t="inlineStr">
        <x:is>
          <x:t xml:space="preserve"/>
        </x:is>
      </x:c>
      <x:c r="J642" s="8" t="n">
        <x:v>46341</x:v>
      </x:c>
      <x:c r="K642" s="7" t="inlineStr">
        <x:is>
          <x:t xml:space="preserve">Not Started</x:t>
        </x:is>
      </x:c>
      <x:c r="L642" s="7" t="inlineStr">
        <x:is>
          <x:t xml:space="preserve"/>
        </x:is>
      </x:c>
      <x:c r="M642" s="6" t="inlineStr">
        <x:is>
          <x:t xml:space="preserve"/>
        </x:is>
      </x:c>
    </x:row>
    <x:row r="643" ht="35" customHeight="1">
      <x:c r="A643" s="7" t="inlineStr">
        <x:is>
          <x:t xml:space="preserve">P202611-0642</x:t>
        </x:is>
      </x:c>
      <x:c r="B643" s="7" t="n">
        <x:v>2026</x:v>
      </x:c>
      <x:c r="C643" s="7" t="inlineStr">
        <x:is>
          <x:t xml:space="preserve">Nov</x:t>
        </x:is>
      </x:c>
      <x:c r="D643" s="7" t="inlineStr">
        <x:is>
          <x:t xml:space="preserve">MCS42</x:t>
        </x:is>
      </x:c>
      <x:c r="E643" s="6" t="inlineStr">
        <x:is>
          <x:t xml:space="preserve">Reconciliation of general ledger accounts</x:t>
        </x:is>
      </x:c>
      <x:c r="F643" s="6" t="inlineStr">
        <x:is>
          <x:t xml:space="preserve">Zainab Yunusah Saadu Daniel Banjo</x:t>
        </x:is>
      </x:c>
      <x:c r="G643" s="6" t="inlineStr">
        <x:is>
          <x:t xml:space="preserve"/>
        </x:is>
      </x:c>
      <x:c r="H643" s="7" t="inlineStr">
        <x:is>
          <x:t xml:space="preserve">Operating Effectiveness</x:t>
        </x:is>
      </x:c>
      <x:c r="I643" s="7" t="inlineStr">
        <x:is>
          <x:t xml:space="preserve"/>
        </x:is>
      </x:c>
      <x:c r="J643" s="8" t="n">
        <x:v>46341</x:v>
      </x:c>
      <x:c r="K643" s="7" t="inlineStr">
        <x:is>
          <x:t xml:space="preserve">Not Started</x:t>
        </x:is>
      </x:c>
      <x:c r="L643" s="7" t="inlineStr">
        <x:is>
          <x:t xml:space="preserve"/>
        </x:is>
      </x:c>
      <x:c r="M643" s="6" t="inlineStr">
        <x:is>
          <x:t xml:space="preserve"/>
        </x:is>
      </x:c>
    </x:row>
    <x:row r="644" ht="35" customHeight="1">
      <x:c r="A644" s="7" t="inlineStr">
        <x:is>
          <x:t xml:space="preserve">P202611-0643</x:t>
        </x:is>
      </x:c>
      <x:c r="B644" s="7" t="n">
        <x:v>2026</x:v>
      </x:c>
      <x:c r="C644" s="7" t="inlineStr">
        <x:is>
          <x:t xml:space="preserve">Nov</x:t>
        </x:is>
      </x:c>
      <x:c r="D644" s="7" t="inlineStr">
        <x:is>
          <x:t xml:space="preserve">MCS43</x:t>
        </x:is>
      </x:c>
      <x:c r="E644" s="6" t="inlineStr">
        <x:is>
          <x:t xml:space="preserve">Reconciliation of bank accounts</x:t>
        </x:is>
      </x:c>
      <x:c r="F644" s="6" t="inlineStr">
        <x:is>
          <x:t xml:space="preserve">Zainab Yunusah Saadu Daniel Banjo</x:t>
        </x:is>
      </x:c>
      <x:c r="G644" s="6" t="inlineStr">
        <x:is>
          <x:t xml:space="preserve"/>
        </x:is>
      </x:c>
      <x:c r="H644" s="7" t="inlineStr">
        <x:is>
          <x:t xml:space="preserve">Operating Effectiveness</x:t>
        </x:is>
      </x:c>
      <x:c r="I644" s="7" t="inlineStr">
        <x:is>
          <x:t xml:space="preserve"/>
        </x:is>
      </x:c>
      <x:c r="J644" s="8" t="n">
        <x:v>46341</x:v>
      </x:c>
      <x:c r="K644" s="7" t="inlineStr">
        <x:is>
          <x:t xml:space="preserve">Not Started</x:t>
        </x:is>
      </x:c>
      <x:c r="L644" s="7" t="inlineStr">
        <x:is>
          <x:t xml:space="preserve"/>
        </x:is>
      </x:c>
      <x:c r="M644" s="6" t="inlineStr">
        <x:is>
          <x:t xml:space="preserve"/>
        </x:is>
      </x:c>
    </x:row>
    <x:row r="645" ht="35" customHeight="1">
      <x:c r="A645" s="7" t="inlineStr">
        <x:is>
          <x:t xml:space="preserve">P202611-0644</x:t>
        </x:is>
      </x:c>
      <x:c r="B645" s="7" t="n">
        <x:v>2026</x:v>
      </x:c>
      <x:c r="C645" s="7" t="inlineStr">
        <x:is>
          <x:t xml:space="preserve">Nov</x:t>
        </x:is>
      </x:c>
      <x:c r="D645" s="7" t="inlineStr">
        <x:is>
          <x:t xml:space="preserve">MCS44</x:t>
        </x:is>
      </x:c>
      <x:c r="E645" s="6" t="inlineStr">
        <x:is>
          <x:t xml:space="preserve">Reconciliation of intercompany balances</x:t>
        </x:is>
      </x:c>
      <x:c r="F645" s="6" t="inlineStr">
        <x:is>
          <x:t xml:space="preserve">Zainab Yunusah Saadu Daniel Banjo</x:t>
        </x:is>
      </x:c>
      <x:c r="G645" s="6" t="inlineStr">
        <x:is>
          <x:t xml:space="preserve"/>
        </x:is>
      </x:c>
      <x:c r="H645" s="7" t="inlineStr">
        <x:is>
          <x:t xml:space="preserve">Operating Effectiveness</x:t>
        </x:is>
      </x:c>
      <x:c r="I645" s="7" t="inlineStr">
        <x:is>
          <x:t xml:space="preserve"/>
        </x:is>
      </x:c>
      <x:c r="J645" s="8" t="n">
        <x:v>46341</x:v>
      </x:c>
      <x:c r="K645" s="7" t="inlineStr">
        <x:is>
          <x:t xml:space="preserve">Not Started</x:t>
        </x:is>
      </x:c>
      <x:c r="L645" s="7" t="inlineStr">
        <x:is>
          <x:t xml:space="preserve"/>
        </x:is>
      </x:c>
      <x:c r="M645" s="6" t="inlineStr">
        <x:is>
          <x:t xml:space="preserve"/>
        </x:is>
      </x:c>
    </x:row>
    <x:row r="646" ht="35" customHeight="1">
      <x:c r="A646" s="7" t="inlineStr">
        <x:is>
          <x:t xml:space="preserve">P202611-0645</x:t>
        </x:is>
      </x:c>
      <x:c r="B646" s="7" t="n">
        <x:v>2026</x:v>
      </x:c>
      <x:c r="C646" s="7" t="inlineStr">
        <x:is>
          <x:t xml:space="preserve">Nov</x:t>
        </x:is>
      </x:c>
      <x:c r="D646" s="7" t="inlineStr">
        <x:is>
          <x:t xml:space="preserve">MCS45</x:t>
        </x:is>
      </x:c>
      <x:c r="E646" s="6" t="inlineStr">
        <x:is>
          <x:t xml:space="preserve">Manual journal entries</x:t>
        </x:is>
      </x:c>
      <x:c r="F646" s="6" t="inlineStr">
        <x:is>
          <x:t xml:space="preserve">Zainab Yunusah Saadu Daniel Banjo</x:t>
        </x:is>
      </x:c>
      <x:c r="G646" s="6" t="inlineStr">
        <x:is>
          <x:t xml:space="preserve"/>
        </x:is>
      </x:c>
      <x:c r="H646" s="7" t="inlineStr">
        <x:is>
          <x:t xml:space="preserve">Operating Effectiveness</x:t>
        </x:is>
      </x:c>
      <x:c r="I646" s="7" t="inlineStr">
        <x:is>
          <x:t xml:space="preserve"/>
        </x:is>
      </x:c>
      <x:c r="J646" s="8" t="n">
        <x:v>46341</x:v>
      </x:c>
      <x:c r="K646" s="7" t="inlineStr">
        <x:is>
          <x:t xml:space="preserve">Not Started</x:t>
        </x:is>
      </x:c>
      <x:c r="L646" s="7" t="inlineStr">
        <x:is>
          <x:t xml:space="preserve"/>
        </x:is>
      </x:c>
      <x:c r="M646" s="6" t="inlineStr">
        <x:is>
          <x:t xml:space="preserve"/>
        </x:is>
      </x:c>
    </x:row>
    <x:row r="647" ht="35" customHeight="1">
      <x:c r="A647" s="7" t="inlineStr">
        <x:is>
          <x:t xml:space="preserve">P202611-0646</x:t>
        </x:is>
      </x:c>
      <x:c r="B647" s="7" t="n">
        <x:v>2026</x:v>
      </x:c>
      <x:c r="C647" s="7" t="inlineStr">
        <x:is>
          <x:t xml:space="preserve">Nov</x:t>
        </x:is>
      </x:c>
      <x:c r="D647" s="7" t="inlineStr">
        <x:is>
          <x:t xml:space="preserve">MCS46</x:t>
        </x:is>
      </x:c>
      <x:c r="E647" s="6" t="inlineStr">
        <x:is>
          <x:t xml:space="preserve">Impairment of goodwill, intangible assets and tangible assets</x:t>
        </x:is>
      </x:c>
      <x:c r="F647" s="6" t="inlineStr">
        <x:is>
          <x:t xml:space="preserve">Zainab Yunusah Saadu Daniel Banjo</x:t>
        </x:is>
      </x:c>
      <x:c r="G647" s="6" t="inlineStr">
        <x:is>
          <x:t xml:space="preserve"/>
        </x:is>
      </x:c>
      <x:c r="H647" s="7" t="inlineStr">
        <x:is>
          <x:t xml:space="preserve">Operating Effectiveness</x:t>
        </x:is>
      </x:c>
      <x:c r="I647" s="7" t="inlineStr">
        <x:is>
          <x:t xml:space="preserve"/>
        </x:is>
      </x:c>
      <x:c r="J647" s="8" t="n">
        <x:v>46341</x:v>
      </x:c>
      <x:c r="K647" s="7" t="inlineStr">
        <x:is>
          <x:t xml:space="preserve">Not Started</x:t>
        </x:is>
      </x:c>
      <x:c r="L647" s="7" t="inlineStr">
        <x:is>
          <x:t xml:space="preserve"/>
        </x:is>
      </x:c>
      <x:c r="M647" s="6" t="inlineStr">
        <x:is>
          <x:t xml:space="preserve"/>
        </x:is>
      </x:c>
    </x:row>
    <x:row r="648" ht="35" customHeight="1">
      <x:c r="A648" s="7" t="inlineStr">
        <x:is>
          <x:t xml:space="preserve">P202611-0647</x:t>
        </x:is>
      </x:c>
      <x:c r="B648" s="7" t="n">
        <x:v>2026</x:v>
      </x:c>
      <x:c r="C648" s="7" t="inlineStr">
        <x:is>
          <x:t xml:space="preserve">Nov</x:t>
        </x:is>
      </x:c>
      <x:c r="D648" s="7" t="inlineStr">
        <x:is>
          <x:t xml:space="preserve">MCS47</x:t>
        </x:is>
      </x:c>
      <x:c r="E648" s="6" t="inlineStr">
        <x:is>
          <x:t xml:space="preserve">Transactions in a foreign currency</x:t>
        </x:is>
      </x:c>
      <x:c r="F648" s="6" t="inlineStr">
        <x:is>
          <x:t xml:space="preserve">Zainab Yunusah Saadu Daniel Banjo</x:t>
        </x:is>
      </x:c>
      <x:c r="G648" s="6" t="inlineStr">
        <x:is>
          <x:t xml:space="preserve"/>
        </x:is>
      </x:c>
      <x:c r="H648" s="7" t="inlineStr">
        <x:is>
          <x:t xml:space="preserve">Operating Effectiveness</x:t>
        </x:is>
      </x:c>
      <x:c r="I648" s="7" t="inlineStr">
        <x:is>
          <x:t xml:space="preserve"/>
        </x:is>
      </x:c>
      <x:c r="J648" s="8" t="n">
        <x:v>46341</x:v>
      </x:c>
      <x:c r="K648" s="7" t="inlineStr">
        <x:is>
          <x:t xml:space="preserve">Not Started</x:t>
        </x:is>
      </x:c>
      <x:c r="L648" s="7" t="inlineStr">
        <x:is>
          <x:t xml:space="preserve"/>
        </x:is>
      </x:c>
      <x:c r="M648" s="6" t="inlineStr">
        <x:is>
          <x:t xml:space="preserve"/>
        </x:is>
      </x:c>
    </x:row>
    <x:row r="649" ht="35" customHeight="1">
      <x:c r="A649" s="7" t="inlineStr">
        <x:is>
          <x:t xml:space="preserve">P202611-0648</x:t>
        </x:is>
      </x:c>
      <x:c r="B649" s="7" t="n">
        <x:v>2026</x:v>
      </x:c>
      <x:c r="C649" s="7" t="inlineStr">
        <x:is>
          <x:t xml:space="preserve">Nov</x:t>
        </x:is>
      </x:c>
      <x:c r="D649" s="7" t="inlineStr">
        <x:is>
          <x:t xml:space="preserve">MCS48</x:t>
        </x:is>
      </x:c>
      <x:c r="E649" s="6" t="inlineStr">
        <x:is>
          <x:t xml:space="preserve">Management of legal structure and consolidation hierarchy</x:t>
        </x:is>
      </x:c>
      <x:c r="F649" s="6" t="inlineStr">
        <x:is>
          <x:t xml:space="preserve">Zainab Yunusah Saadu Daniel Banjo</x:t>
        </x:is>
      </x:c>
      <x:c r="G649" s="6" t="inlineStr">
        <x:is>
          <x:t xml:space="preserve"/>
        </x:is>
      </x:c>
      <x:c r="H649" s="7" t="inlineStr">
        <x:is>
          <x:t xml:space="preserve">Operating Effectiveness</x:t>
        </x:is>
      </x:c>
      <x:c r="I649" s="7" t="inlineStr">
        <x:is>
          <x:t xml:space="preserve"/>
        </x:is>
      </x:c>
      <x:c r="J649" s="8" t="n">
        <x:v>46341</x:v>
      </x:c>
      <x:c r="K649" s="7" t="inlineStr">
        <x:is>
          <x:t xml:space="preserve">Not Started</x:t>
        </x:is>
      </x:c>
      <x:c r="L649" s="7" t="inlineStr">
        <x:is>
          <x:t xml:space="preserve"/>
        </x:is>
      </x:c>
      <x:c r="M649" s="6" t="inlineStr">
        <x:is>
          <x:t xml:space="preserve"/>
        </x:is>
      </x:c>
    </x:row>
    <x:row r="650" ht="35" customHeight="1">
      <x:c r="A650" s="7" t="inlineStr">
        <x:is>
          <x:t xml:space="preserve">P202611-0649</x:t>
        </x:is>
      </x:c>
      <x:c r="B650" s="7" t="n">
        <x:v>2026</x:v>
      </x:c>
      <x:c r="C650" s="7" t="inlineStr">
        <x:is>
          <x:t xml:space="preserve">Nov</x:t>
        </x:is>
      </x:c>
      <x:c r="D650" s="7" t="inlineStr">
        <x:is>
          <x:t xml:space="preserve">MCS49</x:t>
        </x:is>
      </x:c>
      <x:c r="E650" s="6" t="inlineStr">
        <x:is>
          <x:t xml:space="preserve">Consolidation of financial statement</x:t>
        </x:is>
      </x:c>
      <x:c r="F650" s="6" t="inlineStr">
        <x:is>
          <x:t xml:space="preserve">Zainab Yunusah Saadu Daniel Banjo</x:t>
        </x:is>
      </x:c>
      <x:c r="G650" s="6" t="inlineStr">
        <x:is>
          <x:t xml:space="preserve"/>
        </x:is>
      </x:c>
      <x:c r="H650" s="7" t="inlineStr">
        <x:is>
          <x:t xml:space="preserve">Operating Effectiveness</x:t>
        </x:is>
      </x:c>
      <x:c r="I650" s="7" t="inlineStr">
        <x:is>
          <x:t xml:space="preserve"/>
        </x:is>
      </x:c>
      <x:c r="J650" s="8" t="n">
        <x:v>46341</x:v>
      </x:c>
      <x:c r="K650" s="7" t="inlineStr">
        <x:is>
          <x:t xml:space="preserve">Not Started</x:t>
        </x:is>
      </x:c>
      <x:c r="L650" s="7" t="inlineStr">
        <x:is>
          <x:t xml:space="preserve"/>
        </x:is>
      </x:c>
      <x:c r="M650" s="6" t="inlineStr">
        <x:is>
          <x:t xml:space="preserve"/>
        </x:is>
      </x:c>
    </x:row>
    <x:row r="651" ht="35" customHeight="1">
      <x:c r="A651" s="7" t="inlineStr">
        <x:is>
          <x:t xml:space="preserve">P202611-0650</x:t>
        </x:is>
      </x:c>
      <x:c r="B651" s="7" t="n">
        <x:v>2026</x:v>
      </x:c>
      <x:c r="C651" s="7" t="inlineStr">
        <x:is>
          <x:t xml:space="preserve">Nov</x:t>
        </x:is>
      </x:c>
      <x:c r="D651" s="7" t="inlineStr">
        <x:is>
          <x:t xml:space="preserve">MCS50</x:t>
        </x:is>
      </x:c>
      <x:c r="E651" s="6" t="inlineStr">
        <x:is>
          <x:t xml:space="preserve">Statutory financial statements</x:t>
        </x:is>
      </x:c>
      <x:c r="F651" s="6" t="inlineStr">
        <x:is>
          <x:t xml:space="preserve">Zainab Yunusah Saadu Daniel Banjo</x:t>
        </x:is>
      </x:c>
      <x:c r="G651" s="6" t="inlineStr">
        <x:is>
          <x:t xml:space="preserve"/>
        </x:is>
      </x:c>
      <x:c r="H651" s="7" t="inlineStr">
        <x:is>
          <x:t xml:space="preserve">Operating Effectiveness</x:t>
        </x:is>
      </x:c>
      <x:c r="I651" s="7" t="inlineStr">
        <x:is>
          <x:t xml:space="preserve"/>
        </x:is>
      </x:c>
      <x:c r="J651" s="8" t="n">
        <x:v>46341</x:v>
      </x:c>
      <x:c r="K651" s="7" t="inlineStr">
        <x:is>
          <x:t xml:space="preserve">Not Started</x:t>
        </x:is>
      </x:c>
      <x:c r="L651" s="7" t="inlineStr">
        <x:is>
          <x:t xml:space="preserve"/>
        </x:is>
      </x:c>
      <x:c r="M651" s="6" t="inlineStr">
        <x:is>
          <x:t xml:space="preserve"/>
        </x:is>
      </x:c>
    </x:row>
    <x:row r="652" ht="35" customHeight="1">
      <x:c r="A652" s="7" t="inlineStr">
        <x:is>
          <x:t xml:space="preserve">P202611-0651</x:t>
        </x:is>
      </x:c>
      <x:c r="B652" s="7" t="n">
        <x:v>2026</x:v>
      </x:c>
      <x:c r="C652" s="7" t="inlineStr">
        <x:is>
          <x:t xml:space="preserve">Nov</x:t>
        </x:is>
      </x:c>
      <x:c r="D652" s="7" t="inlineStr">
        <x:is>
          <x:t xml:space="preserve">MCS51</x:t>
        </x:is>
      </x:c>
      <x:c r="E652" s="6" t="inlineStr">
        <x:is>
          <x:t xml:space="preserve">Tax risk assessment and reporting</x:t>
        </x:is>
      </x:c>
      <x:c r="F652" s="6" t="n"/>
      <x:c r="G652" s="6" t="inlineStr">
        <x:is>
          <x:t xml:space="preserve"/>
        </x:is>
      </x:c>
      <x:c r="H652" s="7" t="inlineStr">
        <x:is>
          <x:t xml:space="preserve">Operating Effectiveness</x:t>
        </x:is>
      </x:c>
      <x:c r="I652" s="7" t="inlineStr">
        <x:is>
          <x:t xml:space="preserve"/>
        </x:is>
      </x:c>
      <x:c r="J652" s="8" t="n">
        <x:v>46341</x:v>
      </x:c>
      <x:c r="K652" s="7" t="inlineStr">
        <x:is>
          <x:t xml:space="preserve">Not Started</x:t>
        </x:is>
      </x:c>
      <x:c r="L652" s="7" t="inlineStr">
        <x:is>
          <x:t xml:space="preserve"/>
        </x:is>
      </x:c>
      <x:c r="M652" s="6" t="inlineStr">
        <x:is>
          <x:t xml:space="preserve"/>
        </x:is>
      </x:c>
    </x:row>
    <x:row r="653" ht="35" customHeight="1">
      <x:c r="A653" s="7" t="inlineStr">
        <x:is>
          <x:t xml:space="preserve">P202611-0652</x:t>
        </x:is>
      </x:c>
      <x:c r="B653" s="7" t="n">
        <x:v>2026</x:v>
      </x:c>
      <x:c r="C653" s="7" t="inlineStr">
        <x:is>
          <x:t xml:space="preserve">Nov</x:t>
        </x:is>
      </x:c>
      <x:c r="D653" s="7" t="inlineStr">
        <x:is>
          <x:t xml:space="preserve">MCS52</x:t>
        </x:is>
      </x:c>
      <x:c r="E653" s="6" t="inlineStr">
        <x:is>
          <x:t xml:space="preserve">Tax filings and payments</x:t>
        </x:is>
      </x:c>
      <x:c r="F653" s="6" t="n"/>
      <x:c r="G653" s="6" t="inlineStr">
        <x:is>
          <x:t xml:space="preserve"/>
        </x:is>
      </x:c>
      <x:c r="H653" s="7" t="inlineStr">
        <x:is>
          <x:t xml:space="preserve">Operating Effectiveness</x:t>
        </x:is>
      </x:c>
      <x:c r="I653" s="7" t="inlineStr">
        <x:is>
          <x:t xml:space="preserve"/>
        </x:is>
      </x:c>
      <x:c r="J653" s="8" t="n">
        <x:v>46341</x:v>
      </x:c>
      <x:c r="K653" s="7" t="inlineStr">
        <x:is>
          <x:t xml:space="preserve">Not Started</x:t>
        </x:is>
      </x:c>
      <x:c r="L653" s="7" t="inlineStr">
        <x:is>
          <x:t xml:space="preserve"/>
        </x:is>
      </x:c>
      <x:c r="M653" s="6" t="inlineStr">
        <x:is>
          <x:t xml:space="preserve"/>
        </x:is>
      </x:c>
    </x:row>
    <x:row r="654" ht="35" customHeight="1">
      <x:c r="A654" s="7" t="inlineStr">
        <x:is>
          <x:t xml:space="preserve">P202611-0653</x:t>
        </x:is>
      </x:c>
      <x:c r="B654" s="7" t="n">
        <x:v>2026</x:v>
      </x:c>
      <x:c r="C654" s="7" t="inlineStr">
        <x:is>
          <x:t xml:space="preserve">Nov</x:t>
        </x:is>
      </x:c>
      <x:c r="D654" s="7" t="inlineStr">
        <x:is>
          <x:t xml:space="preserve">MCS53</x:t>
        </x:is>
      </x:c>
      <x:c r="E654" s="6" t="inlineStr">
        <x:is>
          <x:t xml:space="preserve">Deferred and current income tax calculations</x:t>
        </x:is>
      </x:c>
      <x:c r="F654" s="6" t="n"/>
      <x:c r="G654" s="6" t="inlineStr">
        <x:is>
          <x:t xml:space="preserve"/>
        </x:is>
      </x:c>
      <x:c r="H654" s="7" t="inlineStr">
        <x:is>
          <x:t xml:space="preserve">Operating Effectiveness</x:t>
        </x:is>
      </x:c>
      <x:c r="I654" s="7" t="inlineStr">
        <x:is>
          <x:t xml:space="preserve"/>
        </x:is>
      </x:c>
      <x:c r="J654" s="8" t="n">
        <x:v>46341</x:v>
      </x:c>
      <x:c r="K654" s="7" t="inlineStr">
        <x:is>
          <x:t xml:space="preserve">Not Started</x:t>
        </x:is>
      </x:c>
      <x:c r="L654" s="7" t="inlineStr">
        <x:is>
          <x:t xml:space="preserve"/>
        </x:is>
      </x:c>
      <x:c r="M654" s="6" t="inlineStr">
        <x:is>
          <x:t xml:space="preserve"/>
        </x:is>
      </x:c>
    </x:row>
    <x:row r="655" ht="35" customHeight="1">
      <x:c r="A655" s="7" t="inlineStr">
        <x:is>
          <x:t xml:space="preserve">P202611-0654</x:t>
        </x:is>
      </x:c>
      <x:c r="B655" s="7" t="n">
        <x:v>2026</x:v>
      </x:c>
      <x:c r="C655" s="7" t="inlineStr">
        <x:is>
          <x:t xml:space="preserve">Nov</x:t>
        </x:is>
      </x:c>
      <x:c r="D655" s="7" t="inlineStr">
        <x:is>
          <x:t xml:space="preserve">MCS54</x:t>
        </x:is>
      </x:c>
      <x:c r="E655" s="6" t="inlineStr">
        <x:is>
          <x:t xml:space="preserve">Transfer pricing</x:t>
        </x:is>
      </x:c>
      <x:c r="F655" s="6" t="n"/>
      <x:c r="G655" s="6" t="inlineStr">
        <x:is>
          <x:t xml:space="preserve"/>
        </x:is>
      </x:c>
      <x:c r="H655" s="7" t="inlineStr">
        <x:is>
          <x:t xml:space="preserve">Operating Effectiveness</x:t>
        </x:is>
      </x:c>
      <x:c r="I655" s="7" t="inlineStr">
        <x:is>
          <x:t xml:space="preserve"/>
        </x:is>
      </x:c>
      <x:c r="J655" s="8" t="n">
        <x:v>46341</x:v>
      </x:c>
      <x:c r="K655" s="7" t="inlineStr">
        <x:is>
          <x:t xml:space="preserve">Not Started</x:t>
        </x:is>
      </x:c>
      <x:c r="L655" s="7" t="inlineStr">
        <x:is>
          <x:t xml:space="preserve"/>
        </x:is>
      </x:c>
      <x:c r="M655" s="6" t="inlineStr">
        <x:is>
          <x:t xml:space="preserve"/>
        </x:is>
      </x:c>
    </x:row>
    <x:row r="656" ht="35" customHeight="1">
      <x:c r="A656" s="7" t="inlineStr">
        <x:is>
          <x:t xml:space="preserve">P202611-0655</x:t>
        </x:is>
      </x:c>
      <x:c r="B656" s="7" t="n">
        <x:v>2026</x:v>
      </x:c>
      <x:c r="C656" s="7" t="inlineStr">
        <x:is>
          <x:t xml:space="preserve">Nov</x:t>
        </x:is>
      </x:c>
      <x:c r="D656" s="7" t="inlineStr">
        <x:is>
          <x:t xml:space="preserve">MCS55</x:t>
        </x:is>
      </x:c>
      <x:c r="E656" s="6" t="inlineStr">
        <x:is>
          <x:t xml:space="preserve">Non-income (indirect) taxes</x:t>
        </x:is>
      </x:c>
      <x:c r="F656" s="6" t="n"/>
      <x:c r="G656" s="6" t="inlineStr">
        <x:is>
          <x:t xml:space="preserve"/>
        </x:is>
      </x:c>
      <x:c r="H656" s="7" t="inlineStr">
        <x:is>
          <x:t xml:space="preserve">Operating Effectiveness</x:t>
        </x:is>
      </x:c>
      <x:c r="I656" s="7" t="inlineStr">
        <x:is>
          <x:t xml:space="preserve"/>
        </x:is>
      </x:c>
      <x:c r="J656" s="8" t="n">
        <x:v>46341</x:v>
      </x:c>
      <x:c r="K656" s="7" t="inlineStr">
        <x:is>
          <x:t xml:space="preserve">Not Started</x:t>
        </x:is>
      </x:c>
      <x:c r="L656" s="7" t="inlineStr">
        <x:is>
          <x:t xml:space="preserve"/>
        </x:is>
      </x:c>
      <x:c r="M656" s="6" t="inlineStr">
        <x:is>
          <x:t xml:space="preserve"/>
        </x:is>
      </x:c>
    </x:row>
    <x:row r="657" ht="35" customHeight="1">
      <x:c r="A657" s="7" t="inlineStr">
        <x:is>
          <x:t xml:space="preserve">P202611-0656</x:t>
        </x:is>
      </x:c>
      <x:c r="B657" s="7" t="n">
        <x:v>2026</x:v>
      </x:c>
      <x:c r="C657" s="7" t="inlineStr">
        <x:is>
          <x:t xml:space="preserve">Nov</x:t>
        </x:is>
      </x:c>
      <x:c r="D657" s="7" t="inlineStr">
        <x:is>
          <x:t xml:space="preserve">MCS56</x:t>
        </x:is>
      </x:c>
      <x:c r="E657" s="6" t="inlineStr">
        <x:is>
          <x:t xml:space="preserve">Bank relations</x:t>
        </x:is>
      </x:c>
      <x:c r="F657" s="6" t="n"/>
      <x:c r="G657" s="6" t="inlineStr">
        <x:is>
          <x:t xml:space="preserve"/>
        </x:is>
      </x:c>
      <x:c r="H657" s="7" t="inlineStr">
        <x:is>
          <x:t xml:space="preserve">Operating Effectiveness</x:t>
        </x:is>
      </x:c>
      <x:c r="I657" s="7" t="inlineStr">
        <x:is>
          <x:t xml:space="preserve"/>
        </x:is>
      </x:c>
      <x:c r="J657" s="8" t="n">
        <x:v>46341</x:v>
      </x:c>
      <x:c r="K657" s="7" t="inlineStr">
        <x:is>
          <x:t xml:space="preserve">Not Started</x:t>
        </x:is>
      </x:c>
      <x:c r="L657" s="7" t="inlineStr">
        <x:is>
          <x:t xml:space="preserve"/>
        </x:is>
      </x:c>
      <x:c r="M657" s="6" t="inlineStr">
        <x:is>
          <x:t xml:space="preserve"/>
        </x:is>
      </x:c>
    </x:row>
    <x:row r="658" ht="35" customHeight="1">
      <x:c r="A658" s="7" t="inlineStr">
        <x:is>
          <x:t xml:space="preserve">P202611-0657</x:t>
        </x:is>
      </x:c>
      <x:c r="B658" s="7" t="n">
        <x:v>2026</x:v>
      </x:c>
      <x:c r="C658" s="7" t="inlineStr">
        <x:is>
          <x:t xml:space="preserve">Nov</x:t>
        </x:is>
      </x:c>
      <x:c r="D658" s="7" t="inlineStr">
        <x:is>
          <x:t xml:space="preserve">MCS57</x:t>
        </x:is>
      </x:c>
      <x:c r="E658" s="6" t="inlineStr">
        <x:is>
          <x:t xml:space="preserve">Cash transactions are not permitted without Regional Controller approval</x:t>
        </x:is>
      </x:c>
      <x:c r="F658" s="6" t="n"/>
      <x:c r="G658" s="6" t="inlineStr">
        <x:is>
          <x:t xml:space="preserve"/>
        </x:is>
      </x:c>
      <x:c r="H658" s="7" t="inlineStr">
        <x:is>
          <x:t xml:space="preserve">Operating Effectiveness</x:t>
        </x:is>
      </x:c>
      <x:c r="I658" s="7" t="inlineStr">
        <x:is>
          <x:t xml:space="preserve"/>
        </x:is>
      </x:c>
      <x:c r="J658" s="8" t="n">
        <x:v>46341</x:v>
      </x:c>
      <x:c r="K658" s="7" t="inlineStr">
        <x:is>
          <x:t xml:space="preserve">Not Started</x:t>
        </x:is>
      </x:c>
      <x:c r="L658" s="7" t="inlineStr">
        <x:is>
          <x:t xml:space="preserve"/>
        </x:is>
      </x:c>
      <x:c r="M658" s="6" t="inlineStr">
        <x:is>
          <x:t xml:space="preserve"/>
        </x:is>
      </x:c>
    </x:row>
    <x:row r="659" ht="35" customHeight="1">
      <x:c r="A659" s="7" t="inlineStr">
        <x:is>
          <x:t xml:space="preserve">P202611-0658</x:t>
        </x:is>
      </x:c>
      <x:c r="B659" s="7" t="n">
        <x:v>2026</x:v>
      </x:c>
      <x:c r="C659" s="7" t="inlineStr">
        <x:is>
          <x:t xml:space="preserve">Nov</x:t>
        </x:is>
      </x:c>
      <x:c r="D659" s="7" t="inlineStr">
        <x:is>
          <x:t xml:space="preserve">MCS58</x:t>
        </x:is>
      </x:c>
      <x:c r="E659" s="6" t="inlineStr">
        <x:is>
          <x:t xml:space="preserve">Secure payment means</x:t>
        </x:is>
      </x:c>
      <x:c r="F659" s="6" t="n"/>
      <x:c r="G659" s="6" t="inlineStr">
        <x:is>
          <x:t xml:space="preserve"/>
        </x:is>
      </x:c>
      <x:c r="H659" s="7" t="inlineStr">
        <x:is>
          <x:t xml:space="preserve">Operating Effectiveness</x:t>
        </x:is>
      </x:c>
      <x:c r="I659" s="7" t="inlineStr">
        <x:is>
          <x:t xml:space="preserve"/>
        </x:is>
      </x:c>
      <x:c r="J659" s="8" t="n">
        <x:v>46341</x:v>
      </x:c>
      <x:c r="K659" s="7" t="inlineStr">
        <x:is>
          <x:t xml:space="preserve">Not Started</x:t>
        </x:is>
      </x:c>
      <x:c r="L659" s="7" t="inlineStr">
        <x:is>
          <x:t xml:space="preserve"/>
        </x:is>
      </x:c>
      <x:c r="M659" s="6" t="inlineStr">
        <x:is>
          <x:t xml:space="preserve"/>
        </x:is>
      </x:c>
    </x:row>
    <x:row r="660" ht="35" customHeight="1">
      <x:c r="A660" s="7" t="inlineStr">
        <x:is>
          <x:t xml:space="preserve">P202611-0659</x:t>
        </x:is>
      </x:c>
      <x:c r="B660" s="7" t="n">
        <x:v>2026</x:v>
      </x:c>
      <x:c r="C660" s="7" t="inlineStr">
        <x:is>
          <x:t xml:space="preserve">Nov</x:t>
        </x:is>
      </x:c>
      <x:c r="D660" s="7" t="inlineStr">
        <x:is>
          <x:t xml:space="preserve">MCS59</x:t>
        </x:is>
      </x:c>
      <x:c r="E660" s="6" t="inlineStr">
        <x:is>
          <x:t xml:space="preserve">Financial instruments, borrowings, commitments and working capital schemes</x:t>
        </x:is>
      </x:c>
      <x:c r="F660" s="6" t="n"/>
      <x:c r="G660" s="6" t="inlineStr">
        <x:is>
          <x:t xml:space="preserve"/>
        </x:is>
      </x:c>
      <x:c r="H660" s="7" t="inlineStr">
        <x:is>
          <x:t xml:space="preserve">Operating Effectiveness</x:t>
        </x:is>
      </x:c>
      <x:c r="I660" s="7" t="inlineStr">
        <x:is>
          <x:t xml:space="preserve"/>
        </x:is>
      </x:c>
      <x:c r="J660" s="8" t="n">
        <x:v>46341</x:v>
      </x:c>
      <x:c r="K660" s="7" t="inlineStr">
        <x:is>
          <x:t xml:space="preserve">Not Started</x:t>
        </x:is>
      </x:c>
      <x:c r="L660" s="7" t="inlineStr">
        <x:is>
          <x:t xml:space="preserve"/>
        </x:is>
      </x:c>
      <x:c r="M660" s="6" t="inlineStr">
        <x:is>
          <x:t xml:space="preserve"/>
        </x:is>
      </x:c>
    </x:row>
    <x:row r="661" ht="35" customHeight="1">
      <x:c r="A661" s="7" t="inlineStr">
        <x:is>
          <x:t xml:space="preserve">P202611-0660</x:t>
        </x:is>
      </x:c>
      <x:c r="B661" s="7" t="n">
        <x:v>2026</x:v>
      </x:c>
      <x:c r="C661" s="7" t="inlineStr">
        <x:is>
          <x:t xml:space="preserve">Nov</x:t>
        </x:is>
      </x:c>
      <x:c r="D661" s="7" t="inlineStr">
        <x:is>
          <x:t xml:space="preserve">MCS60</x:t>
        </x:is>
      </x:c>
      <x:c r="E661" s="6" t="inlineStr">
        <x:is>
          <x:t xml:space="preserve">Forex, interest rate, commodities risks monitoring and hedging</x:t>
        </x:is>
      </x:c>
      <x:c r="F661" s="6" t="n"/>
      <x:c r="G661" s="6" t="inlineStr">
        <x:is>
          <x:t xml:space="preserve"/>
        </x:is>
      </x:c>
      <x:c r="H661" s="7" t="inlineStr">
        <x:is>
          <x:t xml:space="preserve">Operating Effectiveness</x:t>
        </x:is>
      </x:c>
      <x:c r="I661" s="7" t="inlineStr">
        <x:is>
          <x:t xml:space="preserve"/>
        </x:is>
      </x:c>
      <x:c r="J661" s="8" t="n">
        <x:v>46341</x:v>
      </x:c>
      <x:c r="K661" s="7" t="inlineStr">
        <x:is>
          <x:t xml:space="preserve">Not Started</x:t>
        </x:is>
      </x:c>
      <x:c r="L661" s="7" t="inlineStr">
        <x:is>
          <x:t xml:space="preserve"/>
        </x:is>
      </x:c>
      <x:c r="M661" s="6" t="inlineStr">
        <x:is>
          <x:t xml:space="preserve"/>
        </x:is>
      </x:c>
    </x:row>
    <x:row r="662" ht="35" customHeight="1">
      <x:c r="A662" s="7" t="inlineStr">
        <x:is>
          <x:t xml:space="preserve">P202612-0661</x:t>
        </x:is>
      </x:c>
      <x:c r="B662" s="7" t="n">
        <x:v>2026</x:v>
      </x:c>
      <x:c r="C662" s="7" t="inlineStr">
        <x:is>
          <x:t xml:space="preserve">Dec</x:t>
        </x:is>
      </x:c>
      <x:c r="D662" s="7" t="inlineStr">
        <x:is>
          <x:t xml:space="preserve">MCS01</x:t>
        </x:is>
      </x:c>
      <x:c r="E662" s="6" t="inlineStr">
        <x:is>
          <x:t xml:space="preserve">Communication and promotion of the Code of Business Conduct and speak-up culture</x:t>
        </x:is>
      </x:c>
      <x:c r="F662" s="6" t="inlineStr">
        <x:is>
          <x:t xml:space="preserve">Omoyemi Tuga Olamide Ayo-Ogunlade </x:t>
        </x:is>
      </x:c>
      <x:c r="G662" s="6" t="inlineStr">
        <x:is>
          <x:t xml:space="preserve"/>
        </x:is>
      </x:c>
      <x:c r="H662" s="7" t="inlineStr">
        <x:is>
          <x:t xml:space="preserve">Operating Effectiveness</x:t>
        </x:is>
      </x:c>
      <x:c r="I662" s="7" t="inlineStr">
        <x:is>
          <x:t xml:space="preserve"/>
        </x:is>
      </x:c>
      <x:c r="J662" s="8" t="n">
        <x:v>46371</x:v>
      </x:c>
      <x:c r="K662" s="7" t="inlineStr">
        <x:is>
          <x:t xml:space="preserve">Not Started</x:t>
        </x:is>
      </x:c>
      <x:c r="L662" s="7" t="inlineStr">
        <x:is>
          <x:t xml:space="preserve"/>
        </x:is>
      </x:c>
      <x:c r="M662" s="6" t="inlineStr">
        <x:is>
          <x:t xml:space="preserve"/>
        </x:is>
      </x:c>
    </x:row>
    <x:row r="663" ht="35" customHeight="1">
      <x:c r="A663" s="7" t="inlineStr">
        <x:is>
          <x:t xml:space="preserve">P202612-0662</x:t>
        </x:is>
      </x:c>
      <x:c r="B663" s="7" t="n">
        <x:v>2026</x:v>
      </x:c>
      <x:c r="C663" s="7" t="inlineStr">
        <x:is>
          <x:t xml:space="preserve">Dec</x:t>
        </x:is>
      </x:c>
      <x:c r="D663" s="7" t="inlineStr">
        <x:is>
          <x:t xml:space="preserve">MCS02</x:t>
        </x:is>
      </x:c>
      <x:c r="E663" s="6" t="inlineStr">
        <x:is>
          <x:t xml:space="preserve">Compliance with Fair Competition laws and requirements</x:t>
        </x:is>
      </x:c>
      <x:c r="F663" s="6" t="inlineStr">
        <x:is>
          <x:t xml:space="preserve">Mary Waititu</x:t>
        </x:is>
      </x:c>
      <x:c r="G663" s="6" t="inlineStr">
        <x:is>
          <x:t xml:space="preserve"/>
        </x:is>
      </x:c>
      <x:c r="H663" s="7" t="inlineStr">
        <x:is>
          <x:t xml:space="preserve">Operating Effectiveness</x:t>
        </x:is>
      </x:c>
      <x:c r="I663" s="7" t="inlineStr">
        <x:is>
          <x:t xml:space="preserve"/>
        </x:is>
      </x:c>
      <x:c r="J663" s="8" t="n">
        <x:v>46371</x:v>
      </x:c>
      <x:c r="K663" s="7" t="inlineStr">
        <x:is>
          <x:t xml:space="preserve">Not Started</x:t>
        </x:is>
      </x:c>
      <x:c r="L663" s="7" t="inlineStr">
        <x:is>
          <x:t xml:space="preserve"/>
        </x:is>
      </x:c>
      <x:c r="M663" s="6" t="inlineStr">
        <x:is>
          <x:t xml:space="preserve"/>
        </x:is>
      </x:c>
    </x:row>
    <x:row r="664" ht="35" customHeight="1">
      <x:c r="A664" s="7" t="inlineStr">
        <x:is>
          <x:t xml:space="preserve">P202612-0663</x:t>
        </x:is>
      </x:c>
      <x:c r="B664" s="7" t="n">
        <x:v>2026</x:v>
      </x:c>
      <x:c r="C664" s="7" t="inlineStr">
        <x:is>
          <x:t xml:space="preserve">Dec</x:t>
        </x:is>
      </x:c>
      <x:c r="D664" s="7" t="inlineStr">
        <x:is>
          <x:t xml:space="preserve">MCS03</x:t>
        </x:is>
      </x:c>
      <x:c r="E664" s="6" t="inlineStr">
        <x:is>
          <x:t xml:space="preserve">Related party transactions and conflict of interests</x:t>
        </x:is>
      </x:c>
      <x:c r="F664" s="6" t="inlineStr">
        <x:is>
          <x:t xml:space="preserve">Mary Waititu Godson Iwuozo</x:t>
        </x:is>
      </x:c>
      <x:c r="G664" s="6" t="inlineStr">
        <x:is>
          <x:t xml:space="preserve"/>
        </x:is>
      </x:c>
      <x:c r="H664" s="7" t="inlineStr">
        <x:is>
          <x:t xml:space="preserve">Operating Effectiveness</x:t>
        </x:is>
      </x:c>
      <x:c r="I664" s="7" t="inlineStr">
        <x:is>
          <x:t xml:space="preserve"/>
        </x:is>
      </x:c>
      <x:c r="J664" s="8" t="n">
        <x:v>46371</x:v>
      </x:c>
      <x:c r="K664" s="7" t="inlineStr">
        <x:is>
          <x:t xml:space="preserve">Not Started</x:t>
        </x:is>
      </x:c>
      <x:c r="L664" s="7" t="inlineStr">
        <x:is>
          <x:t xml:space="preserve"/>
        </x:is>
      </x:c>
      <x:c r="M664" s="6" t="inlineStr">
        <x:is>
          <x:t xml:space="preserve"/>
        </x:is>
      </x:c>
    </x:row>
    <x:row r="665" ht="35" customHeight="1">
      <x:c r="A665" s="7" t="inlineStr">
        <x:is>
          <x:t xml:space="preserve">P202612-0664</x:t>
        </x:is>
      </x:c>
      <x:c r="B665" s="7" t="n">
        <x:v>2026</x:v>
      </x:c>
      <x:c r="C665" s="7" t="inlineStr">
        <x:is>
          <x:t xml:space="preserve">Dec</x:t>
        </x:is>
      </x:c>
      <x:c r="D665" s="7" t="inlineStr">
        <x:is>
          <x:t xml:space="preserve">MCS04</x:t>
        </x:is>
      </x:c>
      <x:c r="E665" s="6" t="inlineStr">
        <x:is>
          <x:t xml:space="preserve">Board of Directors secretarial requirements</x:t>
        </x:is>
      </x:c>
      <x:c r="F665" s="6" t="inlineStr">
        <x:is>
          <x:t xml:space="preserve">Mary Waititu Godson Iwuozo</x:t>
        </x:is>
      </x:c>
      <x:c r="G665" s="6" t="inlineStr">
        <x:is>
          <x:t xml:space="preserve"/>
        </x:is>
      </x:c>
      <x:c r="H665" s="7" t="inlineStr">
        <x:is>
          <x:t xml:space="preserve">Operating Effectiveness</x:t>
        </x:is>
      </x:c>
      <x:c r="I665" s="7" t="inlineStr">
        <x:is>
          <x:t xml:space="preserve"/>
        </x:is>
      </x:c>
      <x:c r="J665" s="8" t="n">
        <x:v>46371</x:v>
      </x:c>
      <x:c r="K665" s="7" t="inlineStr">
        <x:is>
          <x:t xml:space="preserve">Not Started</x:t>
        </x:is>
      </x:c>
      <x:c r="L665" s="7" t="inlineStr">
        <x:is>
          <x:t xml:space="preserve"/>
        </x:is>
      </x:c>
      <x:c r="M665" s="6" t="inlineStr">
        <x:is>
          <x:t xml:space="preserve"/>
        </x:is>
      </x:c>
    </x:row>
    <x:row r="666" ht="35" customHeight="1">
      <x:c r="A666" s="7" t="inlineStr">
        <x:is>
          <x:t xml:space="preserve">P202612-0665</x:t>
        </x:is>
      </x:c>
      <x:c r="B666" s="7" t="n">
        <x:v>2026</x:v>
      </x:c>
      <x:c r="C666" s="7" t="inlineStr">
        <x:is>
          <x:t xml:space="preserve">Dec</x:t>
        </x:is>
      </x:c>
      <x:c r="D666" s="7" t="inlineStr">
        <x:is>
          <x:t xml:space="preserve">MCS05</x:t>
        </x:is>
      </x:c>
      <x:c r="E666" s="6" t="inlineStr">
        <x:is>
          <x:t xml:space="preserve">Health, Safety &amp; Environment</x:t>
        </x:is>
      </x:c>
      <x:c r="F666" s="6" t="inlineStr">
        <x:is>
          <x:t xml:space="preserve">Omoyemi Tuga Yomi Jegede</x:t>
        </x:is>
      </x:c>
      <x:c r="G666" s="6" t="inlineStr">
        <x:is>
          <x:t xml:space="preserve"/>
        </x:is>
      </x:c>
      <x:c r="H666" s="7" t="inlineStr">
        <x:is>
          <x:t xml:space="preserve">Operating Effectiveness</x:t>
        </x:is>
      </x:c>
      <x:c r="I666" s="7" t="inlineStr">
        <x:is>
          <x:t xml:space="preserve"/>
        </x:is>
      </x:c>
      <x:c r="J666" s="8" t="n">
        <x:v>46371</x:v>
      </x:c>
      <x:c r="K666" s="7" t="inlineStr">
        <x:is>
          <x:t xml:space="preserve">Not Started</x:t>
        </x:is>
      </x:c>
      <x:c r="L666" s="7" t="inlineStr">
        <x:is>
          <x:t xml:space="preserve"/>
        </x:is>
      </x:c>
      <x:c r="M666" s="6" t="inlineStr">
        <x:is>
          <x:t xml:space="preserve"/>
        </x:is>
      </x:c>
    </x:row>
    <x:row r="667" ht="35" customHeight="1">
      <x:c r="A667" s="7" t="inlineStr">
        <x:is>
          <x:t xml:space="preserve">P202612-0666</x:t>
        </x:is>
      </x:c>
      <x:c r="B667" s="7" t="n">
        <x:v>2026</x:v>
      </x:c>
      <x:c r="C667" s="7" t="inlineStr">
        <x:is>
          <x:t xml:space="preserve">Dec</x:t>
        </x:is>
      </x:c>
      <x:c r="D667" s="7" t="inlineStr">
        <x:is>
          <x:t xml:space="preserve">MCS06</x:t>
        </x:is>
      </x:c>
      <x:c r="E667" s="6" t="inlineStr">
        <x:is>
          <x:t xml:space="preserve">Risk assessment</x:t>
        </x:is>
      </x:c>
      <x:c r="F667" s="6" t="inlineStr">
        <x:is>
          <x:t xml:space="preserve">Oluwaseun Oyedepo</x:t>
        </x:is>
      </x:c>
      <x:c r="G667" s="6" t="inlineStr">
        <x:is>
          <x:t xml:space="preserve"/>
        </x:is>
      </x:c>
      <x:c r="H667" s="7" t="inlineStr">
        <x:is>
          <x:t xml:space="preserve">Operating Effectiveness</x:t>
        </x:is>
      </x:c>
      <x:c r="I667" s="7" t="inlineStr">
        <x:is>
          <x:t xml:space="preserve"/>
        </x:is>
      </x:c>
      <x:c r="J667" s="8" t="n">
        <x:v>46371</x:v>
      </x:c>
      <x:c r="K667" s="7" t="inlineStr">
        <x:is>
          <x:t xml:space="preserve">Not Started</x:t>
        </x:is>
      </x:c>
      <x:c r="L667" s="7" t="inlineStr">
        <x:is>
          <x:t xml:space="preserve"/>
        </x:is>
      </x:c>
      <x:c r="M667" s="6" t="inlineStr">
        <x:is>
          <x:t xml:space="preserve"/>
        </x:is>
      </x:c>
    </x:row>
    <x:row r="668" ht="35" customHeight="1">
      <x:c r="A668" s="7" t="inlineStr">
        <x:is>
          <x:t xml:space="preserve">P202612-0667</x:t>
        </x:is>
      </x:c>
      <x:c r="B668" s="7" t="n">
        <x:v>2026</x:v>
      </x:c>
      <x:c r="C668" s="7" t="inlineStr">
        <x:is>
          <x:t xml:space="preserve">Dec</x:t>
        </x:is>
      </x:c>
      <x:c r="D668" s="7" t="inlineStr">
        <x:is>
          <x:t xml:space="preserve">MCS07</x:t>
        </x:is>
      </x:c>
      <x:c r="E668" s="6" t="inlineStr">
        <x:is>
          <x:t xml:space="preserve">Mitigation of business risks - Security</x:t>
        </x:is>
      </x:c>
      <x:c r="F668" s="6" t="inlineStr">
        <x:is>
          <x:t xml:space="preserve">Olamide Ayo-Ogunlade Obinna Ojimba</x:t>
        </x:is>
      </x:c>
      <x:c r="G668" s="6" t="inlineStr">
        <x:is>
          <x:t xml:space="preserve"/>
        </x:is>
      </x:c>
      <x:c r="H668" s="7" t="inlineStr">
        <x:is>
          <x:t xml:space="preserve">Operating Effectiveness</x:t>
        </x:is>
      </x:c>
      <x:c r="I668" s="7" t="inlineStr">
        <x:is>
          <x:t xml:space="preserve"/>
        </x:is>
      </x:c>
      <x:c r="J668" s="8" t="n">
        <x:v>46371</x:v>
      </x:c>
      <x:c r="K668" s="7" t="inlineStr">
        <x:is>
          <x:t xml:space="preserve">Not Started</x:t>
        </x:is>
      </x:c>
      <x:c r="L668" s="7" t="inlineStr">
        <x:is>
          <x:t xml:space="preserve"/>
        </x:is>
      </x:c>
      <x:c r="M668" s="6" t="inlineStr">
        <x:is>
          <x:t xml:space="preserve"/>
        </x:is>
      </x:c>
    </x:row>
    <x:row r="669" ht="35" customHeight="1">
      <x:c r="A669" s="7" t="inlineStr">
        <x:is>
          <x:t xml:space="preserve">P202612-0668</x:t>
        </x:is>
      </x:c>
      <x:c r="B669" s="7" t="n">
        <x:v>2026</x:v>
      </x:c>
      <x:c r="C669" s="7" t="inlineStr">
        <x:is>
          <x:t xml:space="preserve">Dec</x:t>
        </x:is>
      </x:c>
      <x:c r="D669" s="7" t="inlineStr">
        <x:is>
          <x:t xml:space="preserve">MCS08</x:t>
        </x:is>
      </x:c>
      <x:c r="E669" s="6" t="inlineStr">
        <x:is>
          <x:t xml:space="preserve">Mitigation of business risks - Group insurance</x:t>
        </x:is>
      </x:c>
      <x:c r="F669" s="6" t="inlineStr">
        <x:is>
          <x:t xml:space="preserve">Victory Olumuyiwa</x:t>
        </x:is>
      </x:c>
      <x:c r="G669" s="6" t="inlineStr">
        <x:is>
          <x:t xml:space="preserve"/>
        </x:is>
      </x:c>
      <x:c r="H669" s="7" t="inlineStr">
        <x:is>
          <x:t xml:space="preserve">Operating Effectiveness</x:t>
        </x:is>
      </x:c>
      <x:c r="I669" s="7" t="inlineStr">
        <x:is>
          <x:t xml:space="preserve"/>
        </x:is>
      </x:c>
      <x:c r="J669" s="8" t="n">
        <x:v>46371</x:v>
      </x:c>
      <x:c r="K669" s="7" t="inlineStr">
        <x:is>
          <x:t xml:space="preserve">Not Started</x:t>
        </x:is>
      </x:c>
      <x:c r="L669" s="7" t="inlineStr">
        <x:is>
          <x:t xml:space="preserve"/>
        </x:is>
      </x:c>
      <x:c r="M669" s="6" t="inlineStr">
        <x:is>
          <x:t xml:space="preserve"/>
        </x:is>
      </x:c>
    </x:row>
    <x:row r="670" ht="35" customHeight="1">
      <x:c r="A670" s="7" t="inlineStr">
        <x:is>
          <x:t xml:space="preserve">P202612-0669</x:t>
        </x:is>
      </x:c>
      <x:c r="B670" s="7" t="n">
        <x:v>2026</x:v>
      </x:c>
      <x:c r="C670" s="7" t="inlineStr">
        <x:is>
          <x:t xml:space="preserve">Dec</x:t>
        </x:is>
      </x:c>
      <x:c r="D670" s="7" t="inlineStr">
        <x:is>
          <x:t xml:space="preserve">MCS09</x:t>
        </x:is>
      </x:c>
      <x:c r="E670" s="6" t="inlineStr">
        <x:is>
          <x:t xml:space="preserve">Mitigation of business risks - Business Resilience System</x:t>
        </x:is>
      </x:c>
      <x:c r="F670" s="6" t="inlineStr">
        <x:is>
          <x:t xml:space="preserve">Oluwaseun Oyedepo</x:t>
        </x:is>
      </x:c>
      <x:c r="G670" s="6" t="inlineStr">
        <x:is>
          <x:t xml:space="preserve"/>
        </x:is>
      </x:c>
      <x:c r="H670" s="7" t="inlineStr">
        <x:is>
          <x:t xml:space="preserve">Operating Effectiveness</x:t>
        </x:is>
      </x:c>
      <x:c r="I670" s="7" t="inlineStr">
        <x:is>
          <x:t xml:space="preserve"/>
        </x:is>
      </x:c>
      <x:c r="J670" s="8" t="n">
        <x:v>46371</x:v>
      </x:c>
      <x:c r="K670" s="7" t="inlineStr">
        <x:is>
          <x:t xml:space="preserve">Not Started</x:t>
        </x:is>
      </x:c>
      <x:c r="L670" s="7" t="inlineStr">
        <x:is>
          <x:t xml:space="preserve"/>
        </x:is>
      </x:c>
      <x:c r="M670" s="6" t="inlineStr">
        <x:is>
          <x:t xml:space="preserve"/>
        </x:is>
      </x:c>
    </x:row>
    <x:row r="671" ht="35" customHeight="1">
      <x:c r="A671" s="7" t="inlineStr">
        <x:is>
          <x:t xml:space="preserve">P202612-0670</x:t>
        </x:is>
      </x:c>
      <x:c r="B671" s="7" t="n">
        <x:v>2026</x:v>
      </x:c>
      <x:c r="C671" s="7" t="inlineStr">
        <x:is>
          <x:t xml:space="preserve">Dec</x:t>
        </x:is>
      </x:c>
      <x:c r="D671" s="7" t="inlineStr">
        <x:is>
          <x:t xml:space="preserve">MCS10</x:t>
        </x:is>
      </x:c>
      <x:c r="E671" s="6" t="inlineStr">
        <x:is>
          <x:t xml:space="preserve">Mitigation of business risks - Remediation of deficiencies and non-compliance with MCS</x:t>
        </x:is>
      </x:c>
      <x:c r="F671" s="6" t="inlineStr">
        <x:is>
          <x:t xml:space="preserve">Oluwaseun Oyedepo</x:t>
        </x:is>
      </x:c>
      <x:c r="G671" s="6" t="inlineStr">
        <x:is>
          <x:t xml:space="preserve"/>
        </x:is>
      </x:c>
      <x:c r="H671" s="7" t="inlineStr">
        <x:is>
          <x:t xml:space="preserve">Operating Effectiveness</x:t>
        </x:is>
      </x:c>
      <x:c r="I671" s="7" t="inlineStr">
        <x:is>
          <x:t xml:space="preserve"/>
        </x:is>
      </x:c>
      <x:c r="J671" s="8" t="n">
        <x:v>46371</x:v>
      </x:c>
      <x:c r="K671" s="7" t="inlineStr">
        <x:is>
          <x:t xml:space="preserve">Not Started</x:t>
        </x:is>
      </x:c>
      <x:c r="L671" s="7" t="inlineStr">
        <x:is>
          <x:t xml:space="preserve"/>
        </x:is>
      </x:c>
      <x:c r="M671" s="6" t="inlineStr">
        <x:is>
          <x:t xml:space="preserve"/>
        </x:is>
      </x:c>
    </x:row>
    <x:row r="672" ht="35" customHeight="1">
      <x:c r="A672" s="7" t="inlineStr">
        <x:is>
          <x:t xml:space="preserve">P202612-0671</x:t>
        </x:is>
      </x:c>
      <x:c r="B672" s="7" t="n">
        <x:v>2026</x:v>
      </x:c>
      <x:c r="C672" s="7" t="inlineStr">
        <x:is>
          <x:t xml:space="preserve">Dec</x:t>
        </x:is>
      </x:c>
      <x:c r="D672" s="7" t="inlineStr">
        <x:is>
          <x:t xml:space="preserve">MCS11</x:t>
        </x:is>
      </x:c>
      <x:c r="E672" s="6" t="inlineStr">
        <x:is>
          <x:t xml:space="preserve">Personal data protection</x:t>
        </x:is>
      </x:c>
      <x:c r="F672" s="6" t="inlineStr">
        <x:is>
          <x:t xml:space="preserve">Olamide Ayo-Ogunlade @</x:t>
        </x:is>
      </x:c>
      <x:c r="G672" s="6" t="inlineStr">
        <x:is>
          <x:t xml:space="preserve"/>
        </x:is>
      </x:c>
      <x:c r="H672" s="7" t="inlineStr">
        <x:is>
          <x:t xml:space="preserve">Operating Effectiveness</x:t>
        </x:is>
      </x:c>
      <x:c r="I672" s="7" t="inlineStr">
        <x:is>
          <x:t xml:space="preserve"/>
        </x:is>
      </x:c>
      <x:c r="J672" s="8" t="n">
        <x:v>46371</x:v>
      </x:c>
      <x:c r="K672" s="7" t="inlineStr">
        <x:is>
          <x:t xml:space="preserve">Not Started</x:t>
        </x:is>
      </x:c>
      <x:c r="L672" s="7" t="inlineStr">
        <x:is>
          <x:t xml:space="preserve"/>
        </x:is>
      </x:c>
      <x:c r="M672" s="6" t="inlineStr">
        <x:is>
          <x:t xml:space="preserve"/>
        </x:is>
      </x:c>
    </x:row>
    <x:row r="673" ht="35" customHeight="1">
      <x:c r="A673" s="7" t="inlineStr">
        <x:is>
          <x:t xml:space="preserve">P202612-0672</x:t>
        </x:is>
      </x:c>
      <x:c r="B673" s="7" t="n">
        <x:v>2026</x:v>
      </x:c>
      <x:c r="C673" s="7" t="inlineStr">
        <x:is>
          <x:t xml:space="preserve">Dec</x:t>
        </x:is>
      </x:c>
      <x:c r="D673" s="7" t="inlineStr">
        <x:is>
          <x:t xml:space="preserve">MCS12</x:t>
        </x:is>
      </x:c>
      <x:c r="E673" s="6" t="inlineStr">
        <x:is>
          <x:t xml:space="preserve">Segregation of duties and user access review</x:t>
        </x:is>
      </x:c>
      <x:c r="F673" s="6" t="inlineStr">
        <x:is>
          <x:t xml:space="preserve">Theophilus Okolie</x:t>
        </x:is>
      </x:c>
      <x:c r="G673" s="6" t="inlineStr">
        <x:is>
          <x:t xml:space="preserve"/>
        </x:is>
      </x:c>
      <x:c r="H673" s="7" t="inlineStr">
        <x:is>
          <x:t xml:space="preserve">Operating Effectiveness</x:t>
        </x:is>
      </x:c>
      <x:c r="I673" s="7" t="inlineStr">
        <x:is>
          <x:t xml:space="preserve"/>
        </x:is>
      </x:c>
      <x:c r="J673" s="8" t="n">
        <x:v>46371</x:v>
      </x:c>
      <x:c r="K673" s="7" t="inlineStr">
        <x:is>
          <x:t xml:space="preserve">Not Started</x:t>
        </x:is>
      </x:c>
      <x:c r="L673" s="7" t="inlineStr">
        <x:is>
          <x:t xml:space="preserve"/>
        </x:is>
      </x:c>
      <x:c r="M673" s="6" t="inlineStr">
        <x:is>
          <x:t xml:space="preserve"/>
        </x:is>
      </x:c>
    </x:row>
    <x:row r="674" ht="35" customHeight="1">
      <x:c r="A674" s="7" t="inlineStr">
        <x:is>
          <x:t xml:space="preserve">P202612-0673</x:t>
        </x:is>
      </x:c>
      <x:c r="B674" s="7" t="n">
        <x:v>2026</x:v>
      </x:c>
      <x:c r="C674" s="7" t="inlineStr">
        <x:is>
          <x:t xml:space="preserve">Dec</x:t>
        </x:is>
      </x:c>
      <x:c r="D674" s="7" t="inlineStr">
        <x:is>
          <x:t xml:space="preserve">MCS13</x:t>
        </x:is>
      </x:c>
      <x:c r="E674" s="6" t="inlineStr">
        <x:is>
          <x:t xml:space="preserve">Delegation of authorities and approval workflows</x:t>
        </x:is>
      </x:c>
      <x:c r="F674" s="6" t="inlineStr">
        <x:is>
          <x:t xml:space="preserve">Ramakant Patil</x:t>
        </x:is>
      </x:c>
      <x:c r="G674" s="6" t="inlineStr">
        <x:is>
          <x:t xml:space="preserve"/>
        </x:is>
      </x:c>
      <x:c r="H674" s="7" t="inlineStr">
        <x:is>
          <x:t xml:space="preserve">Operating Effectiveness</x:t>
        </x:is>
      </x:c>
      <x:c r="I674" s="7" t="inlineStr">
        <x:is>
          <x:t xml:space="preserve"/>
        </x:is>
      </x:c>
      <x:c r="J674" s="8" t="n">
        <x:v>46371</x:v>
      </x:c>
      <x:c r="K674" s="7" t="inlineStr">
        <x:is>
          <x:t xml:space="preserve">Not Started</x:t>
        </x:is>
      </x:c>
      <x:c r="L674" s="7" t="inlineStr">
        <x:is>
          <x:t xml:space="preserve"/>
        </x:is>
      </x:c>
      <x:c r="M674" s="6" t="inlineStr">
        <x:is>
          <x:t xml:space="preserve"/>
        </x:is>
      </x:c>
    </x:row>
    <x:row r="675" ht="35" customHeight="1">
      <x:c r="A675" s="7" t="inlineStr">
        <x:is>
          <x:t xml:space="preserve">P202612-0674</x:t>
        </x:is>
      </x:c>
      <x:c r="B675" s="7" t="n">
        <x:v>2026</x:v>
      </x:c>
      <x:c r="C675" s="7" t="inlineStr">
        <x:is>
          <x:t xml:space="preserve">Dec</x:t>
        </x:is>
      </x:c>
      <x:c r="D675" s="7" t="inlineStr">
        <x:is>
          <x:t xml:space="preserve">MCS14</x:t>
        </x:is>
      </x:c>
      <x:c r="E675" s="6" t="inlineStr">
        <x:is>
          <x:t xml:space="preserve">Litigation disputes</x:t>
        </x:is>
      </x:c>
      <x:c r="F675" s="6" t="inlineStr">
        <x:is>
          <x:t xml:space="preserve">Mary Waititu</x:t>
        </x:is>
      </x:c>
      <x:c r="G675" s="6" t="inlineStr">
        <x:is>
          <x:t xml:space="preserve"/>
        </x:is>
      </x:c>
      <x:c r="H675" s="7" t="inlineStr">
        <x:is>
          <x:t xml:space="preserve">Operating Effectiveness</x:t>
        </x:is>
      </x:c>
      <x:c r="I675" s="7" t="inlineStr">
        <x:is>
          <x:t xml:space="preserve"/>
        </x:is>
      </x:c>
      <x:c r="J675" s="8" t="n">
        <x:v>46371</x:v>
      </x:c>
      <x:c r="K675" s="7" t="inlineStr">
        <x:is>
          <x:t xml:space="preserve">Not Started</x:t>
        </x:is>
      </x:c>
      <x:c r="L675" s="7" t="inlineStr">
        <x:is>
          <x:t xml:space="preserve"/>
        </x:is>
      </x:c>
      <x:c r="M675" s="6" t="inlineStr">
        <x:is>
          <x:t xml:space="preserve"/>
        </x:is>
      </x:c>
    </x:row>
    <x:row r="676" ht="35" customHeight="1">
      <x:c r="A676" s="7" t="inlineStr">
        <x:is>
          <x:t xml:space="preserve">P202612-0675</x:t>
        </x:is>
      </x:c>
      <x:c r="B676" s="7" t="n">
        <x:v>2026</x:v>
      </x:c>
      <x:c r="C676" s="7" t="inlineStr">
        <x:is>
          <x:t xml:space="preserve">Dec</x:t>
        </x:is>
      </x:c>
      <x:c r="D676" s="7" t="inlineStr">
        <x:is>
          <x:t xml:space="preserve">MCS15</x:t>
        </x:is>
      </x:c>
      <x:c r="E676" s="6" t="inlineStr">
        <x:is>
          <x:t xml:space="preserve">Review of contracts by finance</x:t>
        </x:is>
      </x:c>
      <x:c r="F676" s="6" t="inlineStr">
        <x:is>
          <x:t xml:space="preserve">Ovie Itie</x:t>
        </x:is>
      </x:c>
      <x:c r="G676" s="6" t="inlineStr">
        <x:is>
          <x:t xml:space="preserve"/>
        </x:is>
      </x:c>
      <x:c r="H676" s="7" t="inlineStr">
        <x:is>
          <x:t xml:space="preserve">Operating Effectiveness</x:t>
        </x:is>
      </x:c>
      <x:c r="I676" s="7" t="inlineStr">
        <x:is>
          <x:t xml:space="preserve"/>
        </x:is>
      </x:c>
      <x:c r="J676" s="8" t="n">
        <x:v>46371</x:v>
      </x:c>
      <x:c r="K676" s="7" t="inlineStr">
        <x:is>
          <x:t xml:space="preserve">Not Started</x:t>
        </x:is>
      </x:c>
      <x:c r="L676" s="7" t="inlineStr">
        <x:is>
          <x:t xml:space="preserve"/>
        </x:is>
      </x:c>
      <x:c r="M676" s="6" t="inlineStr">
        <x:is>
          <x:t xml:space="preserve"/>
        </x:is>
      </x:c>
    </x:row>
    <x:row r="677" ht="35" customHeight="1">
      <x:c r="A677" s="7" t="inlineStr">
        <x:is>
          <x:t xml:space="preserve">P202612-0676</x:t>
        </x:is>
      </x:c>
      <x:c r="B677" s="7" t="n">
        <x:v>2026</x:v>
      </x:c>
      <x:c r="C677" s="7" t="inlineStr">
        <x:is>
          <x:t xml:space="preserve">Dec</x:t>
        </x:is>
      </x:c>
      <x:c r="D677" s="7" t="inlineStr">
        <x:is>
          <x:t xml:space="preserve">MCS16</x:t>
        </x:is>
      </x:c>
      <x:c r="E677" s="6" t="inlineStr">
        <x:is>
          <x:t xml:space="preserve">Management of titles and permits</x:t>
        </x:is>
      </x:c>
      <x:c r="F677" s="6" t="n"/>
      <x:c r="G677" s="6" t="inlineStr">
        <x:is>
          <x:t xml:space="preserve"/>
        </x:is>
      </x:c>
      <x:c r="H677" s="7" t="inlineStr">
        <x:is>
          <x:t xml:space="preserve">Operating Effectiveness</x:t>
        </x:is>
      </x:c>
      <x:c r="I677" s="7" t="inlineStr">
        <x:is>
          <x:t xml:space="preserve"/>
        </x:is>
      </x:c>
      <x:c r="J677" s="8" t="n">
        <x:v>46371</x:v>
      </x:c>
      <x:c r="K677" s="7" t="inlineStr">
        <x:is>
          <x:t xml:space="preserve">Not Started</x:t>
        </x:is>
      </x:c>
      <x:c r="L677" s="7" t="inlineStr">
        <x:is>
          <x:t xml:space="preserve"/>
        </x:is>
      </x:c>
      <x:c r="M677" s="6" t="inlineStr">
        <x:is>
          <x:t xml:space="preserve"/>
        </x:is>
      </x:c>
    </x:row>
    <x:row r="678" ht="35" customHeight="1">
      <x:c r="A678" s="7" t="inlineStr">
        <x:is>
          <x:t xml:space="preserve">P202612-0677</x:t>
        </x:is>
      </x:c>
      <x:c r="B678" s="7" t="n">
        <x:v>2026</x:v>
      </x:c>
      <x:c r="C678" s="7" t="inlineStr">
        <x:is>
          <x:t xml:space="preserve">Dec</x:t>
        </x:is>
      </x:c>
      <x:c r="D678" s="7" t="inlineStr">
        <x:is>
          <x:t xml:space="preserve">MCS18</x:t>
        </x:is>
      </x:c>
      <x:c r="E678" s="6" t="inlineStr">
        <x:is>
          <x:t xml:space="preserve">Classification and depreciation of property, plant &amp; equipment</x:t>
        </x:is>
      </x:c>
      <x:c r="F678" s="6" t="n"/>
      <x:c r="G678" s="6" t="inlineStr">
        <x:is>
          <x:t xml:space="preserve"/>
        </x:is>
      </x:c>
      <x:c r="H678" s="7" t="inlineStr">
        <x:is>
          <x:t xml:space="preserve">Operating Effectiveness</x:t>
        </x:is>
      </x:c>
      <x:c r="I678" s="7" t="inlineStr">
        <x:is>
          <x:t xml:space="preserve"/>
        </x:is>
      </x:c>
      <x:c r="J678" s="8" t="n">
        <x:v>46371</x:v>
      </x:c>
      <x:c r="K678" s="7" t="inlineStr">
        <x:is>
          <x:t xml:space="preserve">Not Started</x:t>
        </x:is>
      </x:c>
      <x:c r="L678" s="7" t="inlineStr">
        <x:is>
          <x:t xml:space="preserve"/>
        </x:is>
      </x:c>
      <x:c r="M678" s="6" t="inlineStr">
        <x:is>
          <x:t xml:space="preserve"/>
        </x:is>
      </x:c>
    </x:row>
    <x:row r="679" ht="35" customHeight="1">
      <x:c r="A679" s="7" t="inlineStr">
        <x:is>
          <x:t xml:space="preserve">P202612-0678</x:t>
        </x:is>
      </x:c>
      <x:c r="B679" s="7" t="n">
        <x:v>2026</x:v>
      </x:c>
      <x:c r="C679" s="7" t="inlineStr">
        <x:is>
          <x:t xml:space="preserve">Dec</x:t>
        </x:is>
      </x:c>
      <x:c r="D679" s="7" t="inlineStr">
        <x:is>
          <x:t xml:space="preserve">MCS19</x:t>
        </x:is>
      </x:c>
      <x:c r="E679" s="6" t="inlineStr">
        <x:is>
          <x:t xml:space="preserve">Physical verification of Fixed Asset</x:t>
        </x:is>
      </x:c>
      <x:c r="F679" s="6" t="n"/>
      <x:c r="G679" s="6" t="inlineStr">
        <x:is>
          <x:t xml:space="preserve"/>
        </x:is>
      </x:c>
      <x:c r="H679" s="7" t="inlineStr">
        <x:is>
          <x:t xml:space="preserve">Operating Effectiveness</x:t>
        </x:is>
      </x:c>
      <x:c r="I679" s="7" t="inlineStr">
        <x:is>
          <x:t xml:space="preserve"/>
        </x:is>
      </x:c>
      <x:c r="J679" s="8" t="n">
        <x:v>46371</x:v>
      </x:c>
      <x:c r="K679" s="7" t="inlineStr">
        <x:is>
          <x:t xml:space="preserve">Not Started</x:t>
        </x:is>
      </x:c>
      <x:c r="L679" s="7" t="inlineStr">
        <x:is>
          <x:t xml:space="preserve"/>
        </x:is>
      </x:c>
      <x:c r="M679" s="6" t="inlineStr">
        <x:is>
          <x:t xml:space="preserve"/>
        </x:is>
      </x:c>
    </x:row>
    <x:row r="680" ht="35" customHeight="1">
      <x:c r="A680" s="7" t="inlineStr">
        <x:is>
          <x:t xml:space="preserve">P202612-0679</x:t>
        </x:is>
      </x:c>
      <x:c r="B680" s="7" t="n">
        <x:v>2026</x:v>
      </x:c>
      <x:c r="C680" s="7" t="inlineStr">
        <x:is>
          <x:t xml:space="preserve">Dec</x:t>
        </x:is>
      </x:c>
      <x:c r="D680" s="7" t="inlineStr">
        <x:is>
          <x:t xml:space="preserve">MCS20</x:t>
        </x:is>
      </x:c>
      <x:c r="E680" s="6" t="inlineStr">
        <x:is>
          <x:t xml:space="preserve">Management of customer and inventory master data</x:t>
        </x:is>
      </x:c>
      <x:c r="F680" s="6" t="inlineStr">
        <x:is>
          <x:t xml:space="preserve">Yomi Jegede</x:t>
        </x:is>
      </x:c>
      <x:c r="G680" s="6" t="inlineStr">
        <x:is>
          <x:t xml:space="preserve"/>
        </x:is>
      </x:c>
      <x:c r="H680" s="7" t="inlineStr">
        <x:is>
          <x:t xml:space="preserve">Operating Effectiveness</x:t>
        </x:is>
      </x:c>
      <x:c r="I680" s="7" t="inlineStr">
        <x:is>
          <x:t xml:space="preserve"/>
        </x:is>
      </x:c>
      <x:c r="J680" s="8" t="n">
        <x:v>46371</x:v>
      </x:c>
      <x:c r="K680" s="7" t="inlineStr">
        <x:is>
          <x:t xml:space="preserve">Not Started</x:t>
        </x:is>
      </x:c>
      <x:c r="L680" s="7" t="inlineStr">
        <x:is>
          <x:t xml:space="preserve"/>
        </x:is>
      </x:c>
      <x:c r="M680" s="6" t="inlineStr">
        <x:is>
          <x:t xml:space="preserve"/>
        </x:is>
      </x:c>
    </x:row>
    <x:row r="681" ht="35" customHeight="1">
      <x:c r="A681" s="7" t="inlineStr">
        <x:is>
          <x:t xml:space="preserve">P202612-0680</x:t>
        </x:is>
      </x:c>
      <x:c r="B681" s="7" t="n">
        <x:v>2026</x:v>
      </x:c>
      <x:c r="C681" s="7" t="inlineStr">
        <x:is>
          <x:t xml:space="preserve">Dec</x:t>
        </x:is>
      </x:c>
      <x:c r="D681" s="7" t="inlineStr">
        <x:is>
          <x:t xml:space="preserve">MCS21</x:t>
        </x:is>
      </x:c>
      <x:c r="E681" s="6" t="inlineStr">
        <x:is>
          <x:t xml:space="preserve">Price management</x:t>
        </x:is>
      </x:c>
      <x:c r="F681" s="6" t="n"/>
      <x:c r="G681" s="6" t="inlineStr">
        <x:is>
          <x:t xml:space="preserve"/>
        </x:is>
      </x:c>
      <x:c r="H681" s="7" t="inlineStr">
        <x:is>
          <x:t xml:space="preserve">Operating Effectiveness</x:t>
        </x:is>
      </x:c>
      <x:c r="I681" s="7" t="inlineStr">
        <x:is>
          <x:t xml:space="preserve"/>
        </x:is>
      </x:c>
      <x:c r="J681" s="8" t="n">
        <x:v>46371</x:v>
      </x:c>
      <x:c r="K681" s="7" t="inlineStr">
        <x:is>
          <x:t xml:space="preserve">Not Started</x:t>
        </x:is>
      </x:c>
      <x:c r="L681" s="7" t="inlineStr">
        <x:is>
          <x:t xml:space="preserve"/>
        </x:is>
      </x:c>
      <x:c r="M681" s="6" t="inlineStr">
        <x:is>
          <x:t xml:space="preserve"/>
        </x:is>
      </x:c>
    </x:row>
    <x:row r="682" ht="35" customHeight="1">
      <x:c r="A682" s="7" t="inlineStr">
        <x:is>
          <x:t xml:space="preserve">P202612-0681</x:t>
        </x:is>
      </x:c>
      <x:c r="B682" s="7" t="n">
        <x:v>2026</x:v>
      </x:c>
      <x:c r="C682" s="7" t="inlineStr">
        <x:is>
          <x:t xml:space="preserve">Dec</x:t>
        </x:is>
      </x:c>
      <x:c r="D682" s="7" t="inlineStr">
        <x:is>
          <x:t xml:space="preserve">MCS22.1</x:t>
        </x:is>
      </x:c>
      <x:c r="E682" s="6" t="inlineStr">
        <x:is>
          <x:t xml:space="preserve">Control of customer credit limits - Easybuy</x:t>
        </x:is>
      </x:c>
      <x:c r="F682" s="6" t="inlineStr">
        <x:is>
          <x:t xml:space="preserve">Omoyemi Tuga Ogunsanmi Opeyemi Listbon</x:t>
        </x:is>
      </x:c>
      <x:c r="G682" s="6" t="inlineStr">
        <x:is>
          <x:t xml:space="preserve"/>
        </x:is>
      </x:c>
      <x:c r="H682" s="7" t="inlineStr">
        <x:is>
          <x:t xml:space="preserve">Operating Effectiveness</x:t>
        </x:is>
      </x:c>
      <x:c r="I682" s="7" t="inlineStr">
        <x:is>
          <x:t xml:space="preserve"/>
        </x:is>
      </x:c>
      <x:c r="J682" s="8" t="n">
        <x:v>46371</x:v>
      </x:c>
      <x:c r="K682" s="7" t="inlineStr">
        <x:is>
          <x:t xml:space="preserve">Not Started</x:t>
        </x:is>
      </x:c>
      <x:c r="L682" s="7" t="inlineStr">
        <x:is>
          <x:t xml:space="preserve"/>
        </x:is>
      </x:c>
      <x:c r="M682" s="6" t="inlineStr">
        <x:is>
          <x:t xml:space="preserve"/>
        </x:is>
      </x:c>
    </x:row>
    <x:row r="683" ht="35" customHeight="1">
      <x:c r="A683" s="7" t="inlineStr">
        <x:is>
          <x:t xml:space="preserve">P202612-0682</x:t>
        </x:is>
      </x:c>
      <x:c r="B683" s="7" t="n">
        <x:v>2026</x:v>
      </x:c>
      <x:c r="C683" s="7" t="inlineStr">
        <x:is>
          <x:t xml:space="preserve">Dec</x:t>
        </x:is>
      </x:c>
      <x:c r="D683" s="7" t="inlineStr">
        <x:is>
          <x:t xml:space="preserve">MCS22.2</x:t>
        </x:is>
      </x:c>
      <x:c r="E683" s="6" t="inlineStr">
        <x:is>
          <x:t xml:space="preserve">Control of customer credit limits - Partnership</x:t>
        </x:is>
      </x:c>
      <x:c r="F683" s="6" t="inlineStr">
        <x:is>
          <x:t xml:space="preserve">Eno Umoh Ameh Bright Agbo</x:t>
        </x:is>
      </x:c>
      <x:c r="G683" s="6" t="inlineStr">
        <x:is>
          <x:t xml:space="preserve"/>
        </x:is>
      </x:c>
      <x:c r="H683" s="7" t="inlineStr">
        <x:is>
          <x:t xml:space="preserve">Operating Effectiveness</x:t>
        </x:is>
      </x:c>
      <x:c r="I683" s="7" t="inlineStr">
        <x:is>
          <x:t xml:space="preserve"/>
        </x:is>
      </x:c>
      <x:c r="J683" s="8" t="n">
        <x:v>46371</x:v>
      </x:c>
      <x:c r="K683" s="7" t="inlineStr">
        <x:is>
          <x:t xml:space="preserve">Not Started</x:t>
        </x:is>
      </x:c>
      <x:c r="L683" s="7" t="inlineStr">
        <x:is>
          <x:t xml:space="preserve"/>
        </x:is>
      </x:c>
      <x:c r="M683" s="6" t="inlineStr">
        <x:is>
          <x:t xml:space="preserve"/>
        </x:is>
      </x:c>
    </x:row>
    <x:row r="684" ht="35" customHeight="1">
      <x:c r="A684" s="7" t="inlineStr">
        <x:is>
          <x:t xml:space="preserve">P202612-0683</x:t>
        </x:is>
      </x:c>
      <x:c r="B684" s="7" t="n">
        <x:v>2026</x:v>
      </x:c>
      <x:c r="C684" s="7" t="inlineStr">
        <x:is>
          <x:t xml:space="preserve">Dec</x:t>
        </x:is>
      </x:c>
      <x:c r="D684" s="7" t="inlineStr">
        <x:is>
          <x:t xml:space="preserve">MCS23</x:t>
        </x:is>
      </x:c>
      <x:c r="E684" s="6" t="inlineStr">
        <x:is>
          <x:t xml:space="preserve">Invoicing </x:t>
        </x:is>
      </x:c>
      <x:c r="F684" s="6" t="inlineStr">
        <x:is>
          <x:t xml:space="preserve">Ramakant Patil</x:t>
        </x:is>
      </x:c>
      <x:c r="G684" s="6" t="inlineStr">
        <x:is>
          <x:t xml:space="preserve"/>
        </x:is>
      </x:c>
      <x:c r="H684" s="7" t="inlineStr">
        <x:is>
          <x:t xml:space="preserve">Operating Effectiveness</x:t>
        </x:is>
      </x:c>
      <x:c r="I684" s="7" t="inlineStr">
        <x:is>
          <x:t xml:space="preserve"/>
        </x:is>
      </x:c>
      <x:c r="J684" s="8" t="n">
        <x:v>46371</x:v>
      </x:c>
      <x:c r="K684" s="7" t="inlineStr">
        <x:is>
          <x:t xml:space="preserve">Not Started</x:t>
        </x:is>
      </x:c>
      <x:c r="L684" s="7" t="inlineStr">
        <x:is>
          <x:t xml:space="preserve"/>
        </x:is>
      </x:c>
      <x:c r="M684" s="6" t="inlineStr">
        <x:is>
          <x:t xml:space="preserve"/>
        </x:is>
      </x:c>
    </x:row>
    <x:row r="685" ht="35" customHeight="1">
      <x:c r="A685" s="7" t="inlineStr">
        <x:is>
          <x:t xml:space="preserve">P202612-0684</x:t>
        </x:is>
      </x:c>
      <x:c r="B685" s="7" t="n">
        <x:v>2026</x:v>
      </x:c>
      <x:c r="C685" s="7" t="inlineStr">
        <x:is>
          <x:t xml:space="preserve">Dec</x:t>
        </x:is>
      </x:c>
      <x:c r="D685" s="7" t="inlineStr">
        <x:is>
          <x:t xml:space="preserve">MCS24</x:t>
        </x:is>
      </x:c>
      <x:c r="E685" s="6" t="inlineStr">
        <x:is>
          <x:t xml:space="preserve">Accounts receivable valuation</x:t>
        </x:is>
      </x:c>
      <x:c r="F685" s="6" t="inlineStr">
        <x:is>
          <x:t xml:space="preserve">Zainab Yunusah Saadu</x:t>
        </x:is>
      </x:c>
      <x:c r="G685" s="6" t="inlineStr">
        <x:is>
          <x:t xml:space="preserve"/>
        </x:is>
      </x:c>
      <x:c r="H685" s="7" t="inlineStr">
        <x:is>
          <x:t xml:space="preserve">Operating Effectiveness</x:t>
        </x:is>
      </x:c>
      <x:c r="I685" s="7" t="inlineStr">
        <x:is>
          <x:t xml:space="preserve"/>
        </x:is>
      </x:c>
      <x:c r="J685" s="8" t="n">
        <x:v>46371</x:v>
      </x:c>
      <x:c r="K685" s="7" t="inlineStr">
        <x:is>
          <x:t xml:space="preserve">Not Started</x:t>
        </x:is>
      </x:c>
      <x:c r="L685" s="7" t="inlineStr">
        <x:is>
          <x:t xml:space="preserve"/>
        </x:is>
      </x:c>
      <x:c r="M685" s="6" t="inlineStr">
        <x:is>
          <x:t xml:space="preserve"/>
        </x:is>
      </x:c>
    </x:row>
    <x:row r="686" ht="35" customHeight="1">
      <x:c r="A686" s="7" t="inlineStr">
        <x:is>
          <x:t xml:space="preserve">P202612-0685</x:t>
        </x:is>
      </x:c>
      <x:c r="B686" s="7" t="n">
        <x:v>2026</x:v>
      </x:c>
      <x:c r="C686" s="7" t="inlineStr">
        <x:is>
          <x:t xml:space="preserve">Dec</x:t>
        </x:is>
      </x:c>
      <x:c r="D686" s="7" t="inlineStr">
        <x:is>
          <x:t xml:space="preserve">MCS25</x:t>
        </x:is>
      </x:c>
      <x:c r="E686" s="6" t="inlineStr">
        <x:is>
          <x:t xml:space="preserve">Execution of onboarding, offboarding, master data management and transfers of workers</x:t>
        </x:is>
      </x:c>
      <x:c r="F686" s="6" t="n"/>
      <x:c r="G686" s="6" t="inlineStr">
        <x:is>
          <x:t xml:space="preserve"/>
        </x:is>
      </x:c>
      <x:c r="H686" s="7" t="inlineStr">
        <x:is>
          <x:t xml:space="preserve">Operating Effectiveness</x:t>
        </x:is>
      </x:c>
      <x:c r="I686" s="7" t="inlineStr">
        <x:is>
          <x:t xml:space="preserve"/>
        </x:is>
      </x:c>
      <x:c r="J686" s="8" t="n">
        <x:v>46371</x:v>
      </x:c>
      <x:c r="K686" s="7" t="inlineStr">
        <x:is>
          <x:t xml:space="preserve">Not Started</x:t>
        </x:is>
      </x:c>
      <x:c r="L686" s="7" t="inlineStr">
        <x:is>
          <x:t xml:space="preserve"/>
        </x:is>
      </x:c>
      <x:c r="M686" s="6" t="inlineStr">
        <x:is>
          <x:t xml:space="preserve"/>
        </x:is>
      </x:c>
    </x:row>
    <x:row r="687" ht="35" customHeight="1">
      <x:c r="A687" s="7" t="inlineStr">
        <x:is>
          <x:t xml:space="preserve">P202612-0686</x:t>
        </x:is>
      </x:c>
      <x:c r="B687" s="7" t="n">
        <x:v>2026</x:v>
      </x:c>
      <x:c r="C687" s="7" t="inlineStr">
        <x:is>
          <x:t xml:space="preserve">Dec</x:t>
        </x:is>
      </x:c>
      <x:c r="D687" s="7" t="inlineStr">
        <x:is>
          <x:t xml:space="preserve">MCS26</x:t>
        </x:is>
      </x:c>
      <x:c r="E687" s="6" t="inlineStr">
        <x:is>
          <x:t xml:space="preserve">Payroll</x:t>
        </x:is>
      </x:c>
      <x:c r="F687" s="6" t="inlineStr">
        <x:is>
          <x:t xml:space="preserve">Olamide Ayo-Ogunlade Oluwatosin Ogunsekan</x:t>
        </x:is>
      </x:c>
      <x:c r="G687" s="6" t="inlineStr">
        <x:is>
          <x:t xml:space="preserve"/>
        </x:is>
      </x:c>
      <x:c r="H687" s="7" t="inlineStr">
        <x:is>
          <x:t xml:space="preserve">Operating Effectiveness</x:t>
        </x:is>
      </x:c>
      <x:c r="I687" s="7" t="inlineStr">
        <x:is>
          <x:t xml:space="preserve"/>
        </x:is>
      </x:c>
      <x:c r="J687" s="8" t="n">
        <x:v>46371</x:v>
      </x:c>
      <x:c r="K687" s="7" t="inlineStr">
        <x:is>
          <x:t xml:space="preserve">Not Started</x:t>
        </x:is>
      </x:c>
      <x:c r="L687" s="7" t="inlineStr">
        <x:is>
          <x:t xml:space="preserve"/>
        </x:is>
      </x:c>
      <x:c r="M687" s="6" t="inlineStr">
        <x:is>
          <x:t xml:space="preserve"/>
        </x:is>
      </x:c>
    </x:row>
    <x:row r="688" ht="35" customHeight="1">
      <x:c r="A688" s="7" t="inlineStr">
        <x:is>
          <x:t xml:space="preserve">P202612-0687</x:t>
        </x:is>
      </x:c>
      <x:c r="B688" s="7" t="n">
        <x:v>2026</x:v>
      </x:c>
      <x:c r="C688" s="7" t="inlineStr">
        <x:is>
          <x:t xml:space="preserve">Dec</x:t>
        </x:is>
      </x:c>
      <x:c r="D688" s="7" t="inlineStr">
        <x:is>
          <x:t xml:space="preserve">MCS27</x:t>
        </x:is>
      </x:c>
      <x:c r="E688" s="6" t="inlineStr">
        <x:is>
          <x:t xml:space="preserve">Compliance with Labour law</x:t>
        </x:is>
      </x:c>
      <x:c r="F688" s="6" t="inlineStr">
        <x:is>
          <x:t xml:space="preserve">Olamide Ayo-Ogunlade Oluwatosin Ogunsekan</x:t>
        </x:is>
      </x:c>
      <x:c r="G688" s="6" t="inlineStr">
        <x:is>
          <x:t xml:space="preserve"/>
        </x:is>
      </x:c>
      <x:c r="H688" s="7" t="inlineStr">
        <x:is>
          <x:t xml:space="preserve">Operating Effectiveness</x:t>
        </x:is>
      </x:c>
      <x:c r="I688" s="7" t="inlineStr">
        <x:is>
          <x:t xml:space="preserve"/>
        </x:is>
      </x:c>
      <x:c r="J688" s="8" t="n">
        <x:v>46371</x:v>
      </x:c>
      <x:c r="K688" s="7" t="inlineStr">
        <x:is>
          <x:t xml:space="preserve">Not Started</x:t>
        </x:is>
      </x:c>
      <x:c r="L688" s="7" t="inlineStr">
        <x:is>
          <x:t xml:space="preserve"/>
        </x:is>
      </x:c>
      <x:c r="M688" s="6" t="inlineStr">
        <x:is>
          <x:t xml:space="preserve"/>
        </x:is>
      </x:c>
    </x:row>
    <x:row r="689" ht="35" customHeight="1">
      <x:c r="A689" s="7" t="inlineStr">
        <x:is>
          <x:t xml:space="preserve">P202612-0688</x:t>
        </x:is>
      </x:c>
      <x:c r="B689" s="7" t="n">
        <x:v>2026</x:v>
      </x:c>
      <x:c r="C689" s="7" t="inlineStr">
        <x:is>
          <x:t xml:space="preserve">Dec</x:t>
        </x:is>
      </x:c>
      <x:c r="D689" s="7" t="inlineStr">
        <x:is>
          <x:t xml:space="preserve">MCS28</x:t>
        </x:is>
      </x:c>
      <x:c r="E689" s="6" t="inlineStr">
        <x:is>
          <x:t xml:space="preserve">Employee pension and benefit plan</x:t>
        </x:is>
      </x:c>
      <x:c r="F689" s="6" t="inlineStr">
        <x:is>
          <x:t xml:space="preserve">Olamide Ayo-Ogunlade Oluwatosin Ogunsekan</x:t>
        </x:is>
      </x:c>
      <x:c r="G689" s="6" t="inlineStr">
        <x:is>
          <x:t xml:space="preserve"/>
        </x:is>
      </x:c>
      <x:c r="H689" s="7" t="inlineStr">
        <x:is>
          <x:t xml:space="preserve">Operating Effectiveness</x:t>
        </x:is>
      </x:c>
      <x:c r="I689" s="7" t="inlineStr">
        <x:is>
          <x:t xml:space="preserve"/>
        </x:is>
      </x:c>
      <x:c r="J689" s="8" t="n">
        <x:v>46371</x:v>
      </x:c>
      <x:c r="K689" s="7" t="inlineStr">
        <x:is>
          <x:t xml:space="preserve">Not Started</x:t>
        </x:is>
      </x:c>
      <x:c r="L689" s="7" t="inlineStr">
        <x:is>
          <x:t xml:space="preserve"/>
        </x:is>
      </x:c>
      <x:c r="M689" s="6" t="inlineStr">
        <x:is>
          <x:t xml:space="preserve"/>
        </x:is>
      </x:c>
    </x:row>
    <x:row r="690" ht="35" customHeight="1">
      <x:c r="A690" s="7" t="inlineStr">
        <x:is>
          <x:t xml:space="preserve">P202612-0689</x:t>
        </x:is>
      </x:c>
      <x:c r="B690" s="7" t="n">
        <x:v>2026</x:v>
      </x:c>
      <x:c r="C690" s="7" t="inlineStr">
        <x:is>
          <x:t xml:space="preserve">Dec</x:t>
        </x:is>
      </x:c>
      <x:c r="D690" s="7" t="inlineStr">
        <x:is>
          <x:t xml:space="preserve">MCS 29</x:t>
        </x:is>
      </x:c>
      <x:c r="E690" s="6" t="inlineStr">
        <x:is>
          <x:t xml:space="preserve">Management of supplier master data</x:t>
        </x:is>
      </x:c>
      <x:c r="F690" s="6" t="inlineStr">
        <x:is>
          <x:t xml:space="preserve">Ramakant Patil Zainab Yunusah Saadu</x:t>
        </x:is>
      </x:c>
      <x:c r="G690" s="6" t="inlineStr">
        <x:is>
          <x:t xml:space="preserve"/>
        </x:is>
      </x:c>
      <x:c r="H690" s="7" t="inlineStr">
        <x:is>
          <x:t xml:space="preserve">Operating Effectiveness</x:t>
        </x:is>
      </x:c>
      <x:c r="I690" s="7" t="inlineStr">
        <x:is>
          <x:t xml:space="preserve"/>
        </x:is>
      </x:c>
      <x:c r="J690" s="8" t="n">
        <x:v>46371</x:v>
      </x:c>
      <x:c r="K690" s="7" t="inlineStr">
        <x:is>
          <x:t xml:space="preserve">Not Started</x:t>
        </x:is>
      </x:c>
      <x:c r="L690" s="7" t="inlineStr">
        <x:is>
          <x:t xml:space="preserve"/>
        </x:is>
      </x:c>
      <x:c r="M690" s="6" t="inlineStr">
        <x:is>
          <x:t xml:space="preserve"/>
        </x:is>
      </x:c>
    </x:row>
    <x:row r="691" ht="35" customHeight="1">
      <x:c r="A691" s="7" t="inlineStr">
        <x:is>
          <x:t xml:space="preserve">P202612-0690</x:t>
        </x:is>
      </x:c>
      <x:c r="B691" s="7" t="n">
        <x:v>2026</x:v>
      </x:c>
      <x:c r="C691" s="7" t="inlineStr">
        <x:is>
          <x:t xml:space="preserve">Dec</x:t>
        </x:is>
      </x:c>
      <x:c r="D691" s="7" t="inlineStr">
        <x:is>
          <x:t xml:space="preserve">MCS30</x:t>
        </x:is>
      </x:c>
      <x:c r="E691" s="6" t="inlineStr">
        <x:is>
          <x:t xml:space="preserve">Vendor Registration and Performance Management</x:t>
        </x:is>
      </x:c>
      <x:c r="F691" s="6" t="inlineStr">
        <x:is>
          <x:t xml:space="preserve">Ramakant Patil Zainab Yunusah Saadu</x:t>
        </x:is>
      </x:c>
      <x:c r="G691" s="6" t="inlineStr">
        <x:is>
          <x:t xml:space="preserve"/>
        </x:is>
      </x:c>
      <x:c r="H691" s="7" t="inlineStr">
        <x:is>
          <x:t xml:space="preserve">Operating Effectiveness</x:t>
        </x:is>
      </x:c>
      <x:c r="I691" s="7" t="inlineStr">
        <x:is>
          <x:t xml:space="preserve"/>
        </x:is>
      </x:c>
      <x:c r="J691" s="8" t="n">
        <x:v>46371</x:v>
      </x:c>
      <x:c r="K691" s="7" t="inlineStr">
        <x:is>
          <x:t xml:space="preserve">Not Started</x:t>
        </x:is>
      </x:c>
      <x:c r="L691" s="7" t="inlineStr">
        <x:is>
          <x:t xml:space="preserve"/>
        </x:is>
      </x:c>
      <x:c r="M691" s="6" t="inlineStr">
        <x:is>
          <x:t xml:space="preserve"/>
        </x:is>
      </x:c>
    </x:row>
    <x:row r="692" ht="35" customHeight="1">
      <x:c r="A692" s="7" t="inlineStr">
        <x:is>
          <x:t xml:space="preserve">P202612-0691</x:t>
        </x:is>
      </x:c>
      <x:c r="B692" s="7" t="n">
        <x:v>2026</x:v>
      </x:c>
      <x:c r="C692" s="7" t="inlineStr">
        <x:is>
          <x:t xml:space="preserve">Dec</x:t>
        </x:is>
      </x:c>
      <x:c r="D692" s="7" t="inlineStr">
        <x:is>
          <x:t xml:space="preserve">MCS31</x:t>
        </x:is>
      </x:c>
      <x:c r="E692" s="6" t="inlineStr">
        <x:is>
          <x:t xml:space="preserve">Three-way match, two way match and direct vendor invoices</x:t>
        </x:is>
      </x:c>
      <x:c r="F692" s="6" t="inlineStr">
        <x:is>
          <x:t xml:space="preserve">Ramakant Patil Zainab Yunusah Saadu</x:t>
        </x:is>
      </x:c>
      <x:c r="G692" s="6" t="inlineStr">
        <x:is>
          <x:t xml:space="preserve"/>
        </x:is>
      </x:c>
      <x:c r="H692" s="7" t="inlineStr">
        <x:is>
          <x:t xml:space="preserve">Operating Effectiveness</x:t>
        </x:is>
      </x:c>
      <x:c r="I692" s="7" t="inlineStr">
        <x:is>
          <x:t xml:space="preserve"/>
        </x:is>
      </x:c>
      <x:c r="J692" s="8" t="n">
        <x:v>46371</x:v>
      </x:c>
      <x:c r="K692" s="7" t="inlineStr">
        <x:is>
          <x:t xml:space="preserve">Not Started</x:t>
        </x:is>
      </x:c>
      <x:c r="L692" s="7" t="inlineStr">
        <x:is>
          <x:t xml:space="preserve"/>
        </x:is>
      </x:c>
      <x:c r="M692" s="6" t="inlineStr">
        <x:is>
          <x:t xml:space="preserve"/>
        </x:is>
      </x:c>
    </x:row>
    <x:row r="693" ht="35" customHeight="1">
      <x:c r="A693" s="7" t="inlineStr">
        <x:is>
          <x:t xml:space="preserve">P202612-0692</x:t>
        </x:is>
      </x:c>
      <x:c r="B693" s="7" t="n">
        <x:v>2026</x:v>
      </x:c>
      <x:c r="C693" s="7" t="inlineStr">
        <x:is>
          <x:t xml:space="preserve">Dec</x:t>
        </x:is>
      </x:c>
      <x:c r="D693" s="7" t="inlineStr">
        <x:is>
          <x:t xml:space="preserve">MCS32</x:t>
        </x:is>
      </x:c>
      <x:c r="E693" s="6" t="inlineStr">
        <x:is>
          <x:t xml:space="preserve">Payment processing</x:t>
        </x:is>
      </x:c>
      <x:c r="F693" s="6" t="inlineStr">
        <x:is>
          <x:t xml:space="preserve">Ramakant Patil Zainab Yunusah Saadu</x:t>
        </x:is>
      </x:c>
      <x:c r="G693" s="6" t="inlineStr">
        <x:is>
          <x:t xml:space="preserve"/>
        </x:is>
      </x:c>
      <x:c r="H693" s="7" t="inlineStr">
        <x:is>
          <x:t xml:space="preserve">Operating Effectiveness</x:t>
        </x:is>
      </x:c>
      <x:c r="I693" s="7" t="inlineStr">
        <x:is>
          <x:t xml:space="preserve"/>
        </x:is>
      </x:c>
      <x:c r="J693" s="8" t="n">
        <x:v>46371</x:v>
      </x:c>
      <x:c r="K693" s="7" t="inlineStr">
        <x:is>
          <x:t xml:space="preserve">Not Started</x:t>
        </x:is>
      </x:c>
      <x:c r="L693" s="7" t="inlineStr">
        <x:is>
          <x:t xml:space="preserve"/>
        </x:is>
      </x:c>
      <x:c r="M693" s="6" t="inlineStr">
        <x:is>
          <x:t xml:space="preserve"/>
        </x:is>
      </x:c>
    </x:row>
    <x:row r="694" ht="35" customHeight="1">
      <x:c r="A694" s="7" t="inlineStr">
        <x:is>
          <x:t xml:space="preserve">P202612-0693</x:t>
        </x:is>
      </x:c>
      <x:c r="B694" s="7" t="n">
        <x:v>2026</x:v>
      </x:c>
      <x:c r="C694" s="7" t="inlineStr">
        <x:is>
          <x:t xml:space="preserve">Dec</x:t>
        </x:is>
      </x:c>
      <x:c r="D694" s="7" t="inlineStr">
        <x:is>
          <x:t xml:space="preserve">MCS33</x:t>
        </x:is>
      </x:c>
      <x:c r="E694" s="6" t="inlineStr">
        <x:is>
          <x:t xml:space="preserve">3 Accruals for expenditures not invoiced</x:t>
        </x:is>
      </x:c>
      <x:c r="F694" s="6" t="inlineStr">
        <x:is>
          <x:t xml:space="preserve">Ramakant Patil Zainab Yunusah Saadu</x:t>
        </x:is>
      </x:c>
      <x:c r="G694" s="6" t="inlineStr">
        <x:is>
          <x:t xml:space="preserve"/>
        </x:is>
      </x:c>
      <x:c r="H694" s="7" t="inlineStr">
        <x:is>
          <x:t xml:space="preserve">Operating Effectiveness</x:t>
        </x:is>
      </x:c>
      <x:c r="I694" s="7" t="inlineStr">
        <x:is>
          <x:t xml:space="preserve"/>
        </x:is>
      </x:c>
      <x:c r="J694" s="8" t="n">
        <x:v>46371</x:v>
      </x:c>
      <x:c r="K694" s="7" t="inlineStr">
        <x:is>
          <x:t xml:space="preserve">Not Started</x:t>
        </x:is>
      </x:c>
      <x:c r="L694" s="7" t="inlineStr">
        <x:is>
          <x:t xml:space="preserve"/>
        </x:is>
      </x:c>
      <x:c r="M694" s="6" t="inlineStr">
        <x:is>
          <x:t xml:space="preserve"/>
        </x:is>
      </x:c>
    </x:row>
    <x:row r="695" ht="35" customHeight="1">
      <x:c r="A695" s="7" t="inlineStr">
        <x:is>
          <x:t xml:space="preserve">P202612-0694</x:t>
        </x:is>
      </x:c>
      <x:c r="B695" s="7" t="n">
        <x:v>2026</x:v>
      </x:c>
      <x:c r="C695" s="7" t="inlineStr">
        <x:is>
          <x:t xml:space="preserve">Dec</x:t>
        </x:is>
      </x:c>
      <x:c r="D695" s="7" t="inlineStr">
        <x:is>
          <x:t xml:space="preserve">MCS34</x:t>
        </x:is>
      </x:c>
      <x:c r="E695" s="6" t="inlineStr">
        <x:is>
          <x:t xml:space="preserve">Physical Stock Count ,Reconciliation &amp; Valuation</x:t>
        </x:is>
      </x:c>
      <x:c r="F695" s="6" t="inlineStr">
        <x:is>
          <x:t xml:space="preserve">Yomi Jegede Zainab Yunusah Saadu</x:t>
        </x:is>
      </x:c>
      <x:c r="G695" s="6" t="inlineStr">
        <x:is>
          <x:t xml:space="preserve"/>
        </x:is>
      </x:c>
      <x:c r="H695" s="7" t="inlineStr">
        <x:is>
          <x:t xml:space="preserve">Operating Effectiveness</x:t>
        </x:is>
      </x:c>
      <x:c r="I695" s="7" t="inlineStr">
        <x:is>
          <x:t xml:space="preserve"/>
        </x:is>
      </x:c>
      <x:c r="J695" s="8" t="n">
        <x:v>46371</x:v>
      </x:c>
      <x:c r="K695" s="7" t="inlineStr">
        <x:is>
          <x:t xml:space="preserve">Not Started</x:t>
        </x:is>
      </x:c>
      <x:c r="L695" s="7" t="inlineStr">
        <x:is>
          <x:t xml:space="preserve"/>
        </x:is>
      </x:c>
      <x:c r="M695" s="6" t="inlineStr">
        <x:is>
          <x:t xml:space="preserve"/>
        </x:is>
      </x:c>
    </x:row>
    <x:row r="696" ht="35" customHeight="1">
      <x:c r="A696" s="7" t="inlineStr">
        <x:is>
          <x:t xml:space="preserve">P202612-0695</x:t>
        </x:is>
      </x:c>
      <x:c r="B696" s="7" t="n">
        <x:v>2026</x:v>
      </x:c>
      <x:c r="C696" s="7" t="inlineStr">
        <x:is>
          <x:t xml:space="preserve">Dec</x:t>
        </x:is>
      </x:c>
      <x:c r="D696" s="7" t="inlineStr">
        <x:is>
          <x:t xml:space="preserve">MCS35</x:t>
        </x:is>
      </x:c>
      <x:c r="E696" s="6" t="inlineStr">
        <x:is>
          <x:t xml:space="preserve">Inventory Documentation (IMPEX)</x:t>
        </x:is>
      </x:c>
      <x:c r="F696" s="6" t="inlineStr">
        <x:is>
          <x:t xml:space="preserve">Yomi Jegede Zainab Yunusah Saadu</x:t>
        </x:is>
      </x:c>
      <x:c r="G696" s="6" t="inlineStr">
        <x:is>
          <x:t xml:space="preserve"/>
        </x:is>
      </x:c>
      <x:c r="H696" s="7" t="inlineStr">
        <x:is>
          <x:t xml:space="preserve">Operating Effectiveness</x:t>
        </x:is>
      </x:c>
      <x:c r="I696" s="7" t="inlineStr">
        <x:is>
          <x:t xml:space="preserve"/>
        </x:is>
      </x:c>
      <x:c r="J696" s="8" t="n">
        <x:v>46371</x:v>
      </x:c>
      <x:c r="K696" s="7" t="inlineStr">
        <x:is>
          <x:t xml:space="preserve">Not Started</x:t>
        </x:is>
      </x:c>
      <x:c r="L696" s="7" t="inlineStr">
        <x:is>
          <x:t xml:space="preserve"/>
        </x:is>
      </x:c>
      <x:c r="M696" s="6" t="inlineStr">
        <x:is>
          <x:t xml:space="preserve"/>
        </x:is>
      </x:c>
    </x:row>
    <x:row r="697" ht="35" customHeight="1">
      <x:c r="A697" s="7" t="inlineStr">
        <x:is>
          <x:t xml:space="preserve">P202612-0696</x:t>
        </x:is>
      </x:c>
      <x:c r="B697" s="7" t="n">
        <x:v>2026</x:v>
      </x:c>
      <x:c r="C697" s="7" t="inlineStr">
        <x:is>
          <x:t xml:space="preserve">Dec</x:t>
        </x:is>
      </x:c>
      <x:c r="D697" s="7" t="inlineStr">
        <x:is>
          <x:t xml:space="preserve">MCS36</x:t>
        </x:is>
      </x:c>
      <x:c r="E697" s="6" t="inlineStr">
        <x:is>
          <x:t xml:space="preserve">Management of access to IT systems</x:t>
        </x:is>
      </x:c>
      <x:c r="F697" s="6" t="inlineStr">
        <x:is>
          <x:t xml:space="preserve">Theophilus Okolie </x:t>
        </x:is>
      </x:c>
      <x:c r="G697" s="6" t="inlineStr">
        <x:is>
          <x:t xml:space="preserve"/>
        </x:is>
      </x:c>
      <x:c r="H697" s="7" t="inlineStr">
        <x:is>
          <x:t xml:space="preserve">Operating Effectiveness</x:t>
        </x:is>
      </x:c>
      <x:c r="I697" s="7" t="inlineStr">
        <x:is>
          <x:t xml:space="preserve"/>
        </x:is>
      </x:c>
      <x:c r="J697" s="8" t="n">
        <x:v>46371</x:v>
      </x:c>
      <x:c r="K697" s="7" t="inlineStr">
        <x:is>
          <x:t xml:space="preserve">Not Started</x:t>
        </x:is>
      </x:c>
      <x:c r="L697" s="7" t="inlineStr">
        <x:is>
          <x:t xml:space="preserve"/>
        </x:is>
      </x:c>
      <x:c r="M697" s="6" t="inlineStr">
        <x:is>
          <x:t xml:space="preserve"/>
        </x:is>
      </x:c>
    </x:row>
    <x:row r="698" ht="35" customHeight="1">
      <x:c r="A698" s="7" t="inlineStr">
        <x:is>
          <x:t xml:space="preserve">P202612-0697</x:t>
        </x:is>
      </x:c>
      <x:c r="B698" s="7" t="n">
        <x:v>2026</x:v>
      </x:c>
      <x:c r="C698" s="7" t="inlineStr">
        <x:is>
          <x:t xml:space="preserve">Dec</x:t>
        </x:is>
      </x:c>
      <x:c r="D698" s="7" t="inlineStr">
        <x:is>
          <x:t xml:space="preserve">MCS37</x:t>
        </x:is>
      </x:c>
      <x:c r="E698" s="6" t="inlineStr">
        <x:is>
          <x:t xml:space="preserve">Review of IT user access rights to production IT systems</x:t>
        </x:is>
      </x:c>
      <x:c r="F698" s="6" t="inlineStr">
        <x:is>
          <x:t xml:space="preserve">Theophilus Okolie </x:t>
        </x:is>
      </x:c>
      <x:c r="G698" s="6" t="inlineStr">
        <x:is>
          <x:t xml:space="preserve"/>
        </x:is>
      </x:c>
      <x:c r="H698" s="7" t="inlineStr">
        <x:is>
          <x:t xml:space="preserve">Operating Effectiveness</x:t>
        </x:is>
      </x:c>
      <x:c r="I698" s="7" t="inlineStr">
        <x:is>
          <x:t xml:space="preserve"/>
        </x:is>
      </x:c>
      <x:c r="J698" s="8" t="n">
        <x:v>46371</x:v>
      </x:c>
      <x:c r="K698" s="7" t="inlineStr">
        <x:is>
          <x:t xml:space="preserve">Not Started</x:t>
        </x:is>
      </x:c>
      <x:c r="L698" s="7" t="inlineStr">
        <x:is>
          <x:t xml:space="preserve"/>
        </x:is>
      </x:c>
      <x:c r="M698" s="6" t="inlineStr">
        <x:is>
          <x:t xml:space="preserve"/>
        </x:is>
      </x:c>
    </x:row>
    <x:row r="699" ht="35" customHeight="1">
      <x:c r="A699" s="7" t="inlineStr">
        <x:is>
          <x:t xml:space="preserve">P202612-0698</x:t>
        </x:is>
      </x:c>
      <x:c r="B699" s="7" t="n">
        <x:v>2026</x:v>
      </x:c>
      <x:c r="C699" s="7" t="inlineStr">
        <x:is>
          <x:t xml:space="preserve">Dec</x:t>
        </x:is>
      </x:c>
      <x:c r="D699" s="7" t="inlineStr">
        <x:is>
          <x:t xml:space="preserve">MCS38</x:t>
        </x:is>
      </x:c>
      <x:c r="E699" s="6" t="inlineStr">
        <x:is>
          <x:t xml:space="preserve">Security configuration settings and batch job management</x:t>
        </x:is>
      </x:c>
      <x:c r="F699" s="6" t="inlineStr">
        <x:is>
          <x:t xml:space="preserve">Theophilus Okolie </x:t>
        </x:is>
      </x:c>
      <x:c r="G699" s="6" t="inlineStr">
        <x:is>
          <x:t xml:space="preserve"/>
        </x:is>
      </x:c>
      <x:c r="H699" s="7" t="inlineStr">
        <x:is>
          <x:t xml:space="preserve">Operating Effectiveness</x:t>
        </x:is>
      </x:c>
      <x:c r="I699" s="7" t="inlineStr">
        <x:is>
          <x:t xml:space="preserve"/>
        </x:is>
      </x:c>
      <x:c r="J699" s="8" t="n">
        <x:v>46371</x:v>
      </x:c>
      <x:c r="K699" s="7" t="inlineStr">
        <x:is>
          <x:t xml:space="preserve">Not Started</x:t>
        </x:is>
      </x:c>
      <x:c r="L699" s="7" t="inlineStr">
        <x:is>
          <x:t xml:space="preserve"/>
        </x:is>
      </x:c>
      <x:c r="M699" s="6" t="inlineStr">
        <x:is>
          <x:t xml:space="preserve"/>
        </x:is>
      </x:c>
    </x:row>
    <x:row r="700" ht="35" customHeight="1">
      <x:c r="A700" s="7" t="inlineStr">
        <x:is>
          <x:t xml:space="preserve">P202612-0699</x:t>
        </x:is>
      </x:c>
      <x:c r="B700" s="7" t="n">
        <x:v>2026</x:v>
      </x:c>
      <x:c r="C700" s="7" t="inlineStr">
        <x:is>
          <x:t xml:space="preserve">Dec</x:t>
        </x:is>
      </x:c>
      <x:c r="D700" s="7" t="inlineStr">
        <x:is>
          <x:t xml:space="preserve">MCS39</x:t>
        </x:is>
      </x:c>
      <x:c r="E700" s="6" t="inlineStr">
        <x:is>
          <x:t xml:space="preserve">Data backup, storage and restoration process</x:t>
        </x:is>
      </x:c>
      <x:c r="F700" s="6" t="inlineStr">
        <x:is>
          <x:t xml:space="preserve">Theophilus Okolie </x:t>
        </x:is>
      </x:c>
      <x:c r="G700" s="6" t="inlineStr">
        <x:is>
          <x:t xml:space="preserve"/>
        </x:is>
      </x:c>
      <x:c r="H700" s="7" t="inlineStr">
        <x:is>
          <x:t xml:space="preserve">Operating Effectiveness</x:t>
        </x:is>
      </x:c>
      <x:c r="I700" s="7" t="inlineStr">
        <x:is>
          <x:t xml:space="preserve"/>
        </x:is>
      </x:c>
      <x:c r="J700" s="8" t="n">
        <x:v>46371</x:v>
      </x:c>
      <x:c r="K700" s="7" t="inlineStr">
        <x:is>
          <x:t xml:space="preserve">Not Started</x:t>
        </x:is>
      </x:c>
      <x:c r="L700" s="7" t="inlineStr">
        <x:is>
          <x:t xml:space="preserve"/>
        </x:is>
      </x:c>
      <x:c r="M700" s="6" t="inlineStr">
        <x:is>
          <x:t xml:space="preserve"/>
        </x:is>
      </x:c>
    </x:row>
    <x:row r="701" ht="35" customHeight="1">
      <x:c r="A701" s="7" t="inlineStr">
        <x:is>
          <x:t xml:space="preserve">P202612-0700</x:t>
        </x:is>
      </x:c>
      <x:c r="B701" s="7" t="n">
        <x:v>2026</x:v>
      </x:c>
      <x:c r="C701" s="7" t="inlineStr">
        <x:is>
          <x:t xml:space="preserve">Dec</x:t>
        </x:is>
      </x:c>
      <x:c r="D701" s="7" t="inlineStr">
        <x:is>
          <x:t xml:space="preserve">MCS40</x:t>
        </x:is>
      </x:c>
      <x:c r="E701" s="6" t="inlineStr">
        <x:is>
          <x:t xml:space="preserve">Managing changes to IT systems</x:t>
        </x:is>
      </x:c>
      <x:c r="F701" s="6" t="inlineStr">
        <x:is>
          <x:t xml:space="preserve">Theophilus Okolie </x:t>
        </x:is>
      </x:c>
      <x:c r="G701" s="6" t="inlineStr">
        <x:is>
          <x:t xml:space="preserve"/>
        </x:is>
      </x:c>
      <x:c r="H701" s="7" t="inlineStr">
        <x:is>
          <x:t xml:space="preserve">Operating Effectiveness</x:t>
        </x:is>
      </x:c>
      <x:c r="I701" s="7" t="inlineStr">
        <x:is>
          <x:t xml:space="preserve"/>
        </x:is>
      </x:c>
      <x:c r="J701" s="8" t="n">
        <x:v>46371</x:v>
      </x:c>
      <x:c r="K701" s="7" t="inlineStr">
        <x:is>
          <x:t xml:space="preserve">Not Started</x:t>
        </x:is>
      </x:c>
      <x:c r="L701" s="7" t="inlineStr">
        <x:is>
          <x:t xml:space="preserve"/>
        </x:is>
      </x:c>
      <x:c r="M701" s="6" t="inlineStr">
        <x:is>
          <x:t xml:space="preserve"/>
        </x:is>
      </x:c>
    </x:row>
    <x:row r="702" ht="35" customHeight="1">
      <x:c r="A702" s="7" t="inlineStr">
        <x:is>
          <x:t xml:space="preserve">P202612-0701</x:t>
        </x:is>
      </x:c>
      <x:c r="B702" s="7" t="n">
        <x:v>2026</x:v>
      </x:c>
      <x:c r="C702" s="7" t="inlineStr">
        <x:is>
          <x:t xml:space="preserve">Dec</x:t>
        </x:is>
      </x:c>
      <x:c r="D702" s="7" t="inlineStr">
        <x:is>
          <x:t xml:space="preserve">MCS41</x:t>
        </x:is>
      </x:c>
      <x:c r="E702" s="6" t="inlineStr">
        <x:is>
          <x:t xml:space="preserve">Compliance with accounting and reporting standards</x:t>
        </x:is>
      </x:c>
      <x:c r="F702" s="6" t="inlineStr">
        <x:is>
          <x:t xml:space="preserve">Zainab Yunusah Saadu Daniel Banjo</x:t>
        </x:is>
      </x:c>
      <x:c r="G702" s="6" t="inlineStr">
        <x:is>
          <x:t xml:space="preserve"/>
        </x:is>
      </x:c>
      <x:c r="H702" s="7" t="inlineStr">
        <x:is>
          <x:t xml:space="preserve">Operating Effectiveness</x:t>
        </x:is>
      </x:c>
      <x:c r="I702" s="7" t="inlineStr">
        <x:is>
          <x:t xml:space="preserve"/>
        </x:is>
      </x:c>
      <x:c r="J702" s="8" t="n">
        <x:v>46371</x:v>
      </x:c>
      <x:c r="K702" s="7" t="inlineStr">
        <x:is>
          <x:t xml:space="preserve">Not Started</x:t>
        </x:is>
      </x:c>
      <x:c r="L702" s="7" t="inlineStr">
        <x:is>
          <x:t xml:space="preserve"/>
        </x:is>
      </x:c>
      <x:c r="M702" s="6" t="inlineStr">
        <x:is>
          <x:t xml:space="preserve"/>
        </x:is>
      </x:c>
    </x:row>
    <x:row r="703" ht="35" customHeight="1">
      <x:c r="A703" s="7" t="inlineStr">
        <x:is>
          <x:t xml:space="preserve">P202612-0702</x:t>
        </x:is>
      </x:c>
      <x:c r="B703" s="7" t="n">
        <x:v>2026</x:v>
      </x:c>
      <x:c r="C703" s="7" t="inlineStr">
        <x:is>
          <x:t xml:space="preserve">Dec</x:t>
        </x:is>
      </x:c>
      <x:c r="D703" s="7" t="inlineStr">
        <x:is>
          <x:t xml:space="preserve">MCS42</x:t>
        </x:is>
      </x:c>
      <x:c r="E703" s="6" t="inlineStr">
        <x:is>
          <x:t xml:space="preserve">Reconciliation of general ledger accounts</x:t>
        </x:is>
      </x:c>
      <x:c r="F703" s="6" t="inlineStr">
        <x:is>
          <x:t xml:space="preserve">Zainab Yunusah Saadu Daniel Banjo</x:t>
        </x:is>
      </x:c>
      <x:c r="G703" s="6" t="inlineStr">
        <x:is>
          <x:t xml:space="preserve"/>
        </x:is>
      </x:c>
      <x:c r="H703" s="7" t="inlineStr">
        <x:is>
          <x:t xml:space="preserve">Operating Effectiveness</x:t>
        </x:is>
      </x:c>
      <x:c r="I703" s="7" t="inlineStr">
        <x:is>
          <x:t xml:space="preserve"/>
        </x:is>
      </x:c>
      <x:c r="J703" s="8" t="n">
        <x:v>46371</x:v>
      </x:c>
      <x:c r="K703" s="7" t="inlineStr">
        <x:is>
          <x:t xml:space="preserve">Not Started</x:t>
        </x:is>
      </x:c>
      <x:c r="L703" s="7" t="inlineStr">
        <x:is>
          <x:t xml:space="preserve"/>
        </x:is>
      </x:c>
      <x:c r="M703" s="6" t="inlineStr">
        <x:is>
          <x:t xml:space="preserve"/>
        </x:is>
      </x:c>
    </x:row>
    <x:row r="704" ht="35" customHeight="1">
      <x:c r="A704" s="7" t="inlineStr">
        <x:is>
          <x:t xml:space="preserve">P202612-0703</x:t>
        </x:is>
      </x:c>
      <x:c r="B704" s="7" t="n">
        <x:v>2026</x:v>
      </x:c>
      <x:c r="C704" s="7" t="inlineStr">
        <x:is>
          <x:t xml:space="preserve">Dec</x:t>
        </x:is>
      </x:c>
      <x:c r="D704" s="7" t="inlineStr">
        <x:is>
          <x:t xml:space="preserve">MCS43</x:t>
        </x:is>
      </x:c>
      <x:c r="E704" s="6" t="inlineStr">
        <x:is>
          <x:t xml:space="preserve">Reconciliation of bank accounts</x:t>
        </x:is>
      </x:c>
      <x:c r="F704" s="6" t="inlineStr">
        <x:is>
          <x:t xml:space="preserve">Zainab Yunusah Saadu Daniel Banjo</x:t>
        </x:is>
      </x:c>
      <x:c r="G704" s="6" t="inlineStr">
        <x:is>
          <x:t xml:space="preserve"/>
        </x:is>
      </x:c>
      <x:c r="H704" s="7" t="inlineStr">
        <x:is>
          <x:t xml:space="preserve">Operating Effectiveness</x:t>
        </x:is>
      </x:c>
      <x:c r="I704" s="7" t="inlineStr">
        <x:is>
          <x:t xml:space="preserve"/>
        </x:is>
      </x:c>
      <x:c r="J704" s="8" t="n">
        <x:v>46371</x:v>
      </x:c>
      <x:c r="K704" s="7" t="inlineStr">
        <x:is>
          <x:t xml:space="preserve">Not Started</x:t>
        </x:is>
      </x:c>
      <x:c r="L704" s="7" t="inlineStr">
        <x:is>
          <x:t xml:space="preserve"/>
        </x:is>
      </x:c>
      <x:c r="M704" s="6" t="inlineStr">
        <x:is>
          <x:t xml:space="preserve"/>
        </x:is>
      </x:c>
    </x:row>
    <x:row r="705" ht="35" customHeight="1">
      <x:c r="A705" s="7" t="inlineStr">
        <x:is>
          <x:t xml:space="preserve">P202612-0704</x:t>
        </x:is>
      </x:c>
      <x:c r="B705" s="7" t="n">
        <x:v>2026</x:v>
      </x:c>
      <x:c r="C705" s="7" t="inlineStr">
        <x:is>
          <x:t xml:space="preserve">Dec</x:t>
        </x:is>
      </x:c>
      <x:c r="D705" s="7" t="inlineStr">
        <x:is>
          <x:t xml:space="preserve">MCS44</x:t>
        </x:is>
      </x:c>
      <x:c r="E705" s="6" t="inlineStr">
        <x:is>
          <x:t xml:space="preserve">Reconciliation of intercompany balances</x:t>
        </x:is>
      </x:c>
      <x:c r="F705" s="6" t="inlineStr">
        <x:is>
          <x:t xml:space="preserve">Zainab Yunusah Saadu Daniel Banjo</x:t>
        </x:is>
      </x:c>
      <x:c r="G705" s="6" t="inlineStr">
        <x:is>
          <x:t xml:space="preserve"/>
        </x:is>
      </x:c>
      <x:c r="H705" s="7" t="inlineStr">
        <x:is>
          <x:t xml:space="preserve">Operating Effectiveness</x:t>
        </x:is>
      </x:c>
      <x:c r="I705" s="7" t="inlineStr">
        <x:is>
          <x:t xml:space="preserve"/>
        </x:is>
      </x:c>
      <x:c r="J705" s="8" t="n">
        <x:v>46371</x:v>
      </x:c>
      <x:c r="K705" s="7" t="inlineStr">
        <x:is>
          <x:t xml:space="preserve">Not Started</x:t>
        </x:is>
      </x:c>
      <x:c r="L705" s="7" t="inlineStr">
        <x:is>
          <x:t xml:space="preserve"/>
        </x:is>
      </x:c>
      <x:c r="M705" s="6" t="inlineStr">
        <x:is>
          <x:t xml:space="preserve"/>
        </x:is>
      </x:c>
    </x:row>
    <x:row r="706" ht="35" customHeight="1">
      <x:c r="A706" s="7" t="inlineStr">
        <x:is>
          <x:t xml:space="preserve">P202612-0705</x:t>
        </x:is>
      </x:c>
      <x:c r="B706" s="7" t="n">
        <x:v>2026</x:v>
      </x:c>
      <x:c r="C706" s="7" t="inlineStr">
        <x:is>
          <x:t xml:space="preserve">Dec</x:t>
        </x:is>
      </x:c>
      <x:c r="D706" s="7" t="inlineStr">
        <x:is>
          <x:t xml:space="preserve">MCS45</x:t>
        </x:is>
      </x:c>
      <x:c r="E706" s="6" t="inlineStr">
        <x:is>
          <x:t xml:space="preserve">Manual journal entries</x:t>
        </x:is>
      </x:c>
      <x:c r="F706" s="6" t="inlineStr">
        <x:is>
          <x:t xml:space="preserve">Zainab Yunusah Saadu Daniel Banjo</x:t>
        </x:is>
      </x:c>
      <x:c r="G706" s="6" t="inlineStr">
        <x:is>
          <x:t xml:space="preserve"/>
        </x:is>
      </x:c>
      <x:c r="H706" s="7" t="inlineStr">
        <x:is>
          <x:t xml:space="preserve">Operating Effectiveness</x:t>
        </x:is>
      </x:c>
      <x:c r="I706" s="7" t="inlineStr">
        <x:is>
          <x:t xml:space="preserve"/>
        </x:is>
      </x:c>
      <x:c r="J706" s="8" t="n">
        <x:v>46371</x:v>
      </x:c>
      <x:c r="K706" s="7" t="inlineStr">
        <x:is>
          <x:t xml:space="preserve">Not Started</x:t>
        </x:is>
      </x:c>
      <x:c r="L706" s="7" t="inlineStr">
        <x:is>
          <x:t xml:space="preserve"/>
        </x:is>
      </x:c>
      <x:c r="M706" s="6" t="inlineStr">
        <x:is>
          <x:t xml:space="preserve"/>
        </x:is>
      </x:c>
    </x:row>
    <x:row r="707" ht="35" customHeight="1">
      <x:c r="A707" s="7" t="inlineStr">
        <x:is>
          <x:t xml:space="preserve">P202612-0706</x:t>
        </x:is>
      </x:c>
      <x:c r="B707" s="7" t="n">
        <x:v>2026</x:v>
      </x:c>
      <x:c r="C707" s="7" t="inlineStr">
        <x:is>
          <x:t xml:space="preserve">Dec</x:t>
        </x:is>
      </x:c>
      <x:c r="D707" s="7" t="inlineStr">
        <x:is>
          <x:t xml:space="preserve">MCS46</x:t>
        </x:is>
      </x:c>
      <x:c r="E707" s="6" t="inlineStr">
        <x:is>
          <x:t xml:space="preserve">Impairment of goodwill, intangible assets and tangible assets</x:t>
        </x:is>
      </x:c>
      <x:c r="F707" s="6" t="inlineStr">
        <x:is>
          <x:t xml:space="preserve">Zainab Yunusah Saadu Daniel Banjo</x:t>
        </x:is>
      </x:c>
      <x:c r="G707" s="6" t="inlineStr">
        <x:is>
          <x:t xml:space="preserve"/>
        </x:is>
      </x:c>
      <x:c r="H707" s="7" t="inlineStr">
        <x:is>
          <x:t xml:space="preserve">Operating Effectiveness</x:t>
        </x:is>
      </x:c>
      <x:c r="I707" s="7" t="inlineStr">
        <x:is>
          <x:t xml:space="preserve"/>
        </x:is>
      </x:c>
      <x:c r="J707" s="8" t="n">
        <x:v>46371</x:v>
      </x:c>
      <x:c r="K707" s="7" t="inlineStr">
        <x:is>
          <x:t xml:space="preserve">Not Started</x:t>
        </x:is>
      </x:c>
      <x:c r="L707" s="7" t="inlineStr">
        <x:is>
          <x:t xml:space="preserve"/>
        </x:is>
      </x:c>
      <x:c r="M707" s="6" t="inlineStr">
        <x:is>
          <x:t xml:space="preserve"/>
        </x:is>
      </x:c>
    </x:row>
    <x:row r="708" ht="35" customHeight="1">
      <x:c r="A708" s="7" t="inlineStr">
        <x:is>
          <x:t xml:space="preserve">P202612-0707</x:t>
        </x:is>
      </x:c>
      <x:c r="B708" s="7" t="n">
        <x:v>2026</x:v>
      </x:c>
      <x:c r="C708" s="7" t="inlineStr">
        <x:is>
          <x:t xml:space="preserve">Dec</x:t>
        </x:is>
      </x:c>
      <x:c r="D708" s="7" t="inlineStr">
        <x:is>
          <x:t xml:space="preserve">MCS47</x:t>
        </x:is>
      </x:c>
      <x:c r="E708" s="6" t="inlineStr">
        <x:is>
          <x:t xml:space="preserve">Transactions in a foreign currency</x:t>
        </x:is>
      </x:c>
      <x:c r="F708" s="6" t="inlineStr">
        <x:is>
          <x:t xml:space="preserve">Zainab Yunusah Saadu Daniel Banjo</x:t>
        </x:is>
      </x:c>
      <x:c r="G708" s="6" t="inlineStr">
        <x:is>
          <x:t xml:space="preserve"/>
        </x:is>
      </x:c>
      <x:c r="H708" s="7" t="inlineStr">
        <x:is>
          <x:t xml:space="preserve">Operating Effectiveness</x:t>
        </x:is>
      </x:c>
      <x:c r="I708" s="7" t="inlineStr">
        <x:is>
          <x:t xml:space="preserve"/>
        </x:is>
      </x:c>
      <x:c r="J708" s="8" t="n">
        <x:v>46371</x:v>
      </x:c>
      <x:c r="K708" s="7" t="inlineStr">
        <x:is>
          <x:t xml:space="preserve">Not Started</x:t>
        </x:is>
      </x:c>
      <x:c r="L708" s="7" t="inlineStr">
        <x:is>
          <x:t xml:space="preserve"/>
        </x:is>
      </x:c>
      <x:c r="M708" s="6" t="inlineStr">
        <x:is>
          <x:t xml:space="preserve"/>
        </x:is>
      </x:c>
    </x:row>
    <x:row r="709" ht="35" customHeight="1">
      <x:c r="A709" s="7" t="inlineStr">
        <x:is>
          <x:t xml:space="preserve">P202612-0708</x:t>
        </x:is>
      </x:c>
      <x:c r="B709" s="7" t="n">
        <x:v>2026</x:v>
      </x:c>
      <x:c r="C709" s="7" t="inlineStr">
        <x:is>
          <x:t xml:space="preserve">Dec</x:t>
        </x:is>
      </x:c>
      <x:c r="D709" s="7" t="inlineStr">
        <x:is>
          <x:t xml:space="preserve">MCS48</x:t>
        </x:is>
      </x:c>
      <x:c r="E709" s="6" t="inlineStr">
        <x:is>
          <x:t xml:space="preserve">Management of legal structure and consolidation hierarchy</x:t>
        </x:is>
      </x:c>
      <x:c r="F709" s="6" t="inlineStr">
        <x:is>
          <x:t xml:space="preserve">Zainab Yunusah Saadu Daniel Banjo</x:t>
        </x:is>
      </x:c>
      <x:c r="G709" s="6" t="inlineStr">
        <x:is>
          <x:t xml:space="preserve"/>
        </x:is>
      </x:c>
      <x:c r="H709" s="7" t="inlineStr">
        <x:is>
          <x:t xml:space="preserve">Operating Effectiveness</x:t>
        </x:is>
      </x:c>
      <x:c r="I709" s="7" t="inlineStr">
        <x:is>
          <x:t xml:space="preserve"/>
        </x:is>
      </x:c>
      <x:c r="J709" s="8" t="n">
        <x:v>46371</x:v>
      </x:c>
      <x:c r="K709" s="7" t="inlineStr">
        <x:is>
          <x:t xml:space="preserve">Not Started</x:t>
        </x:is>
      </x:c>
      <x:c r="L709" s="7" t="inlineStr">
        <x:is>
          <x:t xml:space="preserve"/>
        </x:is>
      </x:c>
      <x:c r="M709" s="6" t="inlineStr">
        <x:is>
          <x:t xml:space="preserve"/>
        </x:is>
      </x:c>
    </x:row>
    <x:row r="710" ht="35" customHeight="1">
      <x:c r="A710" s="7" t="inlineStr">
        <x:is>
          <x:t xml:space="preserve">P202612-0709</x:t>
        </x:is>
      </x:c>
      <x:c r="B710" s="7" t="n">
        <x:v>2026</x:v>
      </x:c>
      <x:c r="C710" s="7" t="inlineStr">
        <x:is>
          <x:t xml:space="preserve">Dec</x:t>
        </x:is>
      </x:c>
      <x:c r="D710" s="7" t="inlineStr">
        <x:is>
          <x:t xml:space="preserve">MCS49</x:t>
        </x:is>
      </x:c>
      <x:c r="E710" s="6" t="inlineStr">
        <x:is>
          <x:t xml:space="preserve">Consolidation of financial statement</x:t>
        </x:is>
      </x:c>
      <x:c r="F710" s="6" t="inlineStr">
        <x:is>
          <x:t xml:space="preserve">Zainab Yunusah Saadu Daniel Banjo</x:t>
        </x:is>
      </x:c>
      <x:c r="G710" s="6" t="inlineStr">
        <x:is>
          <x:t xml:space="preserve"/>
        </x:is>
      </x:c>
      <x:c r="H710" s="7" t="inlineStr">
        <x:is>
          <x:t xml:space="preserve">Operating Effectiveness</x:t>
        </x:is>
      </x:c>
      <x:c r="I710" s="7" t="inlineStr">
        <x:is>
          <x:t xml:space="preserve"/>
        </x:is>
      </x:c>
      <x:c r="J710" s="8" t="n">
        <x:v>46371</x:v>
      </x:c>
      <x:c r="K710" s="7" t="inlineStr">
        <x:is>
          <x:t xml:space="preserve">Not Started</x:t>
        </x:is>
      </x:c>
      <x:c r="L710" s="7" t="inlineStr">
        <x:is>
          <x:t xml:space="preserve"/>
        </x:is>
      </x:c>
      <x:c r="M710" s="6" t="inlineStr">
        <x:is>
          <x:t xml:space="preserve"/>
        </x:is>
      </x:c>
    </x:row>
    <x:row r="711" ht="35" customHeight="1">
      <x:c r="A711" s="7" t="inlineStr">
        <x:is>
          <x:t xml:space="preserve">P202612-0710</x:t>
        </x:is>
      </x:c>
      <x:c r="B711" s="7" t="n">
        <x:v>2026</x:v>
      </x:c>
      <x:c r="C711" s="7" t="inlineStr">
        <x:is>
          <x:t xml:space="preserve">Dec</x:t>
        </x:is>
      </x:c>
      <x:c r="D711" s="7" t="inlineStr">
        <x:is>
          <x:t xml:space="preserve">MCS50</x:t>
        </x:is>
      </x:c>
      <x:c r="E711" s="6" t="inlineStr">
        <x:is>
          <x:t xml:space="preserve">Statutory financial statements</x:t>
        </x:is>
      </x:c>
      <x:c r="F711" s="6" t="inlineStr">
        <x:is>
          <x:t xml:space="preserve">Zainab Yunusah Saadu Daniel Banjo</x:t>
        </x:is>
      </x:c>
      <x:c r="G711" s="6" t="inlineStr">
        <x:is>
          <x:t xml:space="preserve"/>
        </x:is>
      </x:c>
      <x:c r="H711" s="7" t="inlineStr">
        <x:is>
          <x:t xml:space="preserve">Operating Effectiveness</x:t>
        </x:is>
      </x:c>
      <x:c r="I711" s="7" t="inlineStr">
        <x:is>
          <x:t xml:space="preserve"/>
        </x:is>
      </x:c>
      <x:c r="J711" s="8" t="n">
        <x:v>46371</x:v>
      </x:c>
      <x:c r="K711" s="7" t="inlineStr">
        <x:is>
          <x:t xml:space="preserve">Not Started</x:t>
        </x:is>
      </x:c>
      <x:c r="L711" s="7" t="inlineStr">
        <x:is>
          <x:t xml:space="preserve"/>
        </x:is>
      </x:c>
      <x:c r="M711" s="6" t="inlineStr">
        <x:is>
          <x:t xml:space="preserve"/>
        </x:is>
      </x:c>
    </x:row>
    <x:row r="712" ht="35" customHeight="1">
      <x:c r="A712" s="7" t="inlineStr">
        <x:is>
          <x:t xml:space="preserve">P202612-0711</x:t>
        </x:is>
      </x:c>
      <x:c r="B712" s="7" t="n">
        <x:v>2026</x:v>
      </x:c>
      <x:c r="C712" s="7" t="inlineStr">
        <x:is>
          <x:t xml:space="preserve">Dec</x:t>
        </x:is>
      </x:c>
      <x:c r="D712" s="7" t="inlineStr">
        <x:is>
          <x:t xml:space="preserve">MCS51</x:t>
        </x:is>
      </x:c>
      <x:c r="E712" s="6" t="inlineStr">
        <x:is>
          <x:t xml:space="preserve">Tax risk assessment and reporting</x:t>
        </x:is>
      </x:c>
      <x:c r="F712" s="6" t="n"/>
      <x:c r="G712" s="6" t="inlineStr">
        <x:is>
          <x:t xml:space="preserve"/>
        </x:is>
      </x:c>
      <x:c r="H712" s="7" t="inlineStr">
        <x:is>
          <x:t xml:space="preserve">Operating Effectiveness</x:t>
        </x:is>
      </x:c>
      <x:c r="I712" s="7" t="inlineStr">
        <x:is>
          <x:t xml:space="preserve"/>
        </x:is>
      </x:c>
      <x:c r="J712" s="8" t="n">
        <x:v>46371</x:v>
      </x:c>
      <x:c r="K712" s="7" t="inlineStr">
        <x:is>
          <x:t xml:space="preserve">Not Started</x:t>
        </x:is>
      </x:c>
      <x:c r="L712" s="7" t="inlineStr">
        <x:is>
          <x:t xml:space="preserve"/>
        </x:is>
      </x:c>
      <x:c r="M712" s="6" t="inlineStr">
        <x:is>
          <x:t xml:space="preserve"/>
        </x:is>
      </x:c>
    </x:row>
    <x:row r="713" ht="35" customHeight="1">
      <x:c r="A713" s="7" t="inlineStr">
        <x:is>
          <x:t xml:space="preserve">P202612-0712</x:t>
        </x:is>
      </x:c>
      <x:c r="B713" s="7" t="n">
        <x:v>2026</x:v>
      </x:c>
      <x:c r="C713" s="7" t="inlineStr">
        <x:is>
          <x:t xml:space="preserve">Dec</x:t>
        </x:is>
      </x:c>
      <x:c r="D713" s="7" t="inlineStr">
        <x:is>
          <x:t xml:space="preserve">MCS52</x:t>
        </x:is>
      </x:c>
      <x:c r="E713" s="6" t="inlineStr">
        <x:is>
          <x:t xml:space="preserve">Tax filings and payments</x:t>
        </x:is>
      </x:c>
      <x:c r="F713" s="6" t="n"/>
      <x:c r="G713" s="6" t="inlineStr">
        <x:is>
          <x:t xml:space="preserve"/>
        </x:is>
      </x:c>
      <x:c r="H713" s="7" t="inlineStr">
        <x:is>
          <x:t xml:space="preserve">Operating Effectiveness</x:t>
        </x:is>
      </x:c>
      <x:c r="I713" s="7" t="inlineStr">
        <x:is>
          <x:t xml:space="preserve"/>
        </x:is>
      </x:c>
      <x:c r="J713" s="8" t="n">
        <x:v>46371</x:v>
      </x:c>
      <x:c r="K713" s="7" t="inlineStr">
        <x:is>
          <x:t xml:space="preserve">Not Started</x:t>
        </x:is>
      </x:c>
      <x:c r="L713" s="7" t="inlineStr">
        <x:is>
          <x:t xml:space="preserve"/>
        </x:is>
      </x:c>
      <x:c r="M713" s="6" t="inlineStr">
        <x:is>
          <x:t xml:space="preserve"/>
        </x:is>
      </x:c>
    </x:row>
    <x:row r="714" ht="35" customHeight="1">
      <x:c r="A714" s="7" t="inlineStr">
        <x:is>
          <x:t xml:space="preserve">P202612-0713</x:t>
        </x:is>
      </x:c>
      <x:c r="B714" s="7" t="n">
        <x:v>2026</x:v>
      </x:c>
      <x:c r="C714" s="7" t="inlineStr">
        <x:is>
          <x:t xml:space="preserve">Dec</x:t>
        </x:is>
      </x:c>
      <x:c r="D714" s="7" t="inlineStr">
        <x:is>
          <x:t xml:space="preserve">MCS53</x:t>
        </x:is>
      </x:c>
      <x:c r="E714" s="6" t="inlineStr">
        <x:is>
          <x:t xml:space="preserve">Deferred and current income tax calculations</x:t>
        </x:is>
      </x:c>
      <x:c r="F714" s="6" t="n"/>
      <x:c r="G714" s="6" t="inlineStr">
        <x:is>
          <x:t xml:space="preserve"/>
        </x:is>
      </x:c>
      <x:c r="H714" s="7" t="inlineStr">
        <x:is>
          <x:t xml:space="preserve">Operating Effectiveness</x:t>
        </x:is>
      </x:c>
      <x:c r="I714" s="7" t="inlineStr">
        <x:is>
          <x:t xml:space="preserve"/>
        </x:is>
      </x:c>
      <x:c r="J714" s="8" t="n">
        <x:v>46371</x:v>
      </x:c>
      <x:c r="K714" s="7" t="inlineStr">
        <x:is>
          <x:t xml:space="preserve">Not Started</x:t>
        </x:is>
      </x:c>
      <x:c r="L714" s="7" t="inlineStr">
        <x:is>
          <x:t xml:space="preserve"/>
        </x:is>
      </x:c>
      <x:c r="M714" s="6" t="inlineStr">
        <x:is>
          <x:t xml:space="preserve"/>
        </x:is>
      </x:c>
    </x:row>
    <x:row r="715" ht="35" customHeight="1">
      <x:c r="A715" s="7" t="inlineStr">
        <x:is>
          <x:t xml:space="preserve">P202612-0714</x:t>
        </x:is>
      </x:c>
      <x:c r="B715" s="7" t="n">
        <x:v>2026</x:v>
      </x:c>
      <x:c r="C715" s="7" t="inlineStr">
        <x:is>
          <x:t xml:space="preserve">Dec</x:t>
        </x:is>
      </x:c>
      <x:c r="D715" s="7" t="inlineStr">
        <x:is>
          <x:t xml:space="preserve">MCS54</x:t>
        </x:is>
      </x:c>
      <x:c r="E715" s="6" t="inlineStr">
        <x:is>
          <x:t xml:space="preserve">Transfer pricing</x:t>
        </x:is>
      </x:c>
      <x:c r="F715" s="6" t="n"/>
      <x:c r="G715" s="6" t="inlineStr">
        <x:is>
          <x:t xml:space="preserve"/>
        </x:is>
      </x:c>
      <x:c r="H715" s="7" t="inlineStr">
        <x:is>
          <x:t xml:space="preserve">Operating Effectiveness</x:t>
        </x:is>
      </x:c>
      <x:c r="I715" s="7" t="inlineStr">
        <x:is>
          <x:t xml:space="preserve"/>
        </x:is>
      </x:c>
      <x:c r="J715" s="8" t="n">
        <x:v>46371</x:v>
      </x:c>
      <x:c r="K715" s="7" t="inlineStr">
        <x:is>
          <x:t xml:space="preserve">Not Started</x:t>
        </x:is>
      </x:c>
      <x:c r="L715" s="7" t="inlineStr">
        <x:is>
          <x:t xml:space="preserve"/>
        </x:is>
      </x:c>
      <x:c r="M715" s="6" t="inlineStr">
        <x:is>
          <x:t xml:space="preserve"/>
        </x:is>
      </x:c>
    </x:row>
    <x:row r="716" ht="35" customHeight="1">
      <x:c r="A716" s="7" t="inlineStr">
        <x:is>
          <x:t xml:space="preserve">P202612-0715</x:t>
        </x:is>
      </x:c>
      <x:c r="B716" s="7" t="n">
        <x:v>2026</x:v>
      </x:c>
      <x:c r="C716" s="7" t="inlineStr">
        <x:is>
          <x:t xml:space="preserve">Dec</x:t>
        </x:is>
      </x:c>
      <x:c r="D716" s="7" t="inlineStr">
        <x:is>
          <x:t xml:space="preserve">MCS55</x:t>
        </x:is>
      </x:c>
      <x:c r="E716" s="6" t="inlineStr">
        <x:is>
          <x:t xml:space="preserve">Non-income (indirect) taxes</x:t>
        </x:is>
      </x:c>
      <x:c r="F716" s="6" t="n"/>
      <x:c r="G716" s="6" t="inlineStr">
        <x:is>
          <x:t xml:space="preserve"/>
        </x:is>
      </x:c>
      <x:c r="H716" s="7" t="inlineStr">
        <x:is>
          <x:t xml:space="preserve">Operating Effectiveness</x:t>
        </x:is>
      </x:c>
      <x:c r="I716" s="7" t="inlineStr">
        <x:is>
          <x:t xml:space="preserve"/>
        </x:is>
      </x:c>
      <x:c r="J716" s="8" t="n">
        <x:v>46371</x:v>
      </x:c>
      <x:c r="K716" s="7" t="inlineStr">
        <x:is>
          <x:t xml:space="preserve">Not Started</x:t>
        </x:is>
      </x:c>
      <x:c r="L716" s="7" t="inlineStr">
        <x:is>
          <x:t xml:space="preserve"/>
        </x:is>
      </x:c>
      <x:c r="M716" s="6" t="inlineStr">
        <x:is>
          <x:t xml:space="preserve"/>
        </x:is>
      </x:c>
    </x:row>
    <x:row r="717" ht="35" customHeight="1">
      <x:c r="A717" s="7" t="inlineStr">
        <x:is>
          <x:t xml:space="preserve">P202612-0716</x:t>
        </x:is>
      </x:c>
      <x:c r="B717" s="7" t="n">
        <x:v>2026</x:v>
      </x:c>
      <x:c r="C717" s="7" t="inlineStr">
        <x:is>
          <x:t xml:space="preserve">Dec</x:t>
        </x:is>
      </x:c>
      <x:c r="D717" s="7" t="inlineStr">
        <x:is>
          <x:t xml:space="preserve">MCS56</x:t>
        </x:is>
      </x:c>
      <x:c r="E717" s="6" t="inlineStr">
        <x:is>
          <x:t xml:space="preserve">Bank relations</x:t>
        </x:is>
      </x:c>
      <x:c r="F717" s="6" t="n"/>
      <x:c r="G717" s="6" t="inlineStr">
        <x:is>
          <x:t xml:space="preserve"/>
        </x:is>
      </x:c>
      <x:c r="H717" s="7" t="inlineStr">
        <x:is>
          <x:t xml:space="preserve">Operating Effectiveness</x:t>
        </x:is>
      </x:c>
      <x:c r="I717" s="7" t="inlineStr">
        <x:is>
          <x:t xml:space="preserve"/>
        </x:is>
      </x:c>
      <x:c r="J717" s="8" t="n">
        <x:v>46371</x:v>
      </x:c>
      <x:c r="K717" s="7" t="inlineStr">
        <x:is>
          <x:t xml:space="preserve">Not Started</x:t>
        </x:is>
      </x:c>
      <x:c r="L717" s="7" t="inlineStr">
        <x:is>
          <x:t xml:space="preserve"/>
        </x:is>
      </x:c>
      <x:c r="M717" s="6" t="inlineStr">
        <x:is>
          <x:t xml:space="preserve"/>
        </x:is>
      </x:c>
    </x:row>
    <x:row r="718" ht="35" customHeight="1">
      <x:c r="A718" s="7" t="inlineStr">
        <x:is>
          <x:t xml:space="preserve">P202612-0717</x:t>
        </x:is>
      </x:c>
      <x:c r="B718" s="7" t="n">
        <x:v>2026</x:v>
      </x:c>
      <x:c r="C718" s="7" t="inlineStr">
        <x:is>
          <x:t xml:space="preserve">Dec</x:t>
        </x:is>
      </x:c>
      <x:c r="D718" s="7" t="inlineStr">
        <x:is>
          <x:t xml:space="preserve">MCS57</x:t>
        </x:is>
      </x:c>
      <x:c r="E718" s="6" t="inlineStr">
        <x:is>
          <x:t xml:space="preserve">Cash transactions are not permitted without Regional Controller approval</x:t>
        </x:is>
      </x:c>
      <x:c r="F718" s="6" t="n"/>
      <x:c r="G718" s="6" t="inlineStr">
        <x:is>
          <x:t xml:space="preserve"/>
        </x:is>
      </x:c>
      <x:c r="H718" s="7" t="inlineStr">
        <x:is>
          <x:t xml:space="preserve">Operating Effectiveness</x:t>
        </x:is>
      </x:c>
      <x:c r="I718" s="7" t="inlineStr">
        <x:is>
          <x:t xml:space="preserve"/>
        </x:is>
      </x:c>
      <x:c r="J718" s="8" t="n">
        <x:v>46371</x:v>
      </x:c>
      <x:c r="K718" s="7" t="inlineStr">
        <x:is>
          <x:t xml:space="preserve">Not Started</x:t>
        </x:is>
      </x:c>
      <x:c r="L718" s="7" t="inlineStr">
        <x:is>
          <x:t xml:space="preserve"/>
        </x:is>
      </x:c>
      <x:c r="M718" s="6" t="inlineStr">
        <x:is>
          <x:t xml:space="preserve"/>
        </x:is>
      </x:c>
    </x:row>
    <x:row r="719" ht="35" customHeight="1">
      <x:c r="A719" s="7" t="inlineStr">
        <x:is>
          <x:t xml:space="preserve">P202612-0718</x:t>
        </x:is>
      </x:c>
      <x:c r="B719" s="7" t="n">
        <x:v>2026</x:v>
      </x:c>
      <x:c r="C719" s="7" t="inlineStr">
        <x:is>
          <x:t xml:space="preserve">Dec</x:t>
        </x:is>
      </x:c>
      <x:c r="D719" s="7" t="inlineStr">
        <x:is>
          <x:t xml:space="preserve">MCS58</x:t>
        </x:is>
      </x:c>
      <x:c r="E719" s="6" t="inlineStr">
        <x:is>
          <x:t xml:space="preserve">Secure payment means</x:t>
        </x:is>
      </x:c>
      <x:c r="F719" s="6" t="n"/>
      <x:c r="G719" s="6" t="inlineStr">
        <x:is>
          <x:t xml:space="preserve"/>
        </x:is>
      </x:c>
      <x:c r="H719" s="7" t="inlineStr">
        <x:is>
          <x:t xml:space="preserve">Operating Effectiveness</x:t>
        </x:is>
      </x:c>
      <x:c r="I719" s="7" t="inlineStr">
        <x:is>
          <x:t xml:space="preserve"/>
        </x:is>
      </x:c>
      <x:c r="J719" s="8" t="n">
        <x:v>46371</x:v>
      </x:c>
      <x:c r="K719" s="7" t="inlineStr">
        <x:is>
          <x:t xml:space="preserve">Not Started</x:t>
        </x:is>
      </x:c>
      <x:c r="L719" s="7" t="inlineStr">
        <x:is>
          <x:t xml:space="preserve"/>
        </x:is>
      </x:c>
      <x:c r="M719" s="6" t="inlineStr">
        <x:is>
          <x:t xml:space="preserve"/>
        </x:is>
      </x:c>
    </x:row>
    <x:row r="720" ht="35" customHeight="1">
      <x:c r="A720" s="7" t="inlineStr">
        <x:is>
          <x:t xml:space="preserve">P202612-0719</x:t>
        </x:is>
      </x:c>
      <x:c r="B720" s="7" t="n">
        <x:v>2026</x:v>
      </x:c>
      <x:c r="C720" s="7" t="inlineStr">
        <x:is>
          <x:t xml:space="preserve">Dec</x:t>
        </x:is>
      </x:c>
      <x:c r="D720" s="7" t="inlineStr">
        <x:is>
          <x:t xml:space="preserve">MCS59</x:t>
        </x:is>
      </x:c>
      <x:c r="E720" s="6" t="inlineStr">
        <x:is>
          <x:t xml:space="preserve">Financial instruments, borrowings, commitments and working capital schemes</x:t>
        </x:is>
      </x:c>
      <x:c r="F720" s="6" t="n"/>
      <x:c r="G720" s="6" t="inlineStr">
        <x:is>
          <x:t xml:space="preserve"/>
        </x:is>
      </x:c>
      <x:c r="H720" s="7" t="inlineStr">
        <x:is>
          <x:t xml:space="preserve">Operating Effectiveness</x:t>
        </x:is>
      </x:c>
      <x:c r="I720" s="7" t="inlineStr">
        <x:is>
          <x:t xml:space="preserve"/>
        </x:is>
      </x:c>
      <x:c r="J720" s="8" t="n">
        <x:v>46371</x:v>
      </x:c>
      <x:c r="K720" s="7" t="inlineStr">
        <x:is>
          <x:t xml:space="preserve">Not Started</x:t>
        </x:is>
      </x:c>
      <x:c r="L720" s="7" t="inlineStr">
        <x:is>
          <x:t xml:space="preserve"/>
        </x:is>
      </x:c>
      <x:c r="M720" s="6" t="inlineStr">
        <x:is>
          <x:t xml:space="preserve"/>
        </x:is>
      </x:c>
    </x:row>
    <x:row r="721" ht="35" customHeight="1">
      <x:c r="A721" s="7" t="inlineStr">
        <x:is>
          <x:t xml:space="preserve">P202612-0720</x:t>
        </x:is>
      </x:c>
      <x:c r="B721" s="7" t="n">
        <x:v>2026</x:v>
      </x:c>
      <x:c r="C721" s="7" t="inlineStr">
        <x:is>
          <x:t xml:space="preserve">Dec</x:t>
        </x:is>
      </x:c>
      <x:c r="D721" s="7" t="inlineStr">
        <x:is>
          <x:t xml:space="preserve">MCS60</x:t>
        </x:is>
      </x:c>
      <x:c r="E721" s="6" t="inlineStr">
        <x:is>
          <x:t xml:space="preserve">Forex, interest rate, commodities risks monitoring and hedging</x:t>
        </x:is>
      </x:c>
      <x:c r="F721" s="6" t="n"/>
      <x:c r="G721" s="6" t="inlineStr">
        <x:is>
          <x:t xml:space="preserve"/>
        </x:is>
      </x:c>
      <x:c r="H721" s="7" t="inlineStr">
        <x:is>
          <x:t xml:space="preserve">Operating Effectiveness</x:t>
        </x:is>
      </x:c>
      <x:c r="I721" s="7" t="inlineStr">
        <x:is>
          <x:t xml:space="preserve"/>
        </x:is>
      </x:c>
      <x:c r="J721" s="8" t="n">
        <x:v>46371</x:v>
      </x:c>
      <x:c r="K721" s="7" t="inlineStr">
        <x:is>
          <x:t xml:space="preserve">Not Started</x:t>
        </x:is>
      </x:c>
      <x:c r="L721" s="7" t="inlineStr">
        <x:is>
          <x:t xml:space="preserve"/>
        </x:is>
      </x:c>
      <x:c r="M721" s="6" t="inlineStr">
        <x:is>
          <x:t xml:space="preserve"/>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customWidth="1"/>
    <x:col min="2" max="2" width="16" customWidth="1"/>
    <x:col min="3" max="3" width="10" customWidth="1"/>
    <x:col min="4" max="4" width="8" customWidth="1"/>
    <x:col min="5" max="5" width="8" customWidth="1"/>
    <x:col min="6" max="6" width="14" customWidth="1"/>
    <x:col min="7" max="7" width="18" customWidth="1"/>
    <x:col min="8" max="8" width="18" customWidth="1"/>
    <x:col min="9" max="9" width="10" customWidth="1"/>
    <x:col min="10" max="10" width="10" customWidth="1"/>
    <x:col min="11" max="11" width="35" customWidth="1"/>
    <x:col min="12" max="12" width="10" customWidth="1"/>
    <x:col min="13" max="13" width="24" customWidth="1"/>
    <x:col min="14" max="14" width="30" customWidth="1"/>
  </x:cols>
  <x:sheetData>
    <x:row r="1" ht="28" customHeight="1">
      <x:c r="A1" s="5" t="inlineStr">
        <x:is>
          <x:t xml:space="preserve">Test ID</x:t>
        </x:is>
      </x:c>
      <x:c r="B1" s="5" t="inlineStr">
        <x:is>
          <x:t xml:space="preserve">Plan ID</x:t>
        </x:is>
      </x:c>
      <x:c r="C1" s="5" t="inlineStr">
        <x:is>
          <x:t xml:space="preserve">Control ID</x:t>
        </x:is>
      </x:c>
      <x:c r="D1" s="5" t="inlineStr">
        <x:is>
          <x:t xml:space="preserve">Year</x:t>
        </x:is>
      </x:c>
      <x:c r="E1" s="5" t="inlineStr">
        <x:is>
          <x:t xml:space="preserve">Month</x:t>
        </x:is>
      </x:c>
      <x:c r="F1" s="5" t="inlineStr">
        <x:is>
          <x:t xml:space="preserve">Test Date</x:t>
        </x:is>
      </x:c>
      <x:c r="G1" s="5" t="inlineStr">
        <x:is>
          <x:t xml:space="preserve">Tester</x:t>
        </x:is>
      </x:c>
      <x:c r="H1" s="5" t="inlineStr">
        <x:is>
          <x:t xml:space="preserve">Evidence Received?</x:t>
        </x:is>
      </x:c>
      <x:c r="I1" s="5" t="inlineStr">
        <x:is>
          <x:t xml:space="preserve">Result</x:t>
        </x:is>
      </x:c>
      <x:c r="J1" s="5" t="inlineStr">
        <x:is>
          <x:t xml:space="preserve">Severity</x:t>
        </x:is>
      </x:c>
      <x:c r="K1" s="5" t="inlineStr">
        <x:is>
          <x:t xml:space="preserve">Exception Description</x:t>
        </x:is>
      </x:c>
      <x:c r="L1" s="5" t="inlineStr">
        <x:is>
          <x:t xml:space="preserve">Issue ID</x:t>
        </x:is>
      </x:c>
      <x:c r="M1" s="5" t="inlineStr">
        <x:is>
          <x:t xml:space="preserve">Workpaper Link</x:t>
        </x:is>
      </x:c>
      <x:c r="N1" s="5" t="inlineStr">
        <x:is>
          <x:t xml:space="preserve">Notes</x:t>
        </x:is>
      </x:c>
    </x:row>
    <x:row r="2">
      <x:c r="A2" s="7">
        <x:f>IF(B2="","", "T-"&amp;TEXT(ROW()-1,"00000"))</x:f>
      </x:c>
      <x:c r="B2" s="7" t="inlineStr">
        <x:is>
          <x:t xml:space="preserve"/>
        </x:is>
      </x:c>
      <x:c r="C2" s="7" t="inlineStr">
        <x:is>
          <x:t xml:space="preserve"/>
        </x:is>
      </x:c>
      <x:c r="D2" s="7">
        <x:f>IF(B2="","",VALUE(MID(B2,2,4)))</x:f>
      </x:c>
      <x:c r="E2" s="7">
        <x:f>IF(B2="","",MID(B2,6,2))</x:f>
      </x:c>
      <x:c r="F2" s="8" t="inlineStr">
        <x:is>
          <x:t xml:space="preserve"/>
        </x:is>
      </x:c>
      <x:c r="G2" s="6" t="inlineStr">
        <x:is>
          <x:t xml:space="preserve"/>
        </x:is>
      </x:c>
      <x:c r="H2" s="7" t="inlineStr">
        <x:is>
          <x:t xml:space="preserve"/>
        </x:is>
      </x:c>
      <x:c r="I2" s="7" t="inlineStr">
        <x:is>
          <x:t xml:space="preserve"/>
        </x:is>
      </x:c>
      <x:c r="J2" s="7" t="inlineStr">
        <x:is>
          <x:t xml:space="preserve"/>
        </x:is>
      </x:c>
      <x:c r="K2" s="6" t="inlineStr">
        <x:is>
          <x:t xml:space="preserve"/>
        </x:is>
      </x:c>
      <x:c r="L2" s="7" t="inlineStr">
        <x:is>
          <x:t xml:space="preserve"/>
        </x:is>
      </x:c>
      <x:c r="M2" s="6" t="inlineStr">
        <x:is>
          <x:t xml:space="preserve"/>
        </x:is>
      </x:c>
      <x:c r="N2" s="6" t="inlineStr">
        <x:is>
          <x:t xml:space="preserve"/>
        </x:is>
      </x:c>
    </x:row>
    <x:row r="3">
      <x:c r="A3" s="7">
        <x:f>IF(B3="","", "T-"&amp;TEXT(ROW()-1,"00000"))</x:f>
      </x:c>
      <x:c r="B3" s="7" t="inlineStr">
        <x:is>
          <x:t xml:space="preserve"/>
        </x:is>
      </x:c>
      <x:c r="C3" s="7" t="inlineStr">
        <x:is>
          <x:t xml:space="preserve"/>
        </x:is>
      </x:c>
      <x:c r="D3" s="7">
        <x:f>IF(B3="","",VALUE(MID(B3,2,4)))</x:f>
      </x:c>
      <x:c r="E3" s="7">
        <x:f>IF(B3="","",MID(B3,6,2))</x:f>
      </x:c>
      <x:c r="F3" s="8" t="inlineStr">
        <x:is>
          <x:t xml:space="preserve"/>
        </x:is>
      </x:c>
      <x:c r="G3" s="6" t="inlineStr">
        <x:is>
          <x:t xml:space="preserve"/>
        </x:is>
      </x:c>
      <x:c r="H3" s="7" t="inlineStr">
        <x:is>
          <x:t xml:space="preserve"/>
        </x:is>
      </x:c>
      <x:c r="I3" s="7" t="inlineStr">
        <x:is>
          <x:t xml:space="preserve"/>
        </x:is>
      </x:c>
      <x:c r="J3" s="7" t="inlineStr">
        <x:is>
          <x:t xml:space="preserve"/>
        </x:is>
      </x:c>
      <x:c r="K3" s="6" t="inlineStr">
        <x:is>
          <x:t xml:space="preserve"/>
        </x:is>
      </x:c>
      <x:c r="L3" s="7" t="inlineStr">
        <x:is>
          <x:t xml:space="preserve"/>
        </x:is>
      </x:c>
      <x:c r="M3" s="6" t="inlineStr">
        <x:is>
          <x:t xml:space="preserve"/>
        </x:is>
      </x:c>
      <x:c r="N3" s="6" t="inlineStr">
        <x:is>
          <x:t xml:space="preserve"/>
        </x:is>
      </x:c>
    </x:row>
    <x:row r="4">
      <x:c r="A4" s="7">
        <x:f>IF(B4="","", "T-"&amp;TEXT(ROW()-1,"00000"))</x:f>
      </x:c>
      <x:c r="B4" s="7" t="inlineStr">
        <x:is>
          <x:t xml:space="preserve"/>
        </x:is>
      </x:c>
      <x:c r="C4" s="7" t="inlineStr">
        <x:is>
          <x:t xml:space="preserve"/>
        </x:is>
      </x:c>
      <x:c r="D4" s="7">
        <x:f>IF(B4="","",VALUE(MID(B4,2,4)))</x:f>
      </x:c>
      <x:c r="E4" s="7">
        <x:f>IF(B4="","",MID(B4,6,2))</x:f>
      </x:c>
      <x:c r="F4" s="8" t="inlineStr">
        <x:is>
          <x:t xml:space="preserve"/>
        </x:is>
      </x:c>
      <x:c r="G4" s="6" t="inlineStr">
        <x:is>
          <x:t xml:space="preserve"/>
        </x:is>
      </x:c>
      <x:c r="H4" s="7" t="inlineStr">
        <x:is>
          <x:t xml:space="preserve"/>
        </x:is>
      </x:c>
      <x:c r="I4" s="7" t="inlineStr">
        <x:is>
          <x:t xml:space="preserve"/>
        </x:is>
      </x:c>
      <x:c r="J4" s="7" t="inlineStr">
        <x:is>
          <x:t xml:space="preserve"/>
        </x:is>
      </x:c>
      <x:c r="K4" s="6" t="inlineStr">
        <x:is>
          <x:t xml:space="preserve"/>
        </x:is>
      </x:c>
      <x:c r="L4" s="7" t="inlineStr">
        <x:is>
          <x:t xml:space="preserve"/>
        </x:is>
      </x:c>
      <x:c r="M4" s="6" t="inlineStr">
        <x:is>
          <x:t xml:space="preserve"/>
        </x:is>
      </x:c>
      <x:c r="N4" s="6" t="inlineStr">
        <x:is>
          <x:t xml:space="preserve"/>
        </x:is>
      </x:c>
    </x:row>
    <x:row r="5">
      <x:c r="A5" s="7">
        <x:f>IF(B5="","", "T-"&amp;TEXT(ROW()-1,"00000"))</x:f>
      </x:c>
      <x:c r="B5" s="7" t="inlineStr">
        <x:is>
          <x:t xml:space="preserve"/>
        </x:is>
      </x:c>
      <x:c r="C5" s="7" t="inlineStr">
        <x:is>
          <x:t xml:space="preserve"/>
        </x:is>
      </x:c>
      <x:c r="D5" s="7">
        <x:f>IF(B5="","",VALUE(MID(B5,2,4)))</x:f>
      </x:c>
      <x:c r="E5" s="7">
        <x:f>IF(B5="","",MID(B5,6,2))</x:f>
      </x:c>
      <x:c r="F5" s="8" t="inlineStr">
        <x:is>
          <x:t xml:space="preserve"/>
        </x:is>
      </x:c>
      <x:c r="G5" s="6" t="inlineStr">
        <x:is>
          <x:t xml:space="preserve"/>
        </x:is>
      </x:c>
      <x:c r="H5" s="7" t="inlineStr">
        <x:is>
          <x:t xml:space="preserve"/>
        </x:is>
      </x:c>
      <x:c r="I5" s="7" t="inlineStr">
        <x:is>
          <x:t xml:space="preserve"/>
        </x:is>
      </x:c>
      <x:c r="J5" s="7" t="inlineStr">
        <x:is>
          <x:t xml:space="preserve"/>
        </x:is>
      </x:c>
      <x:c r="K5" s="6" t="inlineStr">
        <x:is>
          <x:t xml:space="preserve"/>
        </x:is>
      </x:c>
      <x:c r="L5" s="7" t="inlineStr">
        <x:is>
          <x:t xml:space="preserve"/>
        </x:is>
      </x:c>
      <x:c r="M5" s="6" t="inlineStr">
        <x:is>
          <x:t xml:space="preserve"/>
        </x:is>
      </x:c>
      <x:c r="N5" s="6" t="inlineStr">
        <x:is>
          <x:t xml:space="preserve"/>
        </x:is>
      </x:c>
    </x:row>
    <x:row r="6">
      <x:c r="A6" s="7">
        <x:f>IF(B6="","", "T-"&amp;TEXT(ROW()-1,"00000"))</x:f>
      </x:c>
      <x:c r="B6" s="7" t="inlineStr">
        <x:is>
          <x:t xml:space="preserve"/>
        </x:is>
      </x:c>
      <x:c r="C6" s="7" t="inlineStr">
        <x:is>
          <x:t xml:space="preserve"/>
        </x:is>
      </x:c>
      <x:c r="D6" s="7">
        <x:f>IF(B6="","",VALUE(MID(B6,2,4)))</x:f>
      </x:c>
      <x:c r="E6" s="7">
        <x:f>IF(B6="","",MID(B6,6,2))</x:f>
      </x:c>
      <x:c r="F6" s="8" t="inlineStr">
        <x:is>
          <x:t xml:space="preserve"/>
        </x:is>
      </x:c>
      <x:c r="G6" s="6" t="inlineStr">
        <x:is>
          <x:t xml:space="preserve"/>
        </x:is>
      </x:c>
      <x:c r="H6" s="7" t="inlineStr">
        <x:is>
          <x:t xml:space="preserve"/>
        </x:is>
      </x:c>
      <x:c r="I6" s="7" t="inlineStr">
        <x:is>
          <x:t xml:space="preserve"/>
        </x:is>
      </x:c>
      <x:c r="J6" s="7" t="inlineStr">
        <x:is>
          <x:t xml:space="preserve"/>
        </x:is>
      </x:c>
      <x:c r="K6" s="6" t="inlineStr">
        <x:is>
          <x:t xml:space="preserve"/>
        </x:is>
      </x:c>
      <x:c r="L6" s="7" t="inlineStr">
        <x:is>
          <x:t xml:space="preserve"/>
        </x:is>
      </x:c>
      <x:c r="M6" s="6" t="inlineStr">
        <x:is>
          <x:t xml:space="preserve"/>
        </x:is>
      </x:c>
      <x:c r="N6" s="6" t="inlineStr">
        <x:is>
          <x:t xml:space="preserve"/>
        </x:is>
      </x:c>
    </x:row>
    <x:row r="7">
      <x:c r="A7" s="7">
        <x:f>IF(B7="","", "T-"&amp;TEXT(ROW()-1,"00000"))</x:f>
      </x:c>
      <x:c r="B7" s="7" t="inlineStr">
        <x:is>
          <x:t xml:space="preserve"/>
        </x:is>
      </x:c>
      <x:c r="C7" s="7" t="inlineStr">
        <x:is>
          <x:t xml:space="preserve"/>
        </x:is>
      </x:c>
      <x:c r="D7" s="7">
        <x:f>IF(B7="","",VALUE(MID(B7,2,4)))</x:f>
      </x:c>
      <x:c r="E7" s="7">
        <x:f>IF(B7="","",MID(B7,6,2))</x:f>
      </x:c>
      <x:c r="F7" s="8" t="inlineStr">
        <x:is>
          <x:t xml:space="preserve"/>
        </x:is>
      </x:c>
      <x:c r="G7" s="6" t="inlineStr">
        <x:is>
          <x:t xml:space="preserve"/>
        </x:is>
      </x:c>
      <x:c r="H7" s="7" t="inlineStr">
        <x:is>
          <x:t xml:space="preserve"/>
        </x:is>
      </x:c>
      <x:c r="I7" s="7" t="inlineStr">
        <x:is>
          <x:t xml:space="preserve"/>
        </x:is>
      </x:c>
      <x:c r="J7" s="7" t="inlineStr">
        <x:is>
          <x:t xml:space="preserve"/>
        </x:is>
      </x:c>
      <x:c r="K7" s="6" t="inlineStr">
        <x:is>
          <x:t xml:space="preserve"/>
        </x:is>
      </x:c>
      <x:c r="L7" s="7" t="inlineStr">
        <x:is>
          <x:t xml:space="preserve"/>
        </x:is>
      </x:c>
      <x:c r="M7" s="6" t="inlineStr">
        <x:is>
          <x:t xml:space="preserve"/>
        </x:is>
      </x:c>
      <x:c r="N7" s="6" t="inlineStr">
        <x:is>
          <x:t xml:space="preserve"/>
        </x:is>
      </x:c>
    </x:row>
    <x:row r="8">
      <x:c r="A8" s="7">
        <x:f>IF(B8="","", "T-"&amp;TEXT(ROW()-1,"00000"))</x:f>
      </x:c>
      <x:c r="B8" s="7" t="inlineStr">
        <x:is>
          <x:t xml:space="preserve"/>
        </x:is>
      </x:c>
      <x:c r="C8" s="7" t="inlineStr">
        <x:is>
          <x:t xml:space="preserve"/>
        </x:is>
      </x:c>
      <x:c r="D8" s="7">
        <x:f>IF(B8="","",VALUE(MID(B8,2,4)))</x:f>
      </x:c>
      <x:c r="E8" s="7">
        <x:f>IF(B8="","",MID(B8,6,2))</x:f>
      </x:c>
      <x:c r="F8" s="8" t="inlineStr">
        <x:is>
          <x:t xml:space="preserve"/>
        </x:is>
      </x:c>
      <x:c r="G8" s="6" t="inlineStr">
        <x:is>
          <x:t xml:space="preserve"/>
        </x:is>
      </x:c>
      <x:c r="H8" s="7" t="inlineStr">
        <x:is>
          <x:t xml:space="preserve"/>
        </x:is>
      </x:c>
      <x:c r="I8" s="7" t="inlineStr">
        <x:is>
          <x:t xml:space="preserve"/>
        </x:is>
      </x:c>
      <x:c r="J8" s="7" t="inlineStr">
        <x:is>
          <x:t xml:space="preserve"/>
        </x:is>
      </x:c>
      <x:c r="K8" s="6" t="inlineStr">
        <x:is>
          <x:t xml:space="preserve"/>
        </x:is>
      </x:c>
      <x:c r="L8" s="7" t="inlineStr">
        <x:is>
          <x:t xml:space="preserve"/>
        </x:is>
      </x:c>
      <x:c r="M8" s="6" t="inlineStr">
        <x:is>
          <x:t xml:space="preserve"/>
        </x:is>
      </x:c>
      <x:c r="N8" s="6" t="inlineStr">
        <x:is>
          <x:t xml:space="preserve"/>
        </x:is>
      </x:c>
    </x:row>
    <x:row r="9">
      <x:c r="A9" s="7">
        <x:f>IF(B9="","", "T-"&amp;TEXT(ROW()-1,"00000"))</x:f>
      </x:c>
      <x:c r="B9" s="7" t="inlineStr">
        <x:is>
          <x:t xml:space="preserve"/>
        </x:is>
      </x:c>
      <x:c r="C9" s="7" t="inlineStr">
        <x:is>
          <x:t xml:space="preserve"/>
        </x:is>
      </x:c>
      <x:c r="D9" s="7">
        <x:f>IF(B9="","",VALUE(MID(B9,2,4)))</x:f>
      </x:c>
      <x:c r="E9" s="7">
        <x:f>IF(B9="","",MID(B9,6,2))</x:f>
      </x:c>
      <x:c r="F9" s="8" t="inlineStr">
        <x:is>
          <x:t xml:space="preserve"/>
        </x:is>
      </x:c>
      <x:c r="G9" s="6" t="inlineStr">
        <x:is>
          <x:t xml:space="preserve"/>
        </x:is>
      </x:c>
      <x:c r="H9" s="7" t="inlineStr">
        <x:is>
          <x:t xml:space="preserve"/>
        </x:is>
      </x:c>
      <x:c r="I9" s="7" t="inlineStr">
        <x:is>
          <x:t xml:space="preserve"/>
        </x:is>
      </x:c>
      <x:c r="J9" s="7" t="inlineStr">
        <x:is>
          <x:t xml:space="preserve"/>
        </x:is>
      </x:c>
      <x:c r="K9" s="6" t="inlineStr">
        <x:is>
          <x:t xml:space="preserve"/>
        </x:is>
      </x:c>
      <x:c r="L9" s="7" t="inlineStr">
        <x:is>
          <x:t xml:space="preserve"/>
        </x:is>
      </x:c>
      <x:c r="M9" s="6" t="inlineStr">
        <x:is>
          <x:t xml:space="preserve"/>
        </x:is>
      </x:c>
      <x:c r="N9" s="6" t="inlineStr">
        <x:is>
          <x:t xml:space="preserve"/>
        </x:is>
      </x:c>
    </x:row>
    <x:row r="10">
      <x:c r="A10" s="7">
        <x:f>IF(B10="","", "T-"&amp;TEXT(ROW()-1,"00000"))</x:f>
      </x:c>
      <x:c r="B10" s="7" t="inlineStr">
        <x:is>
          <x:t xml:space="preserve"/>
        </x:is>
      </x:c>
      <x:c r="C10" s="7" t="inlineStr">
        <x:is>
          <x:t xml:space="preserve"/>
        </x:is>
      </x:c>
      <x:c r="D10" s="7">
        <x:f>IF(B10="","",VALUE(MID(B10,2,4)))</x:f>
      </x:c>
      <x:c r="E10" s="7">
        <x:f>IF(B10="","",MID(B10,6,2))</x:f>
      </x:c>
      <x:c r="F10" s="8" t="inlineStr">
        <x:is>
          <x:t xml:space="preserve"/>
        </x:is>
      </x:c>
      <x:c r="G10" s="6" t="inlineStr">
        <x:is>
          <x:t xml:space="preserve"/>
        </x:is>
      </x:c>
      <x:c r="H10" s="7" t="inlineStr">
        <x:is>
          <x:t xml:space="preserve"/>
        </x:is>
      </x:c>
      <x:c r="I10" s="7" t="inlineStr">
        <x:is>
          <x:t xml:space="preserve"/>
        </x:is>
      </x:c>
      <x:c r="J10" s="7" t="inlineStr">
        <x:is>
          <x:t xml:space="preserve"/>
        </x:is>
      </x:c>
      <x:c r="K10" s="6" t="inlineStr">
        <x:is>
          <x:t xml:space="preserve"/>
        </x:is>
      </x:c>
      <x:c r="L10" s="7" t="inlineStr">
        <x:is>
          <x:t xml:space="preserve"/>
        </x:is>
      </x:c>
      <x:c r="M10" s="6" t="inlineStr">
        <x:is>
          <x:t xml:space="preserve"/>
        </x:is>
      </x:c>
      <x:c r="N10" s="6" t="inlineStr">
        <x:is>
          <x:t xml:space="preserve"/>
        </x:is>
      </x:c>
    </x:row>
    <x:row r="11">
      <x:c r="A11" s="7">
        <x:f>IF(B11="","", "T-"&amp;TEXT(ROW()-1,"00000"))</x:f>
      </x:c>
      <x:c r="B11" s="7" t="inlineStr">
        <x:is>
          <x:t xml:space="preserve"/>
        </x:is>
      </x:c>
      <x:c r="C11" s="7" t="inlineStr">
        <x:is>
          <x:t xml:space="preserve"/>
        </x:is>
      </x:c>
      <x:c r="D11" s="7">
        <x:f>IF(B11="","",VALUE(MID(B11,2,4)))</x:f>
      </x:c>
      <x:c r="E11" s="7">
        <x:f>IF(B11="","",MID(B11,6,2))</x:f>
      </x:c>
      <x:c r="F11" s="8" t="inlineStr">
        <x:is>
          <x:t xml:space="preserve"/>
        </x:is>
      </x:c>
      <x:c r="G11" s="6" t="inlineStr">
        <x:is>
          <x:t xml:space="preserve"/>
        </x:is>
      </x:c>
      <x:c r="H11" s="7" t="inlineStr">
        <x:is>
          <x:t xml:space="preserve"/>
        </x:is>
      </x:c>
      <x:c r="I11" s="7" t="inlineStr">
        <x:is>
          <x:t xml:space="preserve"/>
        </x:is>
      </x:c>
      <x:c r="J11" s="7" t="inlineStr">
        <x:is>
          <x:t xml:space="preserve"/>
        </x:is>
      </x:c>
      <x:c r="K11" s="6" t="inlineStr">
        <x:is>
          <x:t xml:space="preserve"/>
        </x:is>
      </x:c>
      <x:c r="L11" s="7" t="inlineStr">
        <x:is>
          <x:t xml:space="preserve"/>
        </x:is>
      </x:c>
      <x:c r="M11" s="6" t="inlineStr">
        <x:is>
          <x:t xml:space="preserve"/>
        </x:is>
      </x:c>
      <x:c r="N11" s="6" t="inlineStr">
        <x:is>
          <x:t xml:space="preserve"/>
        </x:is>
      </x:c>
    </x:row>
    <x:row r="12">
      <x:c r="A12" s="7">
        <x:f>IF(B12="","", "T-"&amp;TEXT(ROW()-1,"00000"))</x:f>
      </x:c>
      <x:c r="B12" s="7" t="inlineStr">
        <x:is>
          <x:t xml:space="preserve"/>
        </x:is>
      </x:c>
      <x:c r="C12" s="7" t="inlineStr">
        <x:is>
          <x:t xml:space="preserve"/>
        </x:is>
      </x:c>
      <x:c r="D12" s="7">
        <x:f>IF(B12="","",VALUE(MID(B12,2,4)))</x:f>
      </x:c>
      <x:c r="E12" s="7">
        <x:f>IF(B12="","",MID(B12,6,2))</x:f>
      </x:c>
      <x:c r="F12" s="8" t="inlineStr">
        <x:is>
          <x:t xml:space="preserve"/>
        </x:is>
      </x:c>
      <x:c r="G12" s="6" t="inlineStr">
        <x:is>
          <x:t xml:space="preserve"/>
        </x:is>
      </x:c>
      <x:c r="H12" s="7" t="inlineStr">
        <x:is>
          <x:t xml:space="preserve"/>
        </x:is>
      </x:c>
      <x:c r="I12" s="7" t="inlineStr">
        <x:is>
          <x:t xml:space="preserve"/>
        </x:is>
      </x:c>
      <x:c r="J12" s="7" t="inlineStr">
        <x:is>
          <x:t xml:space="preserve"/>
        </x:is>
      </x:c>
      <x:c r="K12" s="6" t="inlineStr">
        <x:is>
          <x:t xml:space="preserve"/>
        </x:is>
      </x:c>
      <x:c r="L12" s="7" t="inlineStr">
        <x:is>
          <x:t xml:space="preserve"/>
        </x:is>
      </x:c>
      <x:c r="M12" s="6" t="inlineStr">
        <x:is>
          <x:t xml:space="preserve"/>
        </x:is>
      </x:c>
      <x:c r="N12" s="6" t="inlineStr">
        <x:is>
          <x:t xml:space="preserve"/>
        </x:is>
      </x:c>
    </x:row>
    <x:row r="13">
      <x:c r="A13" s="7">
        <x:f>IF(B13="","", "T-"&amp;TEXT(ROW()-1,"00000"))</x:f>
      </x:c>
      <x:c r="B13" s="7" t="inlineStr">
        <x:is>
          <x:t xml:space="preserve"/>
        </x:is>
      </x:c>
      <x:c r="C13" s="7" t="inlineStr">
        <x:is>
          <x:t xml:space="preserve"/>
        </x:is>
      </x:c>
      <x:c r="D13" s="7">
        <x:f>IF(B13="","",VALUE(MID(B13,2,4)))</x:f>
      </x:c>
      <x:c r="E13" s="7">
        <x:f>IF(B13="","",MID(B13,6,2))</x:f>
      </x:c>
      <x:c r="F13" s="8" t="inlineStr">
        <x:is>
          <x:t xml:space="preserve"/>
        </x:is>
      </x:c>
      <x:c r="G13" s="6" t="inlineStr">
        <x:is>
          <x:t xml:space="preserve"/>
        </x:is>
      </x:c>
      <x:c r="H13" s="7" t="inlineStr">
        <x:is>
          <x:t xml:space="preserve"/>
        </x:is>
      </x:c>
      <x:c r="I13" s="7" t="inlineStr">
        <x:is>
          <x:t xml:space="preserve"/>
        </x:is>
      </x:c>
      <x:c r="J13" s="7" t="inlineStr">
        <x:is>
          <x:t xml:space="preserve"/>
        </x:is>
      </x:c>
      <x:c r="K13" s="6" t="inlineStr">
        <x:is>
          <x:t xml:space="preserve"/>
        </x:is>
      </x:c>
      <x:c r="L13" s="7" t="inlineStr">
        <x:is>
          <x:t xml:space="preserve"/>
        </x:is>
      </x:c>
      <x:c r="M13" s="6" t="inlineStr">
        <x:is>
          <x:t xml:space="preserve"/>
        </x:is>
      </x:c>
      <x:c r="N13" s="6" t="inlineStr">
        <x:is>
          <x:t xml:space="preserve"/>
        </x:is>
      </x:c>
    </x:row>
    <x:row r="14">
      <x:c r="A14" s="7">
        <x:f>IF(B14="","", "T-"&amp;TEXT(ROW()-1,"00000"))</x:f>
      </x:c>
      <x:c r="B14" s="7" t="inlineStr">
        <x:is>
          <x:t xml:space="preserve"/>
        </x:is>
      </x:c>
      <x:c r="C14" s="7" t="inlineStr">
        <x:is>
          <x:t xml:space="preserve"/>
        </x:is>
      </x:c>
      <x:c r="D14" s="7">
        <x:f>IF(B14="","",VALUE(MID(B14,2,4)))</x:f>
      </x:c>
      <x:c r="E14" s="7">
        <x:f>IF(B14="","",MID(B14,6,2))</x:f>
      </x:c>
      <x:c r="F14" s="8" t="inlineStr">
        <x:is>
          <x:t xml:space="preserve"/>
        </x:is>
      </x:c>
      <x:c r="G14" s="6" t="inlineStr">
        <x:is>
          <x:t xml:space="preserve"/>
        </x:is>
      </x:c>
      <x:c r="H14" s="7" t="inlineStr">
        <x:is>
          <x:t xml:space="preserve"/>
        </x:is>
      </x:c>
      <x:c r="I14" s="7" t="inlineStr">
        <x:is>
          <x:t xml:space="preserve"/>
        </x:is>
      </x:c>
      <x:c r="J14" s="7" t="inlineStr">
        <x:is>
          <x:t xml:space="preserve"/>
        </x:is>
      </x:c>
      <x:c r="K14" s="6" t="inlineStr">
        <x:is>
          <x:t xml:space="preserve"/>
        </x:is>
      </x:c>
      <x:c r="L14" s="7" t="inlineStr">
        <x:is>
          <x:t xml:space="preserve"/>
        </x:is>
      </x:c>
      <x:c r="M14" s="6" t="inlineStr">
        <x:is>
          <x:t xml:space="preserve"/>
        </x:is>
      </x:c>
      <x:c r="N14" s="6" t="inlineStr">
        <x:is>
          <x:t xml:space="preserve"/>
        </x:is>
      </x:c>
    </x:row>
    <x:row r="15">
      <x:c r="A15" s="7">
        <x:f>IF(B15="","", "T-"&amp;TEXT(ROW()-1,"00000"))</x:f>
      </x:c>
      <x:c r="B15" s="7" t="inlineStr">
        <x:is>
          <x:t xml:space="preserve"/>
        </x:is>
      </x:c>
      <x:c r="C15" s="7" t="inlineStr">
        <x:is>
          <x:t xml:space="preserve"/>
        </x:is>
      </x:c>
      <x:c r="D15" s="7">
        <x:f>IF(B15="","",VALUE(MID(B15,2,4)))</x:f>
      </x:c>
      <x:c r="E15" s="7">
        <x:f>IF(B15="","",MID(B15,6,2))</x:f>
      </x:c>
      <x:c r="F15" s="8" t="inlineStr">
        <x:is>
          <x:t xml:space="preserve"/>
        </x:is>
      </x:c>
      <x:c r="G15" s="6" t="inlineStr">
        <x:is>
          <x:t xml:space="preserve"/>
        </x:is>
      </x:c>
      <x:c r="H15" s="7" t="inlineStr">
        <x:is>
          <x:t xml:space="preserve"/>
        </x:is>
      </x:c>
      <x:c r="I15" s="7" t="inlineStr">
        <x:is>
          <x:t xml:space="preserve"/>
        </x:is>
      </x:c>
      <x:c r="J15" s="7" t="inlineStr">
        <x:is>
          <x:t xml:space="preserve"/>
        </x:is>
      </x:c>
      <x:c r="K15" s="6" t="inlineStr">
        <x:is>
          <x:t xml:space="preserve"/>
        </x:is>
      </x:c>
      <x:c r="L15" s="7" t="inlineStr">
        <x:is>
          <x:t xml:space="preserve"/>
        </x:is>
      </x:c>
      <x:c r="M15" s="6" t="inlineStr">
        <x:is>
          <x:t xml:space="preserve"/>
        </x:is>
      </x:c>
      <x:c r="N15" s="6" t="inlineStr">
        <x:is>
          <x:t xml:space="preserve"/>
        </x:is>
      </x:c>
    </x:row>
    <x:row r="16">
      <x:c r="A16" s="7">
        <x:f>IF(B16="","", "T-"&amp;TEXT(ROW()-1,"00000"))</x:f>
      </x:c>
      <x:c r="B16" s="7" t="inlineStr">
        <x:is>
          <x:t xml:space="preserve"/>
        </x:is>
      </x:c>
      <x:c r="C16" s="7" t="inlineStr">
        <x:is>
          <x:t xml:space="preserve"/>
        </x:is>
      </x:c>
      <x:c r="D16" s="7">
        <x:f>IF(B16="","",VALUE(MID(B16,2,4)))</x:f>
      </x:c>
      <x:c r="E16" s="7">
        <x:f>IF(B16="","",MID(B16,6,2))</x:f>
      </x:c>
      <x:c r="F16" s="8" t="inlineStr">
        <x:is>
          <x:t xml:space="preserve"/>
        </x:is>
      </x:c>
      <x:c r="G16" s="6" t="inlineStr">
        <x:is>
          <x:t xml:space="preserve"/>
        </x:is>
      </x:c>
      <x:c r="H16" s="7" t="inlineStr">
        <x:is>
          <x:t xml:space="preserve"/>
        </x:is>
      </x:c>
      <x:c r="I16" s="7" t="inlineStr">
        <x:is>
          <x:t xml:space="preserve"/>
        </x:is>
      </x:c>
      <x:c r="J16" s="7" t="inlineStr">
        <x:is>
          <x:t xml:space="preserve"/>
        </x:is>
      </x:c>
      <x:c r="K16" s="6" t="inlineStr">
        <x:is>
          <x:t xml:space="preserve"/>
        </x:is>
      </x:c>
      <x:c r="L16" s="7" t="inlineStr">
        <x:is>
          <x:t xml:space="preserve"/>
        </x:is>
      </x:c>
      <x:c r="M16" s="6" t="inlineStr">
        <x:is>
          <x:t xml:space="preserve"/>
        </x:is>
      </x:c>
      <x:c r="N16" s="6" t="inlineStr">
        <x:is>
          <x:t xml:space="preserve"/>
        </x:is>
      </x:c>
    </x:row>
    <x:row r="17">
      <x:c r="A17" s="7">
        <x:f>IF(B17="","", "T-"&amp;TEXT(ROW()-1,"00000"))</x:f>
      </x:c>
      <x:c r="B17" s="7" t="inlineStr">
        <x:is>
          <x:t xml:space="preserve"/>
        </x:is>
      </x:c>
      <x:c r="C17" s="7" t="inlineStr">
        <x:is>
          <x:t xml:space="preserve"/>
        </x:is>
      </x:c>
      <x:c r="D17" s="7">
        <x:f>IF(B17="","",VALUE(MID(B17,2,4)))</x:f>
      </x:c>
      <x:c r="E17" s="7">
        <x:f>IF(B17="","",MID(B17,6,2))</x:f>
      </x:c>
      <x:c r="F17" s="8" t="inlineStr">
        <x:is>
          <x:t xml:space="preserve"/>
        </x:is>
      </x:c>
      <x:c r="G17" s="6" t="inlineStr">
        <x:is>
          <x:t xml:space="preserve"/>
        </x:is>
      </x:c>
      <x:c r="H17" s="7" t="inlineStr">
        <x:is>
          <x:t xml:space="preserve"/>
        </x:is>
      </x:c>
      <x:c r="I17" s="7" t="inlineStr">
        <x:is>
          <x:t xml:space="preserve"/>
        </x:is>
      </x:c>
      <x:c r="J17" s="7" t="inlineStr">
        <x:is>
          <x:t xml:space="preserve"/>
        </x:is>
      </x:c>
      <x:c r="K17" s="6" t="inlineStr">
        <x:is>
          <x:t xml:space="preserve"/>
        </x:is>
      </x:c>
      <x:c r="L17" s="7" t="inlineStr">
        <x:is>
          <x:t xml:space="preserve"/>
        </x:is>
      </x:c>
      <x:c r="M17" s="6" t="inlineStr">
        <x:is>
          <x:t xml:space="preserve"/>
        </x:is>
      </x:c>
      <x:c r="N17" s="6" t="inlineStr">
        <x:is>
          <x:t xml:space="preserve"/>
        </x:is>
      </x:c>
    </x:row>
    <x:row r="18">
      <x:c r="A18" s="7">
        <x:f>IF(B18="","", "T-"&amp;TEXT(ROW()-1,"00000"))</x:f>
      </x:c>
      <x:c r="B18" s="7" t="inlineStr">
        <x:is>
          <x:t xml:space="preserve"/>
        </x:is>
      </x:c>
      <x:c r="C18" s="7" t="inlineStr">
        <x:is>
          <x:t xml:space="preserve"/>
        </x:is>
      </x:c>
      <x:c r="D18" s="7">
        <x:f>IF(B18="","",VALUE(MID(B18,2,4)))</x:f>
      </x:c>
      <x:c r="E18" s="7">
        <x:f>IF(B18="","",MID(B18,6,2))</x:f>
      </x:c>
      <x:c r="F18" s="8" t="inlineStr">
        <x:is>
          <x:t xml:space="preserve"/>
        </x:is>
      </x:c>
      <x:c r="G18" s="6" t="inlineStr">
        <x:is>
          <x:t xml:space="preserve"/>
        </x:is>
      </x:c>
      <x:c r="H18" s="7" t="inlineStr">
        <x:is>
          <x:t xml:space="preserve"/>
        </x:is>
      </x:c>
      <x:c r="I18" s="7" t="inlineStr">
        <x:is>
          <x:t xml:space="preserve"/>
        </x:is>
      </x:c>
      <x:c r="J18" s="7" t="inlineStr">
        <x:is>
          <x:t xml:space="preserve"/>
        </x:is>
      </x:c>
      <x:c r="K18" s="6" t="inlineStr">
        <x:is>
          <x:t xml:space="preserve"/>
        </x:is>
      </x:c>
      <x:c r="L18" s="7" t="inlineStr">
        <x:is>
          <x:t xml:space="preserve"/>
        </x:is>
      </x:c>
      <x:c r="M18" s="6" t="inlineStr">
        <x:is>
          <x:t xml:space="preserve"/>
        </x:is>
      </x:c>
      <x:c r="N18" s="6" t="inlineStr">
        <x:is>
          <x:t xml:space="preserve"/>
        </x:is>
      </x:c>
    </x:row>
    <x:row r="19">
      <x:c r="A19" s="7">
        <x:f>IF(B19="","", "T-"&amp;TEXT(ROW()-1,"00000"))</x:f>
      </x:c>
      <x:c r="B19" s="7" t="inlineStr">
        <x:is>
          <x:t xml:space="preserve"/>
        </x:is>
      </x:c>
      <x:c r="C19" s="7" t="inlineStr">
        <x:is>
          <x:t xml:space="preserve"/>
        </x:is>
      </x:c>
      <x:c r="D19" s="7">
        <x:f>IF(B19="","",VALUE(MID(B19,2,4)))</x:f>
      </x:c>
      <x:c r="E19" s="7">
        <x:f>IF(B19="","",MID(B19,6,2))</x:f>
      </x:c>
      <x:c r="F19" s="8" t="inlineStr">
        <x:is>
          <x:t xml:space="preserve"/>
        </x:is>
      </x:c>
      <x:c r="G19" s="6" t="inlineStr">
        <x:is>
          <x:t xml:space="preserve"/>
        </x:is>
      </x:c>
      <x:c r="H19" s="7" t="inlineStr">
        <x:is>
          <x:t xml:space="preserve"/>
        </x:is>
      </x:c>
      <x:c r="I19" s="7" t="inlineStr">
        <x:is>
          <x:t xml:space="preserve"/>
        </x:is>
      </x:c>
      <x:c r="J19" s="7" t="inlineStr">
        <x:is>
          <x:t xml:space="preserve"/>
        </x:is>
      </x:c>
      <x:c r="K19" s="6" t="inlineStr">
        <x:is>
          <x:t xml:space="preserve"/>
        </x:is>
      </x:c>
      <x:c r="L19" s="7" t="inlineStr">
        <x:is>
          <x:t xml:space="preserve"/>
        </x:is>
      </x:c>
      <x:c r="M19" s="6" t="inlineStr">
        <x:is>
          <x:t xml:space="preserve"/>
        </x:is>
      </x:c>
      <x:c r="N19" s="6" t="inlineStr">
        <x:is>
          <x:t xml:space="preserve"/>
        </x:is>
      </x:c>
    </x:row>
    <x:row r="20">
      <x:c r="A20" s="7">
        <x:f>IF(B20="","", "T-"&amp;TEXT(ROW()-1,"00000"))</x:f>
      </x:c>
      <x:c r="B20" s="7" t="inlineStr">
        <x:is>
          <x:t xml:space="preserve"/>
        </x:is>
      </x:c>
      <x:c r="C20" s="7" t="inlineStr">
        <x:is>
          <x:t xml:space="preserve"/>
        </x:is>
      </x:c>
      <x:c r="D20" s="7">
        <x:f>IF(B20="","",VALUE(MID(B20,2,4)))</x:f>
      </x:c>
      <x:c r="E20" s="7">
        <x:f>IF(B20="","",MID(B20,6,2))</x:f>
      </x:c>
      <x:c r="F20" s="8" t="inlineStr">
        <x:is>
          <x:t xml:space="preserve"/>
        </x:is>
      </x:c>
      <x:c r="G20" s="6" t="inlineStr">
        <x:is>
          <x:t xml:space="preserve"/>
        </x:is>
      </x:c>
      <x:c r="H20" s="7" t="inlineStr">
        <x:is>
          <x:t xml:space="preserve"/>
        </x:is>
      </x:c>
      <x:c r="I20" s="7" t="inlineStr">
        <x:is>
          <x:t xml:space="preserve"/>
        </x:is>
      </x:c>
      <x:c r="J20" s="7" t="inlineStr">
        <x:is>
          <x:t xml:space="preserve"/>
        </x:is>
      </x:c>
      <x:c r="K20" s="6" t="inlineStr">
        <x:is>
          <x:t xml:space="preserve"/>
        </x:is>
      </x:c>
      <x:c r="L20" s="7" t="inlineStr">
        <x:is>
          <x:t xml:space="preserve"/>
        </x:is>
      </x:c>
      <x:c r="M20" s="6" t="inlineStr">
        <x:is>
          <x:t xml:space="preserve"/>
        </x:is>
      </x:c>
      <x:c r="N20" s="6" t="inlineStr">
        <x:is>
          <x:t xml:space="preserve"/>
        </x:is>
      </x:c>
    </x:row>
    <x:row r="21">
      <x:c r="A21" s="7">
        <x:f>IF(B21="","", "T-"&amp;TEXT(ROW()-1,"00000"))</x:f>
      </x:c>
      <x:c r="B21" s="7" t="inlineStr">
        <x:is>
          <x:t xml:space="preserve"/>
        </x:is>
      </x:c>
      <x:c r="C21" s="7" t="inlineStr">
        <x:is>
          <x:t xml:space="preserve"/>
        </x:is>
      </x:c>
      <x:c r="D21" s="7">
        <x:f>IF(B21="","",VALUE(MID(B21,2,4)))</x:f>
      </x:c>
      <x:c r="E21" s="7">
        <x:f>IF(B21="","",MID(B21,6,2))</x:f>
      </x:c>
      <x:c r="F21" s="8" t="inlineStr">
        <x:is>
          <x:t xml:space="preserve"/>
        </x:is>
      </x:c>
      <x:c r="G21" s="6" t="inlineStr">
        <x:is>
          <x:t xml:space="preserve"/>
        </x:is>
      </x:c>
      <x:c r="H21" s="7" t="inlineStr">
        <x:is>
          <x:t xml:space="preserve"/>
        </x:is>
      </x:c>
      <x:c r="I21" s="7" t="inlineStr">
        <x:is>
          <x:t xml:space="preserve"/>
        </x:is>
      </x:c>
      <x:c r="J21" s="7" t="inlineStr">
        <x:is>
          <x:t xml:space="preserve"/>
        </x:is>
      </x:c>
      <x:c r="K21" s="6" t="inlineStr">
        <x:is>
          <x:t xml:space="preserve"/>
        </x:is>
      </x:c>
      <x:c r="L21" s="7" t="inlineStr">
        <x:is>
          <x:t xml:space="preserve"/>
        </x:is>
      </x:c>
      <x:c r="M21" s="6" t="inlineStr">
        <x:is>
          <x:t xml:space="preserve"/>
        </x:is>
      </x:c>
      <x:c r="N21" s="6" t="inlineStr">
        <x:is>
          <x:t xml:space="preserve"/>
        </x:is>
      </x:c>
    </x:row>
    <x:row r="22">
      <x:c r="A22" s="7">
        <x:f>IF(B22="","", "T-"&amp;TEXT(ROW()-1,"00000"))</x:f>
      </x:c>
      <x:c r="B22" s="7" t="inlineStr">
        <x:is>
          <x:t xml:space="preserve"/>
        </x:is>
      </x:c>
      <x:c r="C22" s="7" t="inlineStr">
        <x:is>
          <x:t xml:space="preserve"/>
        </x:is>
      </x:c>
      <x:c r="D22" s="7">
        <x:f>IF(B22="","",VALUE(MID(B22,2,4)))</x:f>
      </x:c>
      <x:c r="E22" s="7">
        <x:f>IF(B22="","",MID(B22,6,2))</x:f>
      </x:c>
      <x:c r="F22" s="8" t="inlineStr">
        <x:is>
          <x:t xml:space="preserve"/>
        </x:is>
      </x:c>
      <x:c r="G22" s="6" t="inlineStr">
        <x:is>
          <x:t xml:space="preserve"/>
        </x:is>
      </x:c>
      <x:c r="H22" s="7" t="inlineStr">
        <x:is>
          <x:t xml:space="preserve"/>
        </x:is>
      </x:c>
      <x:c r="I22" s="7" t="inlineStr">
        <x:is>
          <x:t xml:space="preserve"/>
        </x:is>
      </x:c>
      <x:c r="J22" s="7" t="inlineStr">
        <x:is>
          <x:t xml:space="preserve"/>
        </x:is>
      </x:c>
      <x:c r="K22" s="6" t="inlineStr">
        <x:is>
          <x:t xml:space="preserve"/>
        </x:is>
      </x:c>
      <x:c r="L22" s="7" t="inlineStr">
        <x:is>
          <x:t xml:space="preserve"/>
        </x:is>
      </x:c>
      <x:c r="M22" s="6" t="inlineStr">
        <x:is>
          <x:t xml:space="preserve"/>
        </x:is>
      </x:c>
      <x:c r="N22" s="6" t="inlineStr">
        <x:is>
          <x:t xml:space="preserve"/>
        </x:is>
      </x:c>
    </x:row>
    <x:row r="23">
      <x:c r="A23" s="7">
        <x:f>IF(B23="","", "T-"&amp;TEXT(ROW()-1,"00000"))</x:f>
      </x:c>
      <x:c r="B23" s="7" t="inlineStr">
        <x:is>
          <x:t xml:space="preserve"/>
        </x:is>
      </x:c>
      <x:c r="C23" s="7" t="inlineStr">
        <x:is>
          <x:t xml:space="preserve"/>
        </x:is>
      </x:c>
      <x:c r="D23" s="7">
        <x:f>IF(B23="","",VALUE(MID(B23,2,4)))</x:f>
      </x:c>
      <x:c r="E23" s="7">
        <x:f>IF(B23="","",MID(B23,6,2))</x:f>
      </x:c>
      <x:c r="F23" s="8" t="inlineStr">
        <x:is>
          <x:t xml:space="preserve"/>
        </x:is>
      </x:c>
      <x:c r="G23" s="6" t="inlineStr">
        <x:is>
          <x:t xml:space="preserve"/>
        </x:is>
      </x:c>
      <x:c r="H23" s="7" t="inlineStr">
        <x:is>
          <x:t xml:space="preserve"/>
        </x:is>
      </x:c>
      <x:c r="I23" s="7" t="inlineStr">
        <x:is>
          <x:t xml:space="preserve"/>
        </x:is>
      </x:c>
      <x:c r="J23" s="7" t="inlineStr">
        <x:is>
          <x:t xml:space="preserve"/>
        </x:is>
      </x:c>
      <x:c r="K23" s="6" t="inlineStr">
        <x:is>
          <x:t xml:space="preserve"/>
        </x:is>
      </x:c>
      <x:c r="L23" s="7" t="inlineStr">
        <x:is>
          <x:t xml:space="preserve"/>
        </x:is>
      </x:c>
      <x:c r="M23" s="6" t="inlineStr">
        <x:is>
          <x:t xml:space="preserve"/>
        </x:is>
      </x:c>
      <x:c r="N23" s="6" t="inlineStr">
        <x:is>
          <x:t xml:space="preserve"/>
        </x:is>
      </x:c>
    </x:row>
    <x:row r="24">
      <x:c r="A24" s="7">
        <x:f>IF(B24="","", "T-"&amp;TEXT(ROW()-1,"00000"))</x:f>
      </x:c>
      <x:c r="B24" s="7" t="inlineStr">
        <x:is>
          <x:t xml:space="preserve"/>
        </x:is>
      </x:c>
      <x:c r="C24" s="7" t="inlineStr">
        <x:is>
          <x:t xml:space="preserve"/>
        </x:is>
      </x:c>
      <x:c r="D24" s="7">
        <x:f>IF(B24="","",VALUE(MID(B24,2,4)))</x:f>
      </x:c>
      <x:c r="E24" s="7">
        <x:f>IF(B24="","",MID(B24,6,2))</x:f>
      </x:c>
      <x:c r="F24" s="8" t="inlineStr">
        <x:is>
          <x:t xml:space="preserve"/>
        </x:is>
      </x:c>
      <x:c r="G24" s="6" t="inlineStr">
        <x:is>
          <x:t xml:space="preserve"/>
        </x:is>
      </x:c>
      <x:c r="H24" s="7" t="inlineStr">
        <x:is>
          <x:t xml:space="preserve"/>
        </x:is>
      </x:c>
      <x:c r="I24" s="7" t="inlineStr">
        <x:is>
          <x:t xml:space="preserve"/>
        </x:is>
      </x:c>
      <x:c r="J24" s="7" t="inlineStr">
        <x:is>
          <x:t xml:space="preserve"/>
        </x:is>
      </x:c>
      <x:c r="K24" s="6" t="inlineStr">
        <x:is>
          <x:t xml:space="preserve"/>
        </x:is>
      </x:c>
      <x:c r="L24" s="7" t="inlineStr">
        <x:is>
          <x:t xml:space="preserve"/>
        </x:is>
      </x:c>
      <x:c r="M24" s="6" t="inlineStr">
        <x:is>
          <x:t xml:space="preserve"/>
        </x:is>
      </x:c>
      <x:c r="N24" s="6" t="inlineStr">
        <x:is>
          <x:t xml:space="preserve"/>
        </x:is>
      </x:c>
    </x:row>
    <x:row r="25">
      <x:c r="A25" s="7">
        <x:f>IF(B25="","", "T-"&amp;TEXT(ROW()-1,"00000"))</x:f>
      </x:c>
      <x:c r="B25" s="7" t="inlineStr">
        <x:is>
          <x:t xml:space="preserve"/>
        </x:is>
      </x:c>
      <x:c r="C25" s="7" t="inlineStr">
        <x:is>
          <x:t xml:space="preserve"/>
        </x:is>
      </x:c>
      <x:c r="D25" s="7">
        <x:f>IF(B25="","",VALUE(MID(B25,2,4)))</x:f>
      </x:c>
      <x:c r="E25" s="7">
        <x:f>IF(B25="","",MID(B25,6,2))</x:f>
      </x:c>
      <x:c r="F25" s="8" t="inlineStr">
        <x:is>
          <x:t xml:space="preserve"/>
        </x:is>
      </x:c>
      <x:c r="G25" s="6" t="inlineStr">
        <x:is>
          <x:t xml:space="preserve"/>
        </x:is>
      </x:c>
      <x:c r="H25" s="7" t="inlineStr">
        <x:is>
          <x:t xml:space="preserve"/>
        </x:is>
      </x:c>
      <x:c r="I25" s="7" t="inlineStr">
        <x:is>
          <x:t xml:space="preserve"/>
        </x:is>
      </x:c>
      <x:c r="J25" s="7" t="inlineStr">
        <x:is>
          <x:t xml:space="preserve"/>
        </x:is>
      </x:c>
      <x:c r="K25" s="6" t="inlineStr">
        <x:is>
          <x:t xml:space="preserve"/>
        </x:is>
      </x:c>
      <x:c r="L25" s="7" t="inlineStr">
        <x:is>
          <x:t xml:space="preserve"/>
        </x:is>
      </x:c>
      <x:c r="M25" s="6" t="inlineStr">
        <x:is>
          <x:t xml:space="preserve"/>
        </x:is>
      </x:c>
      <x:c r="N25" s="6" t="inlineStr">
        <x:is>
          <x:t xml:space="preserve"/>
        </x:is>
      </x:c>
    </x:row>
    <x:row r="26">
      <x:c r="A26" s="7">
        <x:f>IF(B26="","", "T-"&amp;TEXT(ROW()-1,"00000"))</x:f>
      </x:c>
      <x:c r="B26" s="7" t="inlineStr">
        <x:is>
          <x:t xml:space="preserve"/>
        </x:is>
      </x:c>
      <x:c r="C26" s="7" t="inlineStr">
        <x:is>
          <x:t xml:space="preserve"/>
        </x:is>
      </x:c>
      <x:c r="D26" s="7">
        <x:f>IF(B26="","",VALUE(MID(B26,2,4)))</x:f>
      </x:c>
      <x:c r="E26" s="7">
        <x:f>IF(B26="","",MID(B26,6,2))</x:f>
      </x:c>
      <x:c r="F26" s="8" t="inlineStr">
        <x:is>
          <x:t xml:space="preserve"/>
        </x:is>
      </x:c>
      <x:c r="G26" s="6" t="inlineStr">
        <x:is>
          <x:t xml:space="preserve"/>
        </x:is>
      </x:c>
      <x:c r="H26" s="7" t="inlineStr">
        <x:is>
          <x:t xml:space="preserve"/>
        </x:is>
      </x:c>
      <x:c r="I26" s="7" t="inlineStr">
        <x:is>
          <x:t xml:space="preserve"/>
        </x:is>
      </x:c>
      <x:c r="J26" s="7" t="inlineStr">
        <x:is>
          <x:t xml:space="preserve"/>
        </x:is>
      </x:c>
      <x:c r="K26" s="6" t="inlineStr">
        <x:is>
          <x:t xml:space="preserve"/>
        </x:is>
      </x:c>
      <x:c r="L26" s="7" t="inlineStr">
        <x:is>
          <x:t xml:space="preserve"/>
        </x:is>
      </x:c>
      <x:c r="M26" s="6" t="inlineStr">
        <x:is>
          <x:t xml:space="preserve"/>
        </x:is>
      </x:c>
      <x:c r="N26" s="6" t="inlineStr">
        <x:is>
          <x:t xml:space="preserve"/>
        </x:is>
      </x:c>
    </x:row>
    <x:row r="27">
      <x:c r="A27" s="7">
        <x:f>IF(B27="","", "T-"&amp;TEXT(ROW()-1,"00000"))</x:f>
      </x:c>
      <x:c r="B27" s="7" t="inlineStr">
        <x:is>
          <x:t xml:space="preserve"/>
        </x:is>
      </x:c>
      <x:c r="C27" s="7" t="inlineStr">
        <x:is>
          <x:t xml:space="preserve"/>
        </x:is>
      </x:c>
      <x:c r="D27" s="7">
        <x:f>IF(B27="","",VALUE(MID(B27,2,4)))</x:f>
      </x:c>
      <x:c r="E27" s="7">
        <x:f>IF(B27="","",MID(B27,6,2))</x:f>
      </x:c>
      <x:c r="F27" s="8" t="inlineStr">
        <x:is>
          <x:t xml:space="preserve"/>
        </x:is>
      </x:c>
      <x:c r="G27" s="6" t="inlineStr">
        <x:is>
          <x:t xml:space="preserve"/>
        </x:is>
      </x:c>
      <x:c r="H27" s="7" t="inlineStr">
        <x:is>
          <x:t xml:space="preserve"/>
        </x:is>
      </x:c>
      <x:c r="I27" s="7" t="inlineStr">
        <x:is>
          <x:t xml:space="preserve"/>
        </x:is>
      </x:c>
      <x:c r="J27" s="7" t="inlineStr">
        <x:is>
          <x:t xml:space="preserve"/>
        </x:is>
      </x:c>
      <x:c r="K27" s="6" t="inlineStr">
        <x:is>
          <x:t xml:space="preserve"/>
        </x:is>
      </x:c>
      <x:c r="L27" s="7" t="inlineStr">
        <x:is>
          <x:t xml:space="preserve"/>
        </x:is>
      </x:c>
      <x:c r="M27" s="6" t="inlineStr">
        <x:is>
          <x:t xml:space="preserve"/>
        </x:is>
      </x:c>
      <x:c r="N27" s="6" t="inlineStr">
        <x:is>
          <x:t xml:space="preserve"/>
        </x:is>
      </x:c>
    </x:row>
    <x:row r="28">
      <x:c r="A28" s="7">
        <x:f>IF(B28="","", "T-"&amp;TEXT(ROW()-1,"00000"))</x:f>
      </x:c>
      <x:c r="B28" s="7" t="inlineStr">
        <x:is>
          <x:t xml:space="preserve"/>
        </x:is>
      </x:c>
      <x:c r="C28" s="7" t="inlineStr">
        <x:is>
          <x:t xml:space="preserve"/>
        </x:is>
      </x:c>
      <x:c r="D28" s="7">
        <x:f>IF(B28="","",VALUE(MID(B28,2,4)))</x:f>
      </x:c>
      <x:c r="E28" s="7">
        <x:f>IF(B28="","",MID(B28,6,2))</x:f>
      </x:c>
      <x:c r="F28" s="8" t="inlineStr">
        <x:is>
          <x:t xml:space="preserve"/>
        </x:is>
      </x:c>
      <x:c r="G28" s="6" t="inlineStr">
        <x:is>
          <x:t xml:space="preserve"/>
        </x:is>
      </x:c>
      <x:c r="H28" s="7" t="inlineStr">
        <x:is>
          <x:t xml:space="preserve"/>
        </x:is>
      </x:c>
      <x:c r="I28" s="7" t="inlineStr">
        <x:is>
          <x:t xml:space="preserve"/>
        </x:is>
      </x:c>
      <x:c r="J28" s="7" t="inlineStr">
        <x:is>
          <x:t xml:space="preserve"/>
        </x:is>
      </x:c>
      <x:c r="K28" s="6" t="inlineStr">
        <x:is>
          <x:t xml:space="preserve"/>
        </x:is>
      </x:c>
      <x:c r="L28" s="7" t="inlineStr">
        <x:is>
          <x:t xml:space="preserve"/>
        </x:is>
      </x:c>
      <x:c r="M28" s="6" t="inlineStr">
        <x:is>
          <x:t xml:space="preserve"/>
        </x:is>
      </x:c>
      <x:c r="N28" s="6" t="inlineStr">
        <x:is>
          <x:t xml:space="preserve"/>
        </x:is>
      </x:c>
    </x:row>
    <x:row r="29">
      <x:c r="A29" s="7">
        <x:f>IF(B29="","", "T-"&amp;TEXT(ROW()-1,"00000"))</x:f>
      </x:c>
      <x:c r="B29" s="7" t="inlineStr">
        <x:is>
          <x:t xml:space="preserve"/>
        </x:is>
      </x:c>
      <x:c r="C29" s="7" t="inlineStr">
        <x:is>
          <x:t xml:space="preserve"/>
        </x:is>
      </x:c>
      <x:c r="D29" s="7">
        <x:f>IF(B29="","",VALUE(MID(B29,2,4)))</x:f>
      </x:c>
      <x:c r="E29" s="7">
        <x:f>IF(B29="","",MID(B29,6,2))</x:f>
      </x:c>
      <x:c r="F29" s="8" t="inlineStr">
        <x:is>
          <x:t xml:space="preserve"/>
        </x:is>
      </x:c>
      <x:c r="G29" s="6" t="inlineStr">
        <x:is>
          <x:t xml:space="preserve"/>
        </x:is>
      </x:c>
      <x:c r="H29" s="7" t="inlineStr">
        <x:is>
          <x:t xml:space="preserve"/>
        </x:is>
      </x:c>
      <x:c r="I29" s="7" t="inlineStr">
        <x:is>
          <x:t xml:space="preserve"/>
        </x:is>
      </x:c>
      <x:c r="J29" s="7" t="inlineStr">
        <x:is>
          <x:t xml:space="preserve"/>
        </x:is>
      </x:c>
      <x:c r="K29" s="6" t="inlineStr">
        <x:is>
          <x:t xml:space="preserve"/>
        </x:is>
      </x:c>
      <x:c r="L29" s="7" t="inlineStr">
        <x:is>
          <x:t xml:space="preserve"/>
        </x:is>
      </x:c>
      <x:c r="M29" s="6" t="inlineStr">
        <x:is>
          <x:t xml:space="preserve"/>
        </x:is>
      </x:c>
      <x:c r="N29" s="6" t="inlineStr">
        <x:is>
          <x:t xml:space="preserve"/>
        </x:is>
      </x:c>
    </x:row>
    <x:row r="30">
      <x:c r="A30" s="7">
        <x:f>IF(B30="","", "T-"&amp;TEXT(ROW()-1,"00000"))</x:f>
      </x:c>
      <x:c r="B30" s="7" t="inlineStr">
        <x:is>
          <x:t xml:space="preserve"/>
        </x:is>
      </x:c>
      <x:c r="C30" s="7" t="inlineStr">
        <x:is>
          <x:t xml:space="preserve"/>
        </x:is>
      </x:c>
      <x:c r="D30" s="7">
        <x:f>IF(B30="","",VALUE(MID(B30,2,4)))</x:f>
      </x:c>
      <x:c r="E30" s="7">
        <x:f>IF(B30="","",MID(B30,6,2))</x:f>
      </x:c>
      <x:c r="F30" s="8" t="inlineStr">
        <x:is>
          <x:t xml:space="preserve"/>
        </x:is>
      </x:c>
      <x:c r="G30" s="6" t="inlineStr">
        <x:is>
          <x:t xml:space="preserve"/>
        </x:is>
      </x:c>
      <x:c r="H30" s="7" t="inlineStr">
        <x:is>
          <x:t xml:space="preserve"/>
        </x:is>
      </x:c>
      <x:c r="I30" s="7" t="inlineStr">
        <x:is>
          <x:t xml:space="preserve"/>
        </x:is>
      </x:c>
      <x:c r="J30" s="7" t="inlineStr">
        <x:is>
          <x:t xml:space="preserve"/>
        </x:is>
      </x:c>
      <x:c r="K30" s="6" t="inlineStr">
        <x:is>
          <x:t xml:space="preserve"/>
        </x:is>
      </x:c>
      <x:c r="L30" s="7" t="inlineStr">
        <x:is>
          <x:t xml:space="preserve"/>
        </x:is>
      </x:c>
      <x:c r="M30" s="6" t="inlineStr">
        <x:is>
          <x:t xml:space="preserve"/>
        </x:is>
      </x:c>
      <x:c r="N30" s="6" t="inlineStr">
        <x:is>
          <x:t xml:space="preserve"/>
        </x:is>
      </x:c>
    </x:row>
    <x:row r="31">
      <x:c r="A31" s="7">
        <x:f>IF(B31="","", "T-"&amp;TEXT(ROW()-1,"00000"))</x:f>
      </x:c>
      <x:c r="B31" s="7" t="inlineStr">
        <x:is>
          <x:t xml:space="preserve"/>
        </x:is>
      </x:c>
      <x:c r="C31" s="7" t="inlineStr">
        <x:is>
          <x:t xml:space="preserve"/>
        </x:is>
      </x:c>
      <x:c r="D31" s="7">
        <x:f>IF(B31="","",VALUE(MID(B31,2,4)))</x:f>
      </x:c>
      <x:c r="E31" s="7">
        <x:f>IF(B31="","",MID(B31,6,2))</x:f>
      </x:c>
      <x:c r="F31" s="8" t="inlineStr">
        <x:is>
          <x:t xml:space="preserve"/>
        </x:is>
      </x:c>
      <x:c r="G31" s="6" t="inlineStr">
        <x:is>
          <x:t xml:space="preserve"/>
        </x:is>
      </x:c>
      <x:c r="H31" s="7" t="inlineStr">
        <x:is>
          <x:t xml:space="preserve"/>
        </x:is>
      </x:c>
      <x:c r="I31" s="7" t="inlineStr">
        <x:is>
          <x:t xml:space="preserve"/>
        </x:is>
      </x:c>
      <x:c r="J31" s="7" t="inlineStr">
        <x:is>
          <x:t xml:space="preserve"/>
        </x:is>
      </x:c>
      <x:c r="K31" s="6" t="inlineStr">
        <x:is>
          <x:t xml:space="preserve"/>
        </x:is>
      </x:c>
      <x:c r="L31" s="7" t="inlineStr">
        <x:is>
          <x:t xml:space="preserve"/>
        </x:is>
      </x:c>
      <x:c r="M31" s="6" t="inlineStr">
        <x:is>
          <x:t xml:space="preserve"/>
        </x:is>
      </x:c>
      <x:c r="N31" s="6" t="inlineStr">
        <x:is>
          <x:t xml:space="preserve"/>
        </x:is>
      </x:c>
    </x:row>
    <x:row r="32">
      <x:c r="A32" s="7">
        <x:f>IF(B32="","", "T-"&amp;TEXT(ROW()-1,"00000"))</x:f>
      </x:c>
      <x:c r="B32" s="7" t="inlineStr">
        <x:is>
          <x:t xml:space="preserve"/>
        </x:is>
      </x:c>
      <x:c r="C32" s="7" t="inlineStr">
        <x:is>
          <x:t xml:space="preserve"/>
        </x:is>
      </x:c>
      <x:c r="D32" s="7">
        <x:f>IF(B32="","",VALUE(MID(B32,2,4)))</x:f>
      </x:c>
      <x:c r="E32" s="7">
        <x:f>IF(B32="","",MID(B32,6,2))</x:f>
      </x:c>
      <x:c r="F32" s="8" t="inlineStr">
        <x:is>
          <x:t xml:space="preserve"/>
        </x:is>
      </x:c>
      <x:c r="G32" s="6" t="inlineStr">
        <x:is>
          <x:t xml:space="preserve"/>
        </x:is>
      </x:c>
      <x:c r="H32" s="7" t="inlineStr">
        <x:is>
          <x:t xml:space="preserve"/>
        </x:is>
      </x:c>
      <x:c r="I32" s="7" t="inlineStr">
        <x:is>
          <x:t xml:space="preserve"/>
        </x:is>
      </x:c>
      <x:c r="J32" s="7" t="inlineStr">
        <x:is>
          <x:t xml:space="preserve"/>
        </x:is>
      </x:c>
      <x:c r="K32" s="6" t="inlineStr">
        <x:is>
          <x:t xml:space="preserve"/>
        </x:is>
      </x:c>
      <x:c r="L32" s="7" t="inlineStr">
        <x:is>
          <x:t xml:space="preserve"/>
        </x:is>
      </x:c>
      <x:c r="M32" s="6" t="inlineStr">
        <x:is>
          <x:t xml:space="preserve"/>
        </x:is>
      </x:c>
      <x:c r="N32" s="6" t="inlineStr">
        <x:is>
          <x:t xml:space="preserve"/>
        </x:is>
      </x:c>
    </x:row>
    <x:row r="33">
      <x:c r="A33" s="7">
        <x:f>IF(B33="","", "T-"&amp;TEXT(ROW()-1,"00000"))</x:f>
      </x:c>
      <x:c r="B33" s="7" t="inlineStr">
        <x:is>
          <x:t xml:space="preserve"/>
        </x:is>
      </x:c>
      <x:c r="C33" s="7" t="inlineStr">
        <x:is>
          <x:t xml:space="preserve"/>
        </x:is>
      </x:c>
      <x:c r="D33" s="7">
        <x:f>IF(B33="","",VALUE(MID(B33,2,4)))</x:f>
      </x:c>
      <x:c r="E33" s="7">
        <x:f>IF(B33="","",MID(B33,6,2))</x:f>
      </x:c>
      <x:c r="F33" s="8" t="inlineStr">
        <x:is>
          <x:t xml:space="preserve"/>
        </x:is>
      </x:c>
      <x:c r="G33" s="6" t="inlineStr">
        <x:is>
          <x:t xml:space="preserve"/>
        </x:is>
      </x:c>
      <x:c r="H33" s="7" t="inlineStr">
        <x:is>
          <x:t xml:space="preserve"/>
        </x:is>
      </x:c>
      <x:c r="I33" s="7" t="inlineStr">
        <x:is>
          <x:t xml:space="preserve"/>
        </x:is>
      </x:c>
      <x:c r="J33" s="7" t="inlineStr">
        <x:is>
          <x:t xml:space="preserve"/>
        </x:is>
      </x:c>
      <x:c r="K33" s="6" t="inlineStr">
        <x:is>
          <x:t xml:space="preserve"/>
        </x:is>
      </x:c>
      <x:c r="L33" s="7" t="inlineStr">
        <x:is>
          <x:t xml:space="preserve"/>
        </x:is>
      </x:c>
      <x:c r="M33" s="6" t="inlineStr">
        <x:is>
          <x:t xml:space="preserve"/>
        </x:is>
      </x:c>
      <x:c r="N33" s="6" t="inlineStr">
        <x:is>
          <x:t xml:space="preserve"/>
        </x:is>
      </x:c>
    </x:row>
    <x:row r="34">
      <x:c r="A34" s="7">
        <x:f>IF(B34="","", "T-"&amp;TEXT(ROW()-1,"00000"))</x:f>
      </x:c>
      <x:c r="B34" s="7" t="inlineStr">
        <x:is>
          <x:t xml:space="preserve"/>
        </x:is>
      </x:c>
      <x:c r="C34" s="7" t="inlineStr">
        <x:is>
          <x:t xml:space="preserve"/>
        </x:is>
      </x:c>
      <x:c r="D34" s="7">
        <x:f>IF(B34="","",VALUE(MID(B34,2,4)))</x:f>
      </x:c>
      <x:c r="E34" s="7">
        <x:f>IF(B34="","",MID(B34,6,2))</x:f>
      </x:c>
      <x:c r="F34" s="8" t="inlineStr">
        <x:is>
          <x:t xml:space="preserve"/>
        </x:is>
      </x:c>
      <x:c r="G34" s="6" t="inlineStr">
        <x:is>
          <x:t xml:space="preserve"/>
        </x:is>
      </x:c>
      <x:c r="H34" s="7" t="inlineStr">
        <x:is>
          <x:t xml:space="preserve"/>
        </x:is>
      </x:c>
      <x:c r="I34" s="7" t="inlineStr">
        <x:is>
          <x:t xml:space="preserve"/>
        </x:is>
      </x:c>
      <x:c r="J34" s="7" t="inlineStr">
        <x:is>
          <x:t xml:space="preserve"/>
        </x:is>
      </x:c>
      <x:c r="K34" s="6" t="inlineStr">
        <x:is>
          <x:t xml:space="preserve"/>
        </x:is>
      </x:c>
      <x:c r="L34" s="7" t="inlineStr">
        <x:is>
          <x:t xml:space="preserve"/>
        </x:is>
      </x:c>
      <x:c r="M34" s="6" t="inlineStr">
        <x:is>
          <x:t xml:space="preserve"/>
        </x:is>
      </x:c>
      <x:c r="N34" s="6" t="inlineStr">
        <x:is>
          <x:t xml:space="preserve"/>
        </x:is>
      </x:c>
    </x:row>
    <x:row r="35">
      <x:c r="A35" s="7">
        <x:f>IF(B35="","", "T-"&amp;TEXT(ROW()-1,"00000"))</x:f>
      </x:c>
      <x:c r="B35" s="7" t="inlineStr">
        <x:is>
          <x:t xml:space="preserve"/>
        </x:is>
      </x:c>
      <x:c r="C35" s="7" t="inlineStr">
        <x:is>
          <x:t xml:space="preserve"/>
        </x:is>
      </x:c>
      <x:c r="D35" s="7">
        <x:f>IF(B35="","",VALUE(MID(B35,2,4)))</x:f>
      </x:c>
      <x:c r="E35" s="7">
        <x:f>IF(B35="","",MID(B35,6,2))</x:f>
      </x:c>
      <x:c r="F35" s="8" t="inlineStr">
        <x:is>
          <x:t xml:space="preserve"/>
        </x:is>
      </x:c>
      <x:c r="G35" s="6" t="inlineStr">
        <x:is>
          <x:t xml:space="preserve"/>
        </x:is>
      </x:c>
      <x:c r="H35" s="7" t="inlineStr">
        <x:is>
          <x:t xml:space="preserve"/>
        </x:is>
      </x:c>
      <x:c r="I35" s="7" t="inlineStr">
        <x:is>
          <x:t xml:space="preserve"/>
        </x:is>
      </x:c>
      <x:c r="J35" s="7" t="inlineStr">
        <x:is>
          <x:t xml:space="preserve"/>
        </x:is>
      </x:c>
      <x:c r="K35" s="6" t="inlineStr">
        <x:is>
          <x:t xml:space="preserve"/>
        </x:is>
      </x:c>
      <x:c r="L35" s="7" t="inlineStr">
        <x:is>
          <x:t xml:space="preserve"/>
        </x:is>
      </x:c>
      <x:c r="M35" s="6" t="inlineStr">
        <x:is>
          <x:t xml:space="preserve"/>
        </x:is>
      </x:c>
      <x:c r="N35" s="6" t="inlineStr">
        <x:is>
          <x:t xml:space="preserve"/>
        </x:is>
      </x:c>
    </x:row>
    <x:row r="36">
      <x:c r="A36" s="7">
        <x:f>IF(B36="","", "T-"&amp;TEXT(ROW()-1,"00000"))</x:f>
      </x:c>
      <x:c r="B36" s="7" t="inlineStr">
        <x:is>
          <x:t xml:space="preserve"/>
        </x:is>
      </x:c>
      <x:c r="C36" s="7" t="inlineStr">
        <x:is>
          <x:t xml:space="preserve"/>
        </x:is>
      </x:c>
      <x:c r="D36" s="7">
        <x:f>IF(B36="","",VALUE(MID(B36,2,4)))</x:f>
      </x:c>
      <x:c r="E36" s="7">
        <x:f>IF(B36="","",MID(B36,6,2))</x:f>
      </x:c>
      <x:c r="F36" s="8" t="inlineStr">
        <x:is>
          <x:t xml:space="preserve"/>
        </x:is>
      </x:c>
      <x:c r="G36" s="6" t="inlineStr">
        <x:is>
          <x:t xml:space="preserve"/>
        </x:is>
      </x:c>
      <x:c r="H36" s="7" t="inlineStr">
        <x:is>
          <x:t xml:space="preserve"/>
        </x:is>
      </x:c>
      <x:c r="I36" s="7" t="inlineStr">
        <x:is>
          <x:t xml:space="preserve"/>
        </x:is>
      </x:c>
      <x:c r="J36" s="7" t="inlineStr">
        <x:is>
          <x:t xml:space="preserve"/>
        </x:is>
      </x:c>
      <x:c r="K36" s="6" t="inlineStr">
        <x:is>
          <x:t xml:space="preserve"/>
        </x:is>
      </x:c>
      <x:c r="L36" s="7" t="inlineStr">
        <x:is>
          <x:t xml:space="preserve"/>
        </x:is>
      </x:c>
      <x:c r="M36" s="6" t="inlineStr">
        <x:is>
          <x:t xml:space="preserve"/>
        </x:is>
      </x:c>
      <x:c r="N36" s="6" t="inlineStr">
        <x:is>
          <x:t xml:space="preserve"/>
        </x:is>
      </x:c>
    </x:row>
    <x:row r="37">
      <x:c r="A37" s="7">
        <x:f>IF(B37="","", "T-"&amp;TEXT(ROW()-1,"00000"))</x:f>
      </x:c>
      <x:c r="B37" s="7" t="inlineStr">
        <x:is>
          <x:t xml:space="preserve"/>
        </x:is>
      </x:c>
      <x:c r="C37" s="7" t="inlineStr">
        <x:is>
          <x:t xml:space="preserve"/>
        </x:is>
      </x:c>
      <x:c r="D37" s="7">
        <x:f>IF(B37="","",VALUE(MID(B37,2,4)))</x:f>
      </x:c>
      <x:c r="E37" s="7">
        <x:f>IF(B37="","",MID(B37,6,2))</x:f>
      </x:c>
      <x:c r="F37" s="8" t="inlineStr">
        <x:is>
          <x:t xml:space="preserve"/>
        </x:is>
      </x:c>
      <x:c r="G37" s="6" t="inlineStr">
        <x:is>
          <x:t xml:space="preserve"/>
        </x:is>
      </x:c>
      <x:c r="H37" s="7" t="inlineStr">
        <x:is>
          <x:t xml:space="preserve"/>
        </x:is>
      </x:c>
      <x:c r="I37" s="7" t="inlineStr">
        <x:is>
          <x:t xml:space="preserve"/>
        </x:is>
      </x:c>
      <x:c r="J37" s="7" t="inlineStr">
        <x:is>
          <x:t xml:space="preserve"/>
        </x:is>
      </x:c>
      <x:c r="K37" s="6" t="inlineStr">
        <x:is>
          <x:t xml:space="preserve"/>
        </x:is>
      </x:c>
      <x:c r="L37" s="7" t="inlineStr">
        <x:is>
          <x:t xml:space="preserve"/>
        </x:is>
      </x:c>
      <x:c r="M37" s="6" t="inlineStr">
        <x:is>
          <x:t xml:space="preserve"/>
        </x:is>
      </x:c>
      <x:c r="N37" s="6" t="inlineStr">
        <x:is>
          <x:t xml:space="preserve"/>
        </x:is>
      </x:c>
    </x:row>
    <x:row r="38">
      <x:c r="A38" s="7">
        <x:f>IF(B38="","", "T-"&amp;TEXT(ROW()-1,"00000"))</x:f>
      </x:c>
      <x:c r="B38" s="7" t="inlineStr">
        <x:is>
          <x:t xml:space="preserve"/>
        </x:is>
      </x:c>
      <x:c r="C38" s="7" t="inlineStr">
        <x:is>
          <x:t xml:space="preserve"/>
        </x:is>
      </x:c>
      <x:c r="D38" s="7">
        <x:f>IF(B38="","",VALUE(MID(B38,2,4)))</x:f>
      </x:c>
      <x:c r="E38" s="7">
        <x:f>IF(B38="","",MID(B38,6,2))</x:f>
      </x:c>
      <x:c r="F38" s="8" t="inlineStr">
        <x:is>
          <x:t xml:space="preserve"/>
        </x:is>
      </x:c>
      <x:c r="G38" s="6" t="inlineStr">
        <x:is>
          <x:t xml:space="preserve"/>
        </x:is>
      </x:c>
      <x:c r="H38" s="7" t="inlineStr">
        <x:is>
          <x:t xml:space="preserve"/>
        </x:is>
      </x:c>
      <x:c r="I38" s="7" t="inlineStr">
        <x:is>
          <x:t xml:space="preserve"/>
        </x:is>
      </x:c>
      <x:c r="J38" s="7" t="inlineStr">
        <x:is>
          <x:t xml:space="preserve"/>
        </x:is>
      </x:c>
      <x:c r="K38" s="6" t="inlineStr">
        <x:is>
          <x:t xml:space="preserve"/>
        </x:is>
      </x:c>
      <x:c r="L38" s="7" t="inlineStr">
        <x:is>
          <x:t xml:space="preserve"/>
        </x:is>
      </x:c>
      <x:c r="M38" s="6" t="inlineStr">
        <x:is>
          <x:t xml:space="preserve"/>
        </x:is>
      </x:c>
      <x:c r="N38" s="6" t="inlineStr">
        <x:is>
          <x:t xml:space="preserve"/>
        </x:is>
      </x:c>
    </x:row>
    <x:row r="39">
      <x:c r="A39" s="7">
        <x:f>IF(B39="","", "T-"&amp;TEXT(ROW()-1,"00000"))</x:f>
      </x:c>
      <x:c r="B39" s="7" t="inlineStr">
        <x:is>
          <x:t xml:space="preserve"/>
        </x:is>
      </x:c>
      <x:c r="C39" s="7" t="inlineStr">
        <x:is>
          <x:t xml:space="preserve"/>
        </x:is>
      </x:c>
      <x:c r="D39" s="7">
        <x:f>IF(B39="","",VALUE(MID(B39,2,4)))</x:f>
      </x:c>
      <x:c r="E39" s="7">
        <x:f>IF(B39="","",MID(B39,6,2))</x:f>
      </x:c>
      <x:c r="F39" s="8" t="inlineStr">
        <x:is>
          <x:t xml:space="preserve"/>
        </x:is>
      </x:c>
      <x:c r="G39" s="6" t="inlineStr">
        <x:is>
          <x:t xml:space="preserve"/>
        </x:is>
      </x:c>
      <x:c r="H39" s="7" t="inlineStr">
        <x:is>
          <x:t xml:space="preserve"/>
        </x:is>
      </x:c>
      <x:c r="I39" s="7" t="inlineStr">
        <x:is>
          <x:t xml:space="preserve"/>
        </x:is>
      </x:c>
      <x:c r="J39" s="7" t="inlineStr">
        <x:is>
          <x:t xml:space="preserve"/>
        </x:is>
      </x:c>
      <x:c r="K39" s="6" t="inlineStr">
        <x:is>
          <x:t xml:space="preserve"/>
        </x:is>
      </x:c>
      <x:c r="L39" s="7" t="inlineStr">
        <x:is>
          <x:t xml:space="preserve"/>
        </x:is>
      </x:c>
      <x:c r="M39" s="6" t="inlineStr">
        <x:is>
          <x:t xml:space="preserve"/>
        </x:is>
      </x:c>
      <x:c r="N39" s="6" t="inlineStr">
        <x:is>
          <x:t xml:space="preserve"/>
        </x:is>
      </x:c>
    </x:row>
    <x:row r="40">
      <x:c r="A40" s="7">
        <x:f>IF(B40="","", "T-"&amp;TEXT(ROW()-1,"00000"))</x:f>
      </x:c>
      <x:c r="B40" s="7" t="inlineStr">
        <x:is>
          <x:t xml:space="preserve"/>
        </x:is>
      </x:c>
      <x:c r="C40" s="7" t="inlineStr">
        <x:is>
          <x:t xml:space="preserve"/>
        </x:is>
      </x:c>
      <x:c r="D40" s="7">
        <x:f>IF(B40="","",VALUE(MID(B40,2,4)))</x:f>
      </x:c>
      <x:c r="E40" s="7">
        <x:f>IF(B40="","",MID(B40,6,2))</x:f>
      </x:c>
      <x:c r="F40" s="8" t="inlineStr">
        <x:is>
          <x:t xml:space="preserve"/>
        </x:is>
      </x:c>
      <x:c r="G40" s="6" t="inlineStr">
        <x:is>
          <x:t xml:space="preserve"/>
        </x:is>
      </x:c>
      <x:c r="H40" s="7" t="inlineStr">
        <x:is>
          <x:t xml:space="preserve"/>
        </x:is>
      </x:c>
      <x:c r="I40" s="7" t="inlineStr">
        <x:is>
          <x:t xml:space="preserve"/>
        </x:is>
      </x:c>
      <x:c r="J40" s="7" t="inlineStr">
        <x:is>
          <x:t xml:space="preserve"/>
        </x:is>
      </x:c>
      <x:c r="K40" s="6" t="inlineStr">
        <x:is>
          <x:t xml:space="preserve"/>
        </x:is>
      </x:c>
      <x:c r="L40" s="7" t="inlineStr">
        <x:is>
          <x:t xml:space="preserve"/>
        </x:is>
      </x:c>
      <x:c r="M40" s="6" t="inlineStr">
        <x:is>
          <x:t xml:space="preserve"/>
        </x:is>
      </x:c>
      <x:c r="N40" s="6" t="inlineStr">
        <x:is>
          <x:t xml:space="preserve"/>
        </x:is>
      </x:c>
    </x:row>
    <x:row r="41">
      <x:c r="A41" s="7">
        <x:f>IF(B41="","", "T-"&amp;TEXT(ROW()-1,"00000"))</x:f>
      </x:c>
      <x:c r="B41" s="7" t="inlineStr">
        <x:is>
          <x:t xml:space="preserve"/>
        </x:is>
      </x:c>
      <x:c r="C41" s="7" t="inlineStr">
        <x:is>
          <x:t xml:space="preserve"/>
        </x:is>
      </x:c>
      <x:c r="D41" s="7">
        <x:f>IF(B41="","",VALUE(MID(B41,2,4)))</x:f>
      </x:c>
      <x:c r="E41" s="7">
        <x:f>IF(B41="","",MID(B41,6,2))</x:f>
      </x:c>
      <x:c r="F41" s="8" t="inlineStr">
        <x:is>
          <x:t xml:space="preserve"/>
        </x:is>
      </x:c>
      <x:c r="G41" s="6" t="inlineStr">
        <x:is>
          <x:t xml:space="preserve"/>
        </x:is>
      </x:c>
      <x:c r="H41" s="7" t="inlineStr">
        <x:is>
          <x:t xml:space="preserve"/>
        </x:is>
      </x:c>
      <x:c r="I41" s="7" t="inlineStr">
        <x:is>
          <x:t xml:space="preserve"/>
        </x:is>
      </x:c>
      <x:c r="J41" s="7" t="inlineStr">
        <x:is>
          <x:t xml:space="preserve"/>
        </x:is>
      </x:c>
      <x:c r="K41" s="6" t="inlineStr">
        <x:is>
          <x:t xml:space="preserve"/>
        </x:is>
      </x:c>
      <x:c r="L41" s="7" t="inlineStr">
        <x:is>
          <x:t xml:space="preserve"/>
        </x:is>
      </x:c>
      <x:c r="M41" s="6" t="inlineStr">
        <x:is>
          <x:t xml:space="preserve"/>
        </x:is>
      </x:c>
      <x:c r="N41" s="6" t="inlineStr">
        <x:is>
          <x:t xml:space="preserve"/>
        </x:is>
      </x:c>
    </x:row>
    <x:row r="42">
      <x:c r="A42" s="7">
        <x:f>IF(B42="","", "T-"&amp;TEXT(ROW()-1,"00000"))</x:f>
      </x:c>
      <x:c r="B42" s="7" t="inlineStr">
        <x:is>
          <x:t xml:space="preserve"/>
        </x:is>
      </x:c>
      <x:c r="C42" s="7" t="inlineStr">
        <x:is>
          <x:t xml:space="preserve"/>
        </x:is>
      </x:c>
      <x:c r="D42" s="7">
        <x:f>IF(B42="","",VALUE(MID(B42,2,4)))</x:f>
      </x:c>
      <x:c r="E42" s="7">
        <x:f>IF(B42="","",MID(B42,6,2))</x:f>
      </x:c>
      <x:c r="F42" s="8" t="inlineStr">
        <x:is>
          <x:t xml:space="preserve"/>
        </x:is>
      </x:c>
      <x:c r="G42" s="6" t="inlineStr">
        <x:is>
          <x:t xml:space="preserve"/>
        </x:is>
      </x:c>
      <x:c r="H42" s="7" t="inlineStr">
        <x:is>
          <x:t xml:space="preserve"/>
        </x:is>
      </x:c>
      <x:c r="I42" s="7" t="inlineStr">
        <x:is>
          <x:t xml:space="preserve"/>
        </x:is>
      </x:c>
      <x:c r="J42" s="7" t="inlineStr">
        <x:is>
          <x:t xml:space="preserve"/>
        </x:is>
      </x:c>
      <x:c r="K42" s="6" t="inlineStr">
        <x:is>
          <x:t xml:space="preserve"/>
        </x:is>
      </x:c>
      <x:c r="L42" s="7" t="inlineStr">
        <x:is>
          <x:t xml:space="preserve"/>
        </x:is>
      </x:c>
      <x:c r="M42" s="6" t="inlineStr">
        <x:is>
          <x:t xml:space="preserve"/>
        </x:is>
      </x:c>
      <x:c r="N42" s="6" t="inlineStr">
        <x:is>
          <x:t xml:space="preserve"/>
        </x:is>
      </x:c>
    </x:row>
    <x:row r="43">
      <x:c r="A43" s="7">
        <x:f>IF(B43="","", "T-"&amp;TEXT(ROW()-1,"00000"))</x:f>
      </x:c>
      <x:c r="B43" s="7" t="inlineStr">
        <x:is>
          <x:t xml:space="preserve"/>
        </x:is>
      </x:c>
      <x:c r="C43" s="7" t="inlineStr">
        <x:is>
          <x:t xml:space="preserve"/>
        </x:is>
      </x:c>
      <x:c r="D43" s="7">
        <x:f>IF(B43="","",VALUE(MID(B43,2,4)))</x:f>
      </x:c>
      <x:c r="E43" s="7">
        <x:f>IF(B43="","",MID(B43,6,2))</x:f>
      </x:c>
      <x:c r="F43" s="8" t="inlineStr">
        <x:is>
          <x:t xml:space="preserve"/>
        </x:is>
      </x:c>
      <x:c r="G43" s="6" t="inlineStr">
        <x:is>
          <x:t xml:space="preserve"/>
        </x:is>
      </x:c>
      <x:c r="H43" s="7" t="inlineStr">
        <x:is>
          <x:t xml:space="preserve"/>
        </x:is>
      </x:c>
      <x:c r="I43" s="7" t="inlineStr">
        <x:is>
          <x:t xml:space="preserve"/>
        </x:is>
      </x:c>
      <x:c r="J43" s="7" t="inlineStr">
        <x:is>
          <x:t xml:space="preserve"/>
        </x:is>
      </x:c>
      <x:c r="K43" s="6" t="inlineStr">
        <x:is>
          <x:t xml:space="preserve"/>
        </x:is>
      </x:c>
      <x:c r="L43" s="7" t="inlineStr">
        <x:is>
          <x:t xml:space="preserve"/>
        </x:is>
      </x:c>
      <x:c r="M43" s="6" t="inlineStr">
        <x:is>
          <x:t xml:space="preserve"/>
        </x:is>
      </x:c>
      <x:c r="N43" s="6" t="inlineStr">
        <x:is>
          <x:t xml:space="preserve"/>
        </x:is>
      </x:c>
    </x:row>
    <x:row r="44">
      <x:c r="A44" s="7">
        <x:f>IF(B44="","", "T-"&amp;TEXT(ROW()-1,"00000"))</x:f>
      </x:c>
      <x:c r="B44" s="7" t="inlineStr">
        <x:is>
          <x:t xml:space="preserve"/>
        </x:is>
      </x:c>
      <x:c r="C44" s="7" t="inlineStr">
        <x:is>
          <x:t xml:space="preserve"/>
        </x:is>
      </x:c>
      <x:c r="D44" s="7">
        <x:f>IF(B44="","",VALUE(MID(B44,2,4)))</x:f>
      </x:c>
      <x:c r="E44" s="7">
        <x:f>IF(B44="","",MID(B44,6,2))</x:f>
      </x:c>
      <x:c r="F44" s="8" t="inlineStr">
        <x:is>
          <x:t xml:space="preserve"/>
        </x:is>
      </x:c>
      <x:c r="G44" s="6" t="inlineStr">
        <x:is>
          <x:t xml:space="preserve"/>
        </x:is>
      </x:c>
      <x:c r="H44" s="7" t="inlineStr">
        <x:is>
          <x:t xml:space="preserve"/>
        </x:is>
      </x:c>
      <x:c r="I44" s="7" t="inlineStr">
        <x:is>
          <x:t xml:space="preserve"/>
        </x:is>
      </x:c>
      <x:c r="J44" s="7" t="inlineStr">
        <x:is>
          <x:t xml:space="preserve"/>
        </x:is>
      </x:c>
      <x:c r="K44" s="6" t="inlineStr">
        <x:is>
          <x:t xml:space="preserve"/>
        </x:is>
      </x:c>
      <x:c r="L44" s="7" t="inlineStr">
        <x:is>
          <x:t xml:space="preserve"/>
        </x:is>
      </x:c>
      <x:c r="M44" s="6" t="inlineStr">
        <x:is>
          <x:t xml:space="preserve"/>
        </x:is>
      </x:c>
      <x:c r="N44" s="6" t="inlineStr">
        <x:is>
          <x:t xml:space="preserve"/>
        </x:is>
      </x:c>
    </x:row>
    <x:row r="45">
      <x:c r="A45" s="7">
        <x:f>IF(B45="","", "T-"&amp;TEXT(ROW()-1,"00000"))</x:f>
      </x:c>
      <x:c r="B45" s="7" t="inlineStr">
        <x:is>
          <x:t xml:space="preserve"/>
        </x:is>
      </x:c>
      <x:c r="C45" s="7" t="inlineStr">
        <x:is>
          <x:t xml:space="preserve"/>
        </x:is>
      </x:c>
      <x:c r="D45" s="7">
        <x:f>IF(B45="","",VALUE(MID(B45,2,4)))</x:f>
      </x:c>
      <x:c r="E45" s="7">
        <x:f>IF(B45="","",MID(B45,6,2))</x:f>
      </x:c>
      <x:c r="F45" s="8" t="inlineStr">
        <x:is>
          <x:t xml:space="preserve"/>
        </x:is>
      </x:c>
      <x:c r="G45" s="6" t="inlineStr">
        <x:is>
          <x:t xml:space="preserve"/>
        </x:is>
      </x:c>
      <x:c r="H45" s="7" t="inlineStr">
        <x:is>
          <x:t xml:space="preserve"/>
        </x:is>
      </x:c>
      <x:c r="I45" s="7" t="inlineStr">
        <x:is>
          <x:t xml:space="preserve"/>
        </x:is>
      </x:c>
      <x:c r="J45" s="7" t="inlineStr">
        <x:is>
          <x:t xml:space="preserve"/>
        </x:is>
      </x:c>
      <x:c r="K45" s="6" t="inlineStr">
        <x:is>
          <x:t xml:space="preserve"/>
        </x:is>
      </x:c>
      <x:c r="L45" s="7" t="inlineStr">
        <x:is>
          <x:t xml:space="preserve"/>
        </x:is>
      </x:c>
      <x:c r="M45" s="6" t="inlineStr">
        <x:is>
          <x:t xml:space="preserve"/>
        </x:is>
      </x:c>
      <x:c r="N45" s="6" t="inlineStr">
        <x:is>
          <x:t xml:space="preserve"/>
        </x:is>
      </x:c>
    </x:row>
    <x:row r="46">
      <x:c r="A46" s="7">
        <x:f>IF(B46="","", "T-"&amp;TEXT(ROW()-1,"00000"))</x:f>
      </x:c>
      <x:c r="B46" s="7" t="inlineStr">
        <x:is>
          <x:t xml:space="preserve"/>
        </x:is>
      </x:c>
      <x:c r="C46" s="7" t="inlineStr">
        <x:is>
          <x:t xml:space="preserve"/>
        </x:is>
      </x:c>
      <x:c r="D46" s="7">
        <x:f>IF(B46="","",VALUE(MID(B46,2,4)))</x:f>
      </x:c>
      <x:c r="E46" s="7">
        <x:f>IF(B46="","",MID(B46,6,2))</x:f>
      </x:c>
      <x:c r="F46" s="8" t="inlineStr">
        <x:is>
          <x:t xml:space="preserve"/>
        </x:is>
      </x:c>
      <x:c r="G46" s="6" t="inlineStr">
        <x:is>
          <x:t xml:space="preserve"/>
        </x:is>
      </x:c>
      <x:c r="H46" s="7" t="inlineStr">
        <x:is>
          <x:t xml:space="preserve"/>
        </x:is>
      </x:c>
      <x:c r="I46" s="7" t="inlineStr">
        <x:is>
          <x:t xml:space="preserve"/>
        </x:is>
      </x:c>
      <x:c r="J46" s="7" t="inlineStr">
        <x:is>
          <x:t xml:space="preserve"/>
        </x:is>
      </x:c>
      <x:c r="K46" s="6" t="inlineStr">
        <x:is>
          <x:t xml:space="preserve"/>
        </x:is>
      </x:c>
      <x:c r="L46" s="7" t="inlineStr">
        <x:is>
          <x:t xml:space="preserve"/>
        </x:is>
      </x:c>
      <x:c r="M46" s="6" t="inlineStr">
        <x:is>
          <x:t xml:space="preserve"/>
        </x:is>
      </x:c>
      <x:c r="N46" s="6" t="inlineStr">
        <x:is>
          <x:t xml:space="preserve"/>
        </x:is>
      </x:c>
    </x:row>
    <x:row r="47">
      <x:c r="A47" s="7">
        <x:f>IF(B47="","", "T-"&amp;TEXT(ROW()-1,"00000"))</x:f>
      </x:c>
      <x:c r="B47" s="7" t="inlineStr">
        <x:is>
          <x:t xml:space="preserve"/>
        </x:is>
      </x:c>
      <x:c r="C47" s="7" t="inlineStr">
        <x:is>
          <x:t xml:space="preserve"/>
        </x:is>
      </x:c>
      <x:c r="D47" s="7">
        <x:f>IF(B47="","",VALUE(MID(B47,2,4)))</x:f>
      </x:c>
      <x:c r="E47" s="7">
        <x:f>IF(B47="","",MID(B47,6,2))</x:f>
      </x:c>
      <x:c r="F47" s="8" t="inlineStr">
        <x:is>
          <x:t xml:space="preserve"/>
        </x:is>
      </x:c>
      <x:c r="G47" s="6" t="inlineStr">
        <x:is>
          <x:t xml:space="preserve"/>
        </x:is>
      </x:c>
      <x:c r="H47" s="7" t="inlineStr">
        <x:is>
          <x:t xml:space="preserve"/>
        </x:is>
      </x:c>
      <x:c r="I47" s="7" t="inlineStr">
        <x:is>
          <x:t xml:space="preserve"/>
        </x:is>
      </x:c>
      <x:c r="J47" s="7" t="inlineStr">
        <x:is>
          <x:t xml:space="preserve"/>
        </x:is>
      </x:c>
      <x:c r="K47" s="6" t="inlineStr">
        <x:is>
          <x:t xml:space="preserve"/>
        </x:is>
      </x:c>
      <x:c r="L47" s="7" t="inlineStr">
        <x:is>
          <x:t xml:space="preserve"/>
        </x:is>
      </x:c>
      <x:c r="M47" s="6" t="inlineStr">
        <x:is>
          <x:t xml:space="preserve"/>
        </x:is>
      </x:c>
      <x:c r="N47" s="6" t="inlineStr">
        <x:is>
          <x:t xml:space="preserve"/>
        </x:is>
      </x:c>
    </x:row>
    <x:row r="48">
      <x:c r="A48" s="7">
        <x:f>IF(B48="","", "T-"&amp;TEXT(ROW()-1,"00000"))</x:f>
      </x:c>
      <x:c r="B48" s="7" t="inlineStr">
        <x:is>
          <x:t xml:space="preserve"/>
        </x:is>
      </x:c>
      <x:c r="C48" s="7" t="inlineStr">
        <x:is>
          <x:t xml:space="preserve"/>
        </x:is>
      </x:c>
      <x:c r="D48" s="7">
        <x:f>IF(B48="","",VALUE(MID(B48,2,4)))</x:f>
      </x:c>
      <x:c r="E48" s="7">
        <x:f>IF(B48="","",MID(B48,6,2))</x:f>
      </x:c>
      <x:c r="F48" s="8" t="inlineStr">
        <x:is>
          <x:t xml:space="preserve"/>
        </x:is>
      </x:c>
      <x:c r="G48" s="6" t="inlineStr">
        <x:is>
          <x:t xml:space="preserve"/>
        </x:is>
      </x:c>
      <x:c r="H48" s="7" t="inlineStr">
        <x:is>
          <x:t xml:space="preserve"/>
        </x:is>
      </x:c>
      <x:c r="I48" s="7" t="inlineStr">
        <x:is>
          <x:t xml:space="preserve"/>
        </x:is>
      </x:c>
      <x:c r="J48" s="7" t="inlineStr">
        <x:is>
          <x:t xml:space="preserve"/>
        </x:is>
      </x:c>
      <x:c r="K48" s="6" t="inlineStr">
        <x:is>
          <x:t xml:space="preserve"/>
        </x:is>
      </x:c>
      <x:c r="L48" s="7" t="inlineStr">
        <x:is>
          <x:t xml:space="preserve"/>
        </x:is>
      </x:c>
      <x:c r="M48" s="6" t="inlineStr">
        <x:is>
          <x:t xml:space="preserve"/>
        </x:is>
      </x:c>
      <x:c r="N48" s="6" t="inlineStr">
        <x:is>
          <x:t xml:space="preserve"/>
        </x:is>
      </x:c>
    </x:row>
    <x:row r="49">
      <x:c r="A49" s="7">
        <x:f>IF(B49="","", "T-"&amp;TEXT(ROW()-1,"00000"))</x:f>
      </x:c>
      <x:c r="B49" s="7" t="inlineStr">
        <x:is>
          <x:t xml:space="preserve"/>
        </x:is>
      </x:c>
      <x:c r="C49" s="7" t="inlineStr">
        <x:is>
          <x:t xml:space="preserve"/>
        </x:is>
      </x:c>
      <x:c r="D49" s="7">
        <x:f>IF(B49="","",VALUE(MID(B49,2,4)))</x:f>
      </x:c>
      <x:c r="E49" s="7">
        <x:f>IF(B49="","",MID(B49,6,2))</x:f>
      </x:c>
      <x:c r="F49" s="8" t="inlineStr">
        <x:is>
          <x:t xml:space="preserve"/>
        </x:is>
      </x:c>
      <x:c r="G49" s="6" t="inlineStr">
        <x:is>
          <x:t xml:space="preserve"/>
        </x:is>
      </x:c>
      <x:c r="H49" s="7" t="inlineStr">
        <x:is>
          <x:t xml:space="preserve"/>
        </x:is>
      </x:c>
      <x:c r="I49" s="7" t="inlineStr">
        <x:is>
          <x:t xml:space="preserve"/>
        </x:is>
      </x:c>
      <x:c r="J49" s="7" t="inlineStr">
        <x:is>
          <x:t xml:space="preserve"/>
        </x:is>
      </x:c>
      <x:c r="K49" s="6" t="inlineStr">
        <x:is>
          <x:t xml:space="preserve"/>
        </x:is>
      </x:c>
      <x:c r="L49" s="7" t="inlineStr">
        <x:is>
          <x:t xml:space="preserve"/>
        </x:is>
      </x:c>
      <x:c r="M49" s="6" t="inlineStr">
        <x:is>
          <x:t xml:space="preserve"/>
        </x:is>
      </x:c>
      <x:c r="N49" s="6" t="inlineStr">
        <x:is>
          <x:t xml:space="preserve"/>
        </x:is>
      </x:c>
    </x:row>
    <x:row r="50">
      <x:c r="A50" s="7">
        <x:f>IF(B50="","", "T-"&amp;TEXT(ROW()-1,"00000"))</x:f>
      </x:c>
      <x:c r="B50" s="7" t="inlineStr">
        <x:is>
          <x:t xml:space="preserve"/>
        </x:is>
      </x:c>
      <x:c r="C50" s="7" t="inlineStr">
        <x:is>
          <x:t xml:space="preserve"/>
        </x:is>
      </x:c>
      <x:c r="D50" s="7">
        <x:f>IF(B50="","",VALUE(MID(B50,2,4)))</x:f>
      </x:c>
      <x:c r="E50" s="7">
        <x:f>IF(B50="","",MID(B50,6,2))</x:f>
      </x:c>
      <x:c r="F50" s="8" t="inlineStr">
        <x:is>
          <x:t xml:space="preserve"/>
        </x:is>
      </x:c>
      <x:c r="G50" s="6" t="inlineStr">
        <x:is>
          <x:t xml:space="preserve"/>
        </x:is>
      </x:c>
      <x:c r="H50" s="7" t="inlineStr">
        <x:is>
          <x:t xml:space="preserve"/>
        </x:is>
      </x:c>
      <x:c r="I50" s="7" t="inlineStr">
        <x:is>
          <x:t xml:space="preserve"/>
        </x:is>
      </x:c>
      <x:c r="J50" s="7" t="inlineStr">
        <x:is>
          <x:t xml:space="preserve"/>
        </x:is>
      </x:c>
      <x:c r="K50" s="6" t="inlineStr">
        <x:is>
          <x:t xml:space="preserve"/>
        </x:is>
      </x:c>
      <x:c r="L50" s="7" t="inlineStr">
        <x:is>
          <x:t xml:space="preserve"/>
        </x:is>
      </x:c>
      <x:c r="M50" s="6" t="inlineStr">
        <x:is>
          <x:t xml:space="preserve"/>
        </x:is>
      </x:c>
      <x:c r="N50" s="6" t="inlineStr">
        <x:is>
          <x:t xml:space="preserve"/>
        </x:is>
      </x:c>
    </x:row>
    <x:row r="51">
      <x:c r="A51" s="7">
        <x:f>IF(B51="","", "T-"&amp;TEXT(ROW()-1,"00000"))</x:f>
      </x:c>
      <x:c r="B51" s="7" t="inlineStr">
        <x:is>
          <x:t xml:space="preserve"/>
        </x:is>
      </x:c>
      <x:c r="C51" s="7" t="inlineStr">
        <x:is>
          <x:t xml:space="preserve"/>
        </x:is>
      </x:c>
      <x:c r="D51" s="7">
        <x:f>IF(B51="","",VALUE(MID(B51,2,4)))</x:f>
      </x:c>
      <x:c r="E51" s="7">
        <x:f>IF(B51="","",MID(B51,6,2))</x:f>
      </x:c>
      <x:c r="F51" s="8" t="inlineStr">
        <x:is>
          <x:t xml:space="preserve"/>
        </x:is>
      </x:c>
      <x:c r="G51" s="6" t="inlineStr">
        <x:is>
          <x:t xml:space="preserve"/>
        </x:is>
      </x:c>
      <x:c r="H51" s="7" t="inlineStr">
        <x:is>
          <x:t xml:space="preserve"/>
        </x:is>
      </x:c>
      <x:c r="I51" s="7" t="inlineStr">
        <x:is>
          <x:t xml:space="preserve"/>
        </x:is>
      </x:c>
      <x:c r="J51" s="7" t="inlineStr">
        <x:is>
          <x:t xml:space="preserve"/>
        </x:is>
      </x:c>
      <x:c r="K51" s="6" t="inlineStr">
        <x:is>
          <x:t xml:space="preserve"/>
        </x:is>
      </x:c>
      <x:c r="L51" s="7" t="inlineStr">
        <x:is>
          <x:t xml:space="preserve"/>
        </x:is>
      </x:c>
      <x:c r="M51" s="6" t="inlineStr">
        <x:is>
          <x:t xml:space="preserve"/>
        </x:is>
      </x:c>
      <x:c r="N51" s="6" t="inlineStr">
        <x:is>
          <x:t xml:space="preserve"/>
        </x:is>
      </x:c>
    </x:row>
    <x:row r="52">
      <x:c r="A52" s="7">
        <x:f>IF(B52="","", "T-"&amp;TEXT(ROW()-1,"00000"))</x:f>
      </x:c>
      <x:c r="B52" s="7" t="inlineStr">
        <x:is>
          <x:t xml:space="preserve"/>
        </x:is>
      </x:c>
      <x:c r="C52" s="7" t="inlineStr">
        <x:is>
          <x:t xml:space="preserve"/>
        </x:is>
      </x:c>
      <x:c r="D52" s="7">
        <x:f>IF(B52="","",VALUE(MID(B52,2,4)))</x:f>
      </x:c>
      <x:c r="E52" s="7">
        <x:f>IF(B52="","",MID(B52,6,2))</x:f>
      </x:c>
      <x:c r="F52" s="8" t="inlineStr">
        <x:is>
          <x:t xml:space="preserve"/>
        </x:is>
      </x:c>
      <x:c r="G52" s="6" t="inlineStr">
        <x:is>
          <x:t xml:space="preserve"/>
        </x:is>
      </x:c>
      <x:c r="H52" s="7" t="inlineStr">
        <x:is>
          <x:t xml:space="preserve"/>
        </x:is>
      </x:c>
      <x:c r="I52" s="7" t="inlineStr">
        <x:is>
          <x:t xml:space="preserve"/>
        </x:is>
      </x:c>
      <x:c r="J52" s="7" t="inlineStr">
        <x:is>
          <x:t xml:space="preserve"/>
        </x:is>
      </x:c>
      <x:c r="K52" s="6" t="inlineStr">
        <x:is>
          <x:t xml:space="preserve"/>
        </x:is>
      </x:c>
      <x:c r="L52" s="7" t="inlineStr">
        <x:is>
          <x:t xml:space="preserve"/>
        </x:is>
      </x:c>
      <x:c r="M52" s="6" t="inlineStr">
        <x:is>
          <x:t xml:space="preserve"/>
        </x:is>
      </x:c>
      <x:c r="N52" s="6" t="inlineStr">
        <x:is>
          <x:t xml:space="preserve"/>
        </x:is>
      </x:c>
    </x:row>
    <x:row r="53">
      <x:c r="A53" s="7">
        <x:f>IF(B53="","", "T-"&amp;TEXT(ROW()-1,"00000"))</x:f>
      </x:c>
      <x:c r="B53" s="7" t="inlineStr">
        <x:is>
          <x:t xml:space="preserve"/>
        </x:is>
      </x:c>
      <x:c r="C53" s="7" t="inlineStr">
        <x:is>
          <x:t xml:space="preserve"/>
        </x:is>
      </x:c>
      <x:c r="D53" s="7">
        <x:f>IF(B53="","",VALUE(MID(B53,2,4)))</x:f>
      </x:c>
      <x:c r="E53" s="7">
        <x:f>IF(B53="","",MID(B53,6,2))</x:f>
      </x:c>
      <x:c r="F53" s="8" t="inlineStr">
        <x:is>
          <x:t xml:space="preserve"/>
        </x:is>
      </x:c>
      <x:c r="G53" s="6" t="inlineStr">
        <x:is>
          <x:t xml:space="preserve"/>
        </x:is>
      </x:c>
      <x:c r="H53" s="7" t="inlineStr">
        <x:is>
          <x:t xml:space="preserve"/>
        </x:is>
      </x:c>
      <x:c r="I53" s="7" t="inlineStr">
        <x:is>
          <x:t xml:space="preserve"/>
        </x:is>
      </x:c>
      <x:c r="J53" s="7" t="inlineStr">
        <x:is>
          <x:t xml:space="preserve"/>
        </x:is>
      </x:c>
      <x:c r="K53" s="6" t="inlineStr">
        <x:is>
          <x:t xml:space="preserve"/>
        </x:is>
      </x:c>
      <x:c r="L53" s="7" t="inlineStr">
        <x:is>
          <x:t xml:space="preserve"/>
        </x:is>
      </x:c>
      <x:c r="M53" s="6" t="inlineStr">
        <x:is>
          <x:t xml:space="preserve"/>
        </x:is>
      </x:c>
      <x:c r="N53" s="6" t="inlineStr">
        <x:is>
          <x:t xml:space="preserve"/>
        </x:is>
      </x:c>
    </x:row>
    <x:row r="54">
      <x:c r="A54" s="7">
        <x:f>IF(B54="","", "T-"&amp;TEXT(ROW()-1,"00000"))</x:f>
      </x:c>
      <x:c r="B54" s="7" t="inlineStr">
        <x:is>
          <x:t xml:space="preserve"/>
        </x:is>
      </x:c>
      <x:c r="C54" s="7" t="inlineStr">
        <x:is>
          <x:t xml:space="preserve"/>
        </x:is>
      </x:c>
      <x:c r="D54" s="7">
        <x:f>IF(B54="","",VALUE(MID(B54,2,4)))</x:f>
      </x:c>
      <x:c r="E54" s="7">
        <x:f>IF(B54="","",MID(B54,6,2))</x:f>
      </x:c>
      <x:c r="F54" s="8" t="inlineStr">
        <x:is>
          <x:t xml:space="preserve"/>
        </x:is>
      </x:c>
      <x:c r="G54" s="6" t="inlineStr">
        <x:is>
          <x:t xml:space="preserve"/>
        </x:is>
      </x:c>
      <x:c r="H54" s="7" t="inlineStr">
        <x:is>
          <x:t xml:space="preserve"/>
        </x:is>
      </x:c>
      <x:c r="I54" s="7" t="inlineStr">
        <x:is>
          <x:t xml:space="preserve"/>
        </x:is>
      </x:c>
      <x:c r="J54" s="7" t="inlineStr">
        <x:is>
          <x:t xml:space="preserve"/>
        </x:is>
      </x:c>
      <x:c r="K54" s="6" t="inlineStr">
        <x:is>
          <x:t xml:space="preserve"/>
        </x:is>
      </x:c>
      <x:c r="L54" s="7" t="inlineStr">
        <x:is>
          <x:t xml:space="preserve"/>
        </x:is>
      </x:c>
      <x:c r="M54" s="6" t="inlineStr">
        <x:is>
          <x:t xml:space="preserve"/>
        </x:is>
      </x:c>
      <x:c r="N54" s="6" t="inlineStr">
        <x:is>
          <x:t xml:space="preserve"/>
        </x:is>
      </x:c>
    </x:row>
    <x:row r="55">
      <x:c r="A55" s="7">
        <x:f>IF(B55="","", "T-"&amp;TEXT(ROW()-1,"00000"))</x:f>
      </x:c>
      <x:c r="B55" s="7" t="inlineStr">
        <x:is>
          <x:t xml:space="preserve"/>
        </x:is>
      </x:c>
      <x:c r="C55" s="7" t="inlineStr">
        <x:is>
          <x:t xml:space="preserve"/>
        </x:is>
      </x:c>
      <x:c r="D55" s="7">
        <x:f>IF(B55="","",VALUE(MID(B55,2,4)))</x:f>
      </x:c>
      <x:c r="E55" s="7">
        <x:f>IF(B55="","",MID(B55,6,2))</x:f>
      </x:c>
      <x:c r="F55" s="8" t="inlineStr">
        <x:is>
          <x:t xml:space="preserve"/>
        </x:is>
      </x:c>
      <x:c r="G55" s="6" t="inlineStr">
        <x:is>
          <x:t xml:space="preserve"/>
        </x:is>
      </x:c>
      <x:c r="H55" s="7" t="inlineStr">
        <x:is>
          <x:t xml:space="preserve"/>
        </x:is>
      </x:c>
      <x:c r="I55" s="7" t="inlineStr">
        <x:is>
          <x:t xml:space="preserve"/>
        </x:is>
      </x:c>
      <x:c r="J55" s="7" t="inlineStr">
        <x:is>
          <x:t xml:space="preserve"/>
        </x:is>
      </x:c>
      <x:c r="K55" s="6" t="inlineStr">
        <x:is>
          <x:t xml:space="preserve"/>
        </x:is>
      </x:c>
      <x:c r="L55" s="7" t="inlineStr">
        <x:is>
          <x:t xml:space="preserve"/>
        </x:is>
      </x:c>
      <x:c r="M55" s="6" t="inlineStr">
        <x:is>
          <x:t xml:space="preserve"/>
        </x:is>
      </x:c>
      <x:c r="N55" s="6" t="inlineStr">
        <x:is>
          <x:t xml:space="preserve"/>
        </x:is>
      </x:c>
    </x:row>
    <x:row r="56">
      <x:c r="A56" s="7">
        <x:f>IF(B56="","", "T-"&amp;TEXT(ROW()-1,"00000"))</x:f>
      </x:c>
      <x:c r="B56" s="7" t="inlineStr">
        <x:is>
          <x:t xml:space="preserve"/>
        </x:is>
      </x:c>
      <x:c r="C56" s="7" t="inlineStr">
        <x:is>
          <x:t xml:space="preserve"/>
        </x:is>
      </x:c>
      <x:c r="D56" s="7">
        <x:f>IF(B56="","",VALUE(MID(B56,2,4)))</x:f>
      </x:c>
      <x:c r="E56" s="7">
        <x:f>IF(B56="","",MID(B56,6,2))</x:f>
      </x:c>
      <x:c r="F56" s="8" t="inlineStr">
        <x:is>
          <x:t xml:space="preserve"/>
        </x:is>
      </x:c>
      <x:c r="G56" s="6" t="inlineStr">
        <x:is>
          <x:t xml:space="preserve"/>
        </x:is>
      </x:c>
      <x:c r="H56" s="7" t="inlineStr">
        <x:is>
          <x:t xml:space="preserve"/>
        </x:is>
      </x:c>
      <x:c r="I56" s="7" t="inlineStr">
        <x:is>
          <x:t xml:space="preserve"/>
        </x:is>
      </x:c>
      <x:c r="J56" s="7" t="inlineStr">
        <x:is>
          <x:t xml:space="preserve"/>
        </x:is>
      </x:c>
      <x:c r="K56" s="6" t="inlineStr">
        <x:is>
          <x:t xml:space="preserve"/>
        </x:is>
      </x:c>
      <x:c r="L56" s="7" t="inlineStr">
        <x:is>
          <x:t xml:space="preserve"/>
        </x:is>
      </x:c>
      <x:c r="M56" s="6" t="inlineStr">
        <x:is>
          <x:t xml:space="preserve"/>
        </x:is>
      </x:c>
      <x:c r="N56" s="6" t="inlineStr">
        <x:is>
          <x:t xml:space="preserve"/>
        </x:is>
      </x:c>
    </x:row>
    <x:row r="57">
      <x:c r="A57" s="7">
        <x:f>IF(B57="","", "T-"&amp;TEXT(ROW()-1,"00000"))</x:f>
      </x:c>
      <x:c r="B57" s="7" t="inlineStr">
        <x:is>
          <x:t xml:space="preserve"/>
        </x:is>
      </x:c>
      <x:c r="C57" s="7" t="inlineStr">
        <x:is>
          <x:t xml:space="preserve"/>
        </x:is>
      </x:c>
      <x:c r="D57" s="7">
        <x:f>IF(B57="","",VALUE(MID(B57,2,4)))</x:f>
      </x:c>
      <x:c r="E57" s="7">
        <x:f>IF(B57="","",MID(B57,6,2))</x:f>
      </x:c>
      <x:c r="F57" s="8" t="inlineStr">
        <x:is>
          <x:t xml:space="preserve"/>
        </x:is>
      </x:c>
      <x:c r="G57" s="6" t="inlineStr">
        <x:is>
          <x:t xml:space="preserve"/>
        </x:is>
      </x:c>
      <x:c r="H57" s="7" t="inlineStr">
        <x:is>
          <x:t xml:space="preserve"/>
        </x:is>
      </x:c>
      <x:c r="I57" s="7" t="inlineStr">
        <x:is>
          <x:t xml:space="preserve"/>
        </x:is>
      </x:c>
      <x:c r="J57" s="7" t="inlineStr">
        <x:is>
          <x:t xml:space="preserve"/>
        </x:is>
      </x:c>
      <x:c r="K57" s="6" t="inlineStr">
        <x:is>
          <x:t xml:space="preserve"/>
        </x:is>
      </x:c>
      <x:c r="L57" s="7" t="inlineStr">
        <x:is>
          <x:t xml:space="preserve"/>
        </x:is>
      </x:c>
      <x:c r="M57" s="6" t="inlineStr">
        <x:is>
          <x:t xml:space="preserve"/>
        </x:is>
      </x:c>
      <x:c r="N57" s="6" t="inlineStr">
        <x:is>
          <x:t xml:space="preserve"/>
        </x:is>
      </x:c>
    </x:row>
    <x:row r="58">
      <x:c r="A58" s="7">
        <x:f>IF(B58="","", "T-"&amp;TEXT(ROW()-1,"00000"))</x:f>
      </x:c>
      <x:c r="B58" s="7" t="inlineStr">
        <x:is>
          <x:t xml:space="preserve"/>
        </x:is>
      </x:c>
      <x:c r="C58" s="7" t="inlineStr">
        <x:is>
          <x:t xml:space="preserve"/>
        </x:is>
      </x:c>
      <x:c r="D58" s="7">
        <x:f>IF(B58="","",VALUE(MID(B58,2,4)))</x:f>
      </x:c>
      <x:c r="E58" s="7">
        <x:f>IF(B58="","",MID(B58,6,2))</x:f>
      </x:c>
      <x:c r="F58" s="8" t="inlineStr">
        <x:is>
          <x:t xml:space="preserve"/>
        </x:is>
      </x:c>
      <x:c r="G58" s="6" t="inlineStr">
        <x:is>
          <x:t xml:space="preserve"/>
        </x:is>
      </x:c>
      <x:c r="H58" s="7" t="inlineStr">
        <x:is>
          <x:t xml:space="preserve"/>
        </x:is>
      </x:c>
      <x:c r="I58" s="7" t="inlineStr">
        <x:is>
          <x:t xml:space="preserve"/>
        </x:is>
      </x:c>
      <x:c r="J58" s="7" t="inlineStr">
        <x:is>
          <x:t xml:space="preserve"/>
        </x:is>
      </x:c>
      <x:c r="K58" s="6" t="inlineStr">
        <x:is>
          <x:t xml:space="preserve"/>
        </x:is>
      </x:c>
      <x:c r="L58" s="7" t="inlineStr">
        <x:is>
          <x:t xml:space="preserve"/>
        </x:is>
      </x:c>
      <x:c r="M58" s="6" t="inlineStr">
        <x:is>
          <x:t xml:space="preserve"/>
        </x:is>
      </x:c>
      <x:c r="N58" s="6" t="inlineStr">
        <x:is>
          <x:t xml:space="preserve"/>
        </x:is>
      </x:c>
    </x:row>
    <x:row r="59">
      <x:c r="A59" s="7">
        <x:f>IF(B59="","", "T-"&amp;TEXT(ROW()-1,"00000"))</x:f>
      </x:c>
      <x:c r="B59" s="7" t="inlineStr">
        <x:is>
          <x:t xml:space="preserve"/>
        </x:is>
      </x:c>
      <x:c r="C59" s="7" t="inlineStr">
        <x:is>
          <x:t xml:space="preserve"/>
        </x:is>
      </x:c>
      <x:c r="D59" s="7">
        <x:f>IF(B59="","",VALUE(MID(B59,2,4)))</x:f>
      </x:c>
      <x:c r="E59" s="7">
        <x:f>IF(B59="","",MID(B59,6,2))</x:f>
      </x:c>
      <x:c r="F59" s="8" t="inlineStr">
        <x:is>
          <x:t xml:space="preserve"/>
        </x:is>
      </x:c>
      <x:c r="G59" s="6" t="inlineStr">
        <x:is>
          <x:t xml:space="preserve"/>
        </x:is>
      </x:c>
      <x:c r="H59" s="7" t="inlineStr">
        <x:is>
          <x:t xml:space="preserve"/>
        </x:is>
      </x:c>
      <x:c r="I59" s="7" t="inlineStr">
        <x:is>
          <x:t xml:space="preserve"/>
        </x:is>
      </x:c>
      <x:c r="J59" s="7" t="inlineStr">
        <x:is>
          <x:t xml:space="preserve"/>
        </x:is>
      </x:c>
      <x:c r="K59" s="6" t="inlineStr">
        <x:is>
          <x:t xml:space="preserve"/>
        </x:is>
      </x:c>
      <x:c r="L59" s="7" t="inlineStr">
        <x:is>
          <x:t xml:space="preserve"/>
        </x:is>
      </x:c>
      <x:c r="M59" s="6" t="inlineStr">
        <x:is>
          <x:t xml:space="preserve"/>
        </x:is>
      </x:c>
      <x:c r="N59" s="6" t="inlineStr">
        <x:is>
          <x:t xml:space="preserve"/>
        </x:is>
      </x:c>
    </x:row>
    <x:row r="60">
      <x:c r="A60" s="7">
        <x:f>IF(B60="","", "T-"&amp;TEXT(ROW()-1,"00000"))</x:f>
      </x:c>
      <x:c r="B60" s="7" t="inlineStr">
        <x:is>
          <x:t xml:space="preserve"/>
        </x:is>
      </x:c>
      <x:c r="C60" s="7" t="inlineStr">
        <x:is>
          <x:t xml:space="preserve"/>
        </x:is>
      </x:c>
      <x:c r="D60" s="7">
        <x:f>IF(B60="","",VALUE(MID(B60,2,4)))</x:f>
      </x:c>
      <x:c r="E60" s="7">
        <x:f>IF(B60="","",MID(B60,6,2))</x:f>
      </x:c>
      <x:c r="F60" s="8" t="inlineStr">
        <x:is>
          <x:t xml:space="preserve"/>
        </x:is>
      </x:c>
      <x:c r="G60" s="6" t="inlineStr">
        <x:is>
          <x:t xml:space="preserve"/>
        </x:is>
      </x:c>
      <x:c r="H60" s="7" t="inlineStr">
        <x:is>
          <x:t xml:space="preserve"/>
        </x:is>
      </x:c>
      <x:c r="I60" s="7" t="inlineStr">
        <x:is>
          <x:t xml:space="preserve"/>
        </x:is>
      </x:c>
      <x:c r="J60" s="7" t="inlineStr">
        <x:is>
          <x:t xml:space="preserve"/>
        </x:is>
      </x:c>
      <x:c r="K60" s="6" t="inlineStr">
        <x:is>
          <x:t xml:space="preserve"/>
        </x:is>
      </x:c>
      <x:c r="L60" s="7" t="inlineStr">
        <x:is>
          <x:t xml:space="preserve"/>
        </x:is>
      </x:c>
      <x:c r="M60" s="6" t="inlineStr">
        <x:is>
          <x:t xml:space="preserve"/>
        </x:is>
      </x:c>
      <x:c r="N60" s="6" t="inlineStr">
        <x:is>
          <x:t xml:space="preserve"/>
        </x:is>
      </x:c>
    </x:row>
    <x:row r="61">
      <x:c r="A61" s="7">
        <x:f>IF(B61="","", "T-"&amp;TEXT(ROW()-1,"00000"))</x:f>
      </x:c>
      <x:c r="B61" s="7" t="inlineStr">
        <x:is>
          <x:t xml:space="preserve"/>
        </x:is>
      </x:c>
      <x:c r="C61" s="7" t="inlineStr">
        <x:is>
          <x:t xml:space="preserve"/>
        </x:is>
      </x:c>
      <x:c r="D61" s="7">
        <x:f>IF(B61="","",VALUE(MID(B61,2,4)))</x:f>
      </x:c>
      <x:c r="E61" s="7">
        <x:f>IF(B61="","",MID(B61,6,2))</x:f>
      </x:c>
      <x:c r="F61" s="8" t="inlineStr">
        <x:is>
          <x:t xml:space="preserve"/>
        </x:is>
      </x:c>
      <x:c r="G61" s="6" t="inlineStr">
        <x:is>
          <x:t xml:space="preserve"/>
        </x:is>
      </x:c>
      <x:c r="H61" s="7" t="inlineStr">
        <x:is>
          <x:t xml:space="preserve"/>
        </x:is>
      </x:c>
      <x:c r="I61" s="7" t="inlineStr">
        <x:is>
          <x:t xml:space="preserve"/>
        </x:is>
      </x:c>
      <x:c r="J61" s="7" t="inlineStr">
        <x:is>
          <x:t xml:space="preserve"/>
        </x:is>
      </x:c>
      <x:c r="K61" s="6" t="inlineStr">
        <x:is>
          <x:t xml:space="preserve"/>
        </x:is>
      </x:c>
      <x:c r="L61" s="7" t="inlineStr">
        <x:is>
          <x:t xml:space="preserve"/>
        </x:is>
      </x:c>
      <x:c r="M61" s="6" t="inlineStr">
        <x:is>
          <x:t xml:space="preserve"/>
        </x:is>
      </x:c>
      <x:c r="N61" s="6" t="inlineStr">
        <x:is>
          <x:t xml:space="preserve"/>
        </x:is>
      </x:c>
    </x:row>
    <x:row r="62">
      <x:c r="A62" s="7">
        <x:f>IF(B62="","", "T-"&amp;TEXT(ROW()-1,"00000"))</x:f>
      </x:c>
      <x:c r="B62" s="7" t="inlineStr">
        <x:is>
          <x:t xml:space="preserve"/>
        </x:is>
      </x:c>
      <x:c r="C62" s="7" t="inlineStr">
        <x:is>
          <x:t xml:space="preserve"/>
        </x:is>
      </x:c>
      <x:c r="D62" s="7">
        <x:f>IF(B62="","",VALUE(MID(B62,2,4)))</x:f>
      </x:c>
      <x:c r="E62" s="7">
        <x:f>IF(B62="","",MID(B62,6,2))</x:f>
      </x:c>
      <x:c r="F62" s="8" t="inlineStr">
        <x:is>
          <x:t xml:space="preserve"/>
        </x:is>
      </x:c>
      <x:c r="G62" s="6" t="inlineStr">
        <x:is>
          <x:t xml:space="preserve"/>
        </x:is>
      </x:c>
      <x:c r="H62" s="7" t="inlineStr">
        <x:is>
          <x:t xml:space="preserve"/>
        </x:is>
      </x:c>
      <x:c r="I62" s="7" t="inlineStr">
        <x:is>
          <x:t xml:space="preserve"/>
        </x:is>
      </x:c>
      <x:c r="J62" s="7" t="inlineStr">
        <x:is>
          <x:t xml:space="preserve"/>
        </x:is>
      </x:c>
      <x:c r="K62" s="6" t="inlineStr">
        <x:is>
          <x:t xml:space="preserve"/>
        </x:is>
      </x:c>
      <x:c r="L62" s="7" t="inlineStr">
        <x:is>
          <x:t xml:space="preserve"/>
        </x:is>
      </x:c>
      <x:c r="M62" s="6" t="inlineStr">
        <x:is>
          <x:t xml:space="preserve"/>
        </x:is>
      </x:c>
      <x:c r="N62" s="6" t="inlineStr">
        <x:is>
          <x:t xml:space="preserve"/>
        </x:is>
      </x:c>
    </x:row>
    <x:row r="63">
      <x:c r="A63" s="7">
        <x:f>IF(B63="","", "T-"&amp;TEXT(ROW()-1,"00000"))</x:f>
      </x:c>
      <x:c r="B63" s="7" t="inlineStr">
        <x:is>
          <x:t xml:space="preserve"/>
        </x:is>
      </x:c>
      <x:c r="C63" s="7" t="inlineStr">
        <x:is>
          <x:t xml:space="preserve"/>
        </x:is>
      </x:c>
      <x:c r="D63" s="7">
        <x:f>IF(B63="","",VALUE(MID(B63,2,4)))</x:f>
      </x:c>
      <x:c r="E63" s="7">
        <x:f>IF(B63="","",MID(B63,6,2))</x:f>
      </x:c>
      <x:c r="F63" s="8" t="inlineStr">
        <x:is>
          <x:t xml:space="preserve"/>
        </x:is>
      </x:c>
      <x:c r="G63" s="6" t="inlineStr">
        <x:is>
          <x:t xml:space="preserve"/>
        </x:is>
      </x:c>
      <x:c r="H63" s="7" t="inlineStr">
        <x:is>
          <x:t xml:space="preserve"/>
        </x:is>
      </x:c>
      <x:c r="I63" s="7" t="inlineStr">
        <x:is>
          <x:t xml:space="preserve"/>
        </x:is>
      </x:c>
      <x:c r="J63" s="7" t="inlineStr">
        <x:is>
          <x:t xml:space="preserve"/>
        </x:is>
      </x:c>
      <x:c r="K63" s="6" t="inlineStr">
        <x:is>
          <x:t xml:space="preserve"/>
        </x:is>
      </x:c>
      <x:c r="L63" s="7" t="inlineStr">
        <x:is>
          <x:t xml:space="preserve"/>
        </x:is>
      </x:c>
      <x:c r="M63" s="6" t="inlineStr">
        <x:is>
          <x:t xml:space="preserve"/>
        </x:is>
      </x:c>
      <x:c r="N63" s="6" t="inlineStr">
        <x:is>
          <x:t xml:space="preserve"/>
        </x:is>
      </x:c>
    </x:row>
    <x:row r="64">
      <x:c r="A64" s="7">
        <x:f>IF(B64="","", "T-"&amp;TEXT(ROW()-1,"00000"))</x:f>
      </x:c>
      <x:c r="B64" s="7" t="inlineStr">
        <x:is>
          <x:t xml:space="preserve"/>
        </x:is>
      </x:c>
      <x:c r="C64" s="7" t="inlineStr">
        <x:is>
          <x:t xml:space="preserve"/>
        </x:is>
      </x:c>
      <x:c r="D64" s="7">
        <x:f>IF(B64="","",VALUE(MID(B64,2,4)))</x:f>
      </x:c>
      <x:c r="E64" s="7">
        <x:f>IF(B64="","",MID(B64,6,2))</x:f>
      </x:c>
      <x:c r="F64" s="8" t="inlineStr">
        <x:is>
          <x:t xml:space="preserve"/>
        </x:is>
      </x:c>
      <x:c r="G64" s="6" t="inlineStr">
        <x:is>
          <x:t xml:space="preserve"/>
        </x:is>
      </x:c>
      <x:c r="H64" s="7" t="inlineStr">
        <x:is>
          <x:t xml:space="preserve"/>
        </x:is>
      </x:c>
      <x:c r="I64" s="7" t="inlineStr">
        <x:is>
          <x:t xml:space="preserve"/>
        </x:is>
      </x:c>
      <x:c r="J64" s="7" t="inlineStr">
        <x:is>
          <x:t xml:space="preserve"/>
        </x:is>
      </x:c>
      <x:c r="K64" s="6" t="inlineStr">
        <x:is>
          <x:t xml:space="preserve"/>
        </x:is>
      </x:c>
      <x:c r="L64" s="7" t="inlineStr">
        <x:is>
          <x:t xml:space="preserve"/>
        </x:is>
      </x:c>
      <x:c r="M64" s="6" t="inlineStr">
        <x:is>
          <x:t xml:space="preserve"/>
        </x:is>
      </x:c>
      <x:c r="N64" s="6" t="inlineStr">
        <x:is>
          <x:t xml:space="preserve"/>
        </x:is>
      </x:c>
    </x:row>
    <x:row r="65">
      <x:c r="A65" s="7">
        <x:f>IF(B65="","", "T-"&amp;TEXT(ROW()-1,"00000"))</x:f>
      </x:c>
      <x:c r="B65" s="7" t="inlineStr">
        <x:is>
          <x:t xml:space="preserve"/>
        </x:is>
      </x:c>
      <x:c r="C65" s="7" t="inlineStr">
        <x:is>
          <x:t xml:space="preserve"/>
        </x:is>
      </x:c>
      <x:c r="D65" s="7">
        <x:f>IF(B65="","",VALUE(MID(B65,2,4)))</x:f>
      </x:c>
      <x:c r="E65" s="7">
        <x:f>IF(B65="","",MID(B65,6,2))</x:f>
      </x:c>
      <x:c r="F65" s="8" t="inlineStr">
        <x:is>
          <x:t xml:space="preserve"/>
        </x:is>
      </x:c>
      <x:c r="G65" s="6" t="inlineStr">
        <x:is>
          <x:t xml:space="preserve"/>
        </x:is>
      </x:c>
      <x:c r="H65" s="7" t="inlineStr">
        <x:is>
          <x:t xml:space="preserve"/>
        </x:is>
      </x:c>
      <x:c r="I65" s="7" t="inlineStr">
        <x:is>
          <x:t xml:space="preserve"/>
        </x:is>
      </x:c>
      <x:c r="J65" s="7" t="inlineStr">
        <x:is>
          <x:t xml:space="preserve"/>
        </x:is>
      </x:c>
      <x:c r="K65" s="6" t="inlineStr">
        <x:is>
          <x:t xml:space="preserve"/>
        </x:is>
      </x:c>
      <x:c r="L65" s="7" t="inlineStr">
        <x:is>
          <x:t xml:space="preserve"/>
        </x:is>
      </x:c>
      <x:c r="M65" s="6" t="inlineStr">
        <x:is>
          <x:t xml:space="preserve"/>
        </x:is>
      </x:c>
      <x:c r="N65" s="6" t="inlineStr">
        <x:is>
          <x:t xml:space="preserve"/>
        </x:is>
      </x:c>
    </x:row>
    <x:row r="66">
      <x:c r="A66" s="7">
        <x:f>IF(B66="","", "T-"&amp;TEXT(ROW()-1,"00000"))</x:f>
      </x:c>
      <x:c r="B66" s="7" t="inlineStr">
        <x:is>
          <x:t xml:space="preserve"/>
        </x:is>
      </x:c>
      <x:c r="C66" s="7" t="inlineStr">
        <x:is>
          <x:t xml:space="preserve"/>
        </x:is>
      </x:c>
      <x:c r="D66" s="7">
        <x:f>IF(B66="","",VALUE(MID(B66,2,4)))</x:f>
      </x:c>
      <x:c r="E66" s="7">
        <x:f>IF(B66="","",MID(B66,6,2))</x:f>
      </x:c>
      <x:c r="F66" s="8" t="inlineStr">
        <x:is>
          <x:t xml:space="preserve"/>
        </x:is>
      </x:c>
      <x:c r="G66" s="6" t="inlineStr">
        <x:is>
          <x:t xml:space="preserve"/>
        </x:is>
      </x:c>
      <x:c r="H66" s="7" t="inlineStr">
        <x:is>
          <x:t xml:space="preserve"/>
        </x:is>
      </x:c>
      <x:c r="I66" s="7" t="inlineStr">
        <x:is>
          <x:t xml:space="preserve"/>
        </x:is>
      </x:c>
      <x:c r="J66" s="7" t="inlineStr">
        <x:is>
          <x:t xml:space="preserve"/>
        </x:is>
      </x:c>
      <x:c r="K66" s="6" t="inlineStr">
        <x:is>
          <x:t xml:space="preserve"/>
        </x:is>
      </x:c>
      <x:c r="L66" s="7" t="inlineStr">
        <x:is>
          <x:t xml:space="preserve"/>
        </x:is>
      </x:c>
      <x:c r="M66" s="6" t="inlineStr">
        <x:is>
          <x:t xml:space="preserve"/>
        </x:is>
      </x:c>
      <x:c r="N66" s="6" t="inlineStr">
        <x:is>
          <x:t xml:space="preserve"/>
        </x:is>
      </x:c>
    </x:row>
    <x:row r="67">
      <x:c r="A67" s="7">
        <x:f>IF(B67="","", "T-"&amp;TEXT(ROW()-1,"00000"))</x:f>
      </x:c>
      <x:c r="B67" s="7" t="inlineStr">
        <x:is>
          <x:t xml:space="preserve"/>
        </x:is>
      </x:c>
      <x:c r="C67" s="7" t="inlineStr">
        <x:is>
          <x:t xml:space="preserve"/>
        </x:is>
      </x:c>
      <x:c r="D67" s="7">
        <x:f>IF(B67="","",VALUE(MID(B67,2,4)))</x:f>
      </x:c>
      <x:c r="E67" s="7">
        <x:f>IF(B67="","",MID(B67,6,2))</x:f>
      </x:c>
      <x:c r="F67" s="8" t="inlineStr">
        <x:is>
          <x:t xml:space="preserve"/>
        </x:is>
      </x:c>
      <x:c r="G67" s="6" t="inlineStr">
        <x:is>
          <x:t xml:space="preserve"/>
        </x:is>
      </x:c>
      <x:c r="H67" s="7" t="inlineStr">
        <x:is>
          <x:t xml:space="preserve"/>
        </x:is>
      </x:c>
      <x:c r="I67" s="7" t="inlineStr">
        <x:is>
          <x:t xml:space="preserve"/>
        </x:is>
      </x:c>
      <x:c r="J67" s="7" t="inlineStr">
        <x:is>
          <x:t xml:space="preserve"/>
        </x:is>
      </x:c>
      <x:c r="K67" s="6" t="inlineStr">
        <x:is>
          <x:t xml:space="preserve"/>
        </x:is>
      </x:c>
      <x:c r="L67" s="7" t="inlineStr">
        <x:is>
          <x:t xml:space="preserve"/>
        </x:is>
      </x:c>
      <x:c r="M67" s="6" t="inlineStr">
        <x:is>
          <x:t xml:space="preserve"/>
        </x:is>
      </x:c>
      <x:c r="N67" s="6" t="inlineStr">
        <x:is>
          <x:t xml:space="preserve"/>
        </x:is>
      </x:c>
    </x:row>
    <x:row r="68">
      <x:c r="A68" s="7">
        <x:f>IF(B68="","", "T-"&amp;TEXT(ROW()-1,"00000"))</x:f>
      </x:c>
      <x:c r="B68" s="7" t="inlineStr">
        <x:is>
          <x:t xml:space="preserve"/>
        </x:is>
      </x:c>
      <x:c r="C68" s="7" t="inlineStr">
        <x:is>
          <x:t xml:space="preserve"/>
        </x:is>
      </x:c>
      <x:c r="D68" s="7">
        <x:f>IF(B68="","",VALUE(MID(B68,2,4)))</x:f>
      </x:c>
      <x:c r="E68" s="7">
        <x:f>IF(B68="","",MID(B68,6,2))</x:f>
      </x:c>
      <x:c r="F68" s="8" t="inlineStr">
        <x:is>
          <x:t xml:space="preserve"/>
        </x:is>
      </x:c>
      <x:c r="G68" s="6" t="inlineStr">
        <x:is>
          <x:t xml:space="preserve"/>
        </x:is>
      </x:c>
      <x:c r="H68" s="7" t="inlineStr">
        <x:is>
          <x:t xml:space="preserve"/>
        </x:is>
      </x:c>
      <x:c r="I68" s="7" t="inlineStr">
        <x:is>
          <x:t xml:space="preserve"/>
        </x:is>
      </x:c>
      <x:c r="J68" s="7" t="inlineStr">
        <x:is>
          <x:t xml:space="preserve"/>
        </x:is>
      </x:c>
      <x:c r="K68" s="6" t="inlineStr">
        <x:is>
          <x:t xml:space="preserve"/>
        </x:is>
      </x:c>
      <x:c r="L68" s="7" t="inlineStr">
        <x:is>
          <x:t xml:space="preserve"/>
        </x:is>
      </x:c>
      <x:c r="M68" s="6" t="inlineStr">
        <x:is>
          <x:t xml:space="preserve"/>
        </x:is>
      </x:c>
      <x:c r="N68" s="6" t="inlineStr">
        <x:is>
          <x:t xml:space="preserve"/>
        </x:is>
      </x:c>
    </x:row>
    <x:row r="69">
      <x:c r="A69" s="7">
        <x:f>IF(B69="","", "T-"&amp;TEXT(ROW()-1,"00000"))</x:f>
      </x:c>
      <x:c r="B69" s="7" t="inlineStr">
        <x:is>
          <x:t xml:space="preserve"/>
        </x:is>
      </x:c>
      <x:c r="C69" s="7" t="inlineStr">
        <x:is>
          <x:t xml:space="preserve"/>
        </x:is>
      </x:c>
      <x:c r="D69" s="7">
        <x:f>IF(B69="","",VALUE(MID(B69,2,4)))</x:f>
      </x:c>
      <x:c r="E69" s="7">
        <x:f>IF(B69="","",MID(B69,6,2))</x:f>
      </x:c>
      <x:c r="F69" s="8" t="inlineStr">
        <x:is>
          <x:t xml:space="preserve"/>
        </x:is>
      </x:c>
      <x:c r="G69" s="6" t="inlineStr">
        <x:is>
          <x:t xml:space="preserve"/>
        </x:is>
      </x:c>
      <x:c r="H69" s="7" t="inlineStr">
        <x:is>
          <x:t xml:space="preserve"/>
        </x:is>
      </x:c>
      <x:c r="I69" s="7" t="inlineStr">
        <x:is>
          <x:t xml:space="preserve"/>
        </x:is>
      </x:c>
      <x:c r="J69" s="7" t="inlineStr">
        <x:is>
          <x:t xml:space="preserve"/>
        </x:is>
      </x:c>
      <x:c r="K69" s="6" t="inlineStr">
        <x:is>
          <x:t xml:space="preserve"/>
        </x:is>
      </x:c>
      <x:c r="L69" s="7" t="inlineStr">
        <x:is>
          <x:t xml:space="preserve"/>
        </x:is>
      </x:c>
      <x:c r="M69" s="6" t="inlineStr">
        <x:is>
          <x:t xml:space="preserve"/>
        </x:is>
      </x:c>
      <x:c r="N69" s="6" t="inlineStr">
        <x:is>
          <x:t xml:space="preserve"/>
        </x:is>
      </x:c>
    </x:row>
    <x:row r="70">
      <x:c r="A70" s="7">
        <x:f>IF(B70="","", "T-"&amp;TEXT(ROW()-1,"00000"))</x:f>
      </x:c>
      <x:c r="B70" s="7" t="inlineStr">
        <x:is>
          <x:t xml:space="preserve"/>
        </x:is>
      </x:c>
      <x:c r="C70" s="7" t="inlineStr">
        <x:is>
          <x:t xml:space="preserve"/>
        </x:is>
      </x:c>
      <x:c r="D70" s="7">
        <x:f>IF(B70="","",VALUE(MID(B70,2,4)))</x:f>
      </x:c>
      <x:c r="E70" s="7">
        <x:f>IF(B70="","",MID(B70,6,2))</x:f>
      </x:c>
      <x:c r="F70" s="8" t="inlineStr">
        <x:is>
          <x:t xml:space="preserve"/>
        </x:is>
      </x:c>
      <x:c r="G70" s="6" t="inlineStr">
        <x:is>
          <x:t xml:space="preserve"/>
        </x:is>
      </x:c>
      <x:c r="H70" s="7" t="inlineStr">
        <x:is>
          <x:t xml:space="preserve"/>
        </x:is>
      </x:c>
      <x:c r="I70" s="7" t="inlineStr">
        <x:is>
          <x:t xml:space="preserve"/>
        </x:is>
      </x:c>
      <x:c r="J70" s="7" t="inlineStr">
        <x:is>
          <x:t xml:space="preserve"/>
        </x:is>
      </x:c>
      <x:c r="K70" s="6" t="inlineStr">
        <x:is>
          <x:t xml:space="preserve"/>
        </x:is>
      </x:c>
      <x:c r="L70" s="7" t="inlineStr">
        <x:is>
          <x:t xml:space="preserve"/>
        </x:is>
      </x:c>
      <x:c r="M70" s="6" t="inlineStr">
        <x:is>
          <x:t xml:space="preserve"/>
        </x:is>
      </x:c>
      <x:c r="N70" s="6" t="inlineStr">
        <x:is>
          <x:t xml:space="preserve"/>
        </x:is>
      </x:c>
    </x:row>
    <x:row r="71">
      <x:c r="A71" s="7">
        <x:f>IF(B71="","", "T-"&amp;TEXT(ROW()-1,"00000"))</x:f>
      </x:c>
      <x:c r="B71" s="7" t="inlineStr">
        <x:is>
          <x:t xml:space="preserve"/>
        </x:is>
      </x:c>
      <x:c r="C71" s="7" t="inlineStr">
        <x:is>
          <x:t xml:space="preserve"/>
        </x:is>
      </x:c>
      <x:c r="D71" s="7">
        <x:f>IF(B71="","",VALUE(MID(B71,2,4)))</x:f>
      </x:c>
      <x:c r="E71" s="7">
        <x:f>IF(B71="","",MID(B71,6,2))</x:f>
      </x:c>
      <x:c r="F71" s="8" t="inlineStr">
        <x:is>
          <x:t xml:space="preserve"/>
        </x:is>
      </x:c>
      <x:c r="G71" s="6" t="inlineStr">
        <x:is>
          <x:t xml:space="preserve"/>
        </x:is>
      </x:c>
      <x:c r="H71" s="7" t="inlineStr">
        <x:is>
          <x:t xml:space="preserve"/>
        </x:is>
      </x:c>
      <x:c r="I71" s="7" t="inlineStr">
        <x:is>
          <x:t xml:space="preserve"/>
        </x:is>
      </x:c>
      <x:c r="J71" s="7" t="inlineStr">
        <x:is>
          <x:t xml:space="preserve"/>
        </x:is>
      </x:c>
      <x:c r="K71" s="6" t="inlineStr">
        <x:is>
          <x:t xml:space="preserve"/>
        </x:is>
      </x:c>
      <x:c r="L71" s="7" t="inlineStr">
        <x:is>
          <x:t xml:space="preserve"/>
        </x:is>
      </x:c>
      <x:c r="M71" s="6" t="inlineStr">
        <x:is>
          <x:t xml:space="preserve"/>
        </x:is>
      </x:c>
      <x:c r="N71" s="6" t="inlineStr">
        <x:is>
          <x:t xml:space="preserve"/>
        </x:is>
      </x:c>
    </x:row>
    <x:row r="72">
      <x:c r="A72" s="7">
        <x:f>IF(B72="","", "T-"&amp;TEXT(ROW()-1,"00000"))</x:f>
      </x:c>
      <x:c r="B72" s="7" t="inlineStr">
        <x:is>
          <x:t xml:space="preserve"/>
        </x:is>
      </x:c>
      <x:c r="C72" s="7" t="inlineStr">
        <x:is>
          <x:t xml:space="preserve"/>
        </x:is>
      </x:c>
      <x:c r="D72" s="7">
        <x:f>IF(B72="","",VALUE(MID(B72,2,4)))</x:f>
      </x:c>
      <x:c r="E72" s="7">
        <x:f>IF(B72="","",MID(B72,6,2))</x:f>
      </x:c>
      <x:c r="F72" s="8" t="inlineStr">
        <x:is>
          <x:t xml:space="preserve"/>
        </x:is>
      </x:c>
      <x:c r="G72" s="6" t="inlineStr">
        <x:is>
          <x:t xml:space="preserve"/>
        </x:is>
      </x:c>
      <x:c r="H72" s="7" t="inlineStr">
        <x:is>
          <x:t xml:space="preserve"/>
        </x:is>
      </x:c>
      <x:c r="I72" s="7" t="inlineStr">
        <x:is>
          <x:t xml:space="preserve"/>
        </x:is>
      </x:c>
      <x:c r="J72" s="7" t="inlineStr">
        <x:is>
          <x:t xml:space="preserve"/>
        </x:is>
      </x:c>
      <x:c r="K72" s="6" t="inlineStr">
        <x:is>
          <x:t xml:space="preserve"/>
        </x:is>
      </x:c>
      <x:c r="L72" s="7" t="inlineStr">
        <x:is>
          <x:t xml:space="preserve"/>
        </x:is>
      </x:c>
      <x:c r="M72" s="6" t="inlineStr">
        <x:is>
          <x:t xml:space="preserve"/>
        </x:is>
      </x:c>
      <x:c r="N72" s="6" t="inlineStr">
        <x:is>
          <x:t xml:space="preserve"/>
        </x:is>
      </x:c>
    </x:row>
    <x:row r="73">
      <x:c r="A73" s="7">
        <x:f>IF(B73="","", "T-"&amp;TEXT(ROW()-1,"00000"))</x:f>
      </x:c>
      <x:c r="B73" s="7" t="inlineStr">
        <x:is>
          <x:t xml:space="preserve"/>
        </x:is>
      </x:c>
      <x:c r="C73" s="7" t="inlineStr">
        <x:is>
          <x:t xml:space="preserve"/>
        </x:is>
      </x:c>
      <x:c r="D73" s="7">
        <x:f>IF(B73="","",VALUE(MID(B73,2,4)))</x:f>
      </x:c>
      <x:c r="E73" s="7">
        <x:f>IF(B73="","",MID(B73,6,2))</x:f>
      </x:c>
      <x:c r="F73" s="8" t="inlineStr">
        <x:is>
          <x:t xml:space="preserve"/>
        </x:is>
      </x:c>
      <x:c r="G73" s="6" t="inlineStr">
        <x:is>
          <x:t xml:space="preserve"/>
        </x:is>
      </x:c>
      <x:c r="H73" s="7" t="inlineStr">
        <x:is>
          <x:t xml:space="preserve"/>
        </x:is>
      </x:c>
      <x:c r="I73" s="7" t="inlineStr">
        <x:is>
          <x:t xml:space="preserve"/>
        </x:is>
      </x:c>
      <x:c r="J73" s="7" t="inlineStr">
        <x:is>
          <x:t xml:space="preserve"/>
        </x:is>
      </x:c>
      <x:c r="K73" s="6" t="inlineStr">
        <x:is>
          <x:t xml:space="preserve"/>
        </x:is>
      </x:c>
      <x:c r="L73" s="7" t="inlineStr">
        <x:is>
          <x:t xml:space="preserve"/>
        </x:is>
      </x:c>
      <x:c r="M73" s="6" t="inlineStr">
        <x:is>
          <x:t xml:space="preserve"/>
        </x:is>
      </x:c>
      <x:c r="N73" s="6" t="inlineStr">
        <x:is>
          <x:t xml:space="preserve"/>
        </x:is>
      </x:c>
    </x:row>
    <x:row r="74">
      <x:c r="A74" s="7">
        <x:f>IF(B74="","", "T-"&amp;TEXT(ROW()-1,"00000"))</x:f>
      </x:c>
      <x:c r="B74" s="7" t="inlineStr">
        <x:is>
          <x:t xml:space="preserve"/>
        </x:is>
      </x:c>
      <x:c r="C74" s="7" t="inlineStr">
        <x:is>
          <x:t xml:space="preserve"/>
        </x:is>
      </x:c>
      <x:c r="D74" s="7">
        <x:f>IF(B74="","",VALUE(MID(B74,2,4)))</x:f>
      </x:c>
      <x:c r="E74" s="7">
        <x:f>IF(B74="","",MID(B74,6,2))</x:f>
      </x:c>
      <x:c r="F74" s="8" t="inlineStr">
        <x:is>
          <x:t xml:space="preserve"/>
        </x:is>
      </x:c>
      <x:c r="G74" s="6" t="inlineStr">
        <x:is>
          <x:t xml:space="preserve"/>
        </x:is>
      </x:c>
      <x:c r="H74" s="7" t="inlineStr">
        <x:is>
          <x:t xml:space="preserve"/>
        </x:is>
      </x:c>
      <x:c r="I74" s="7" t="inlineStr">
        <x:is>
          <x:t xml:space="preserve"/>
        </x:is>
      </x:c>
      <x:c r="J74" s="7" t="inlineStr">
        <x:is>
          <x:t xml:space="preserve"/>
        </x:is>
      </x:c>
      <x:c r="K74" s="6" t="inlineStr">
        <x:is>
          <x:t xml:space="preserve"/>
        </x:is>
      </x:c>
      <x:c r="L74" s="7" t="inlineStr">
        <x:is>
          <x:t xml:space="preserve"/>
        </x:is>
      </x:c>
      <x:c r="M74" s="6" t="inlineStr">
        <x:is>
          <x:t xml:space="preserve"/>
        </x:is>
      </x:c>
      <x:c r="N74" s="6" t="inlineStr">
        <x:is>
          <x:t xml:space="preserve"/>
        </x:is>
      </x:c>
    </x:row>
    <x:row r="75">
      <x:c r="A75" s="7">
        <x:f>IF(B75="","", "T-"&amp;TEXT(ROW()-1,"00000"))</x:f>
      </x:c>
      <x:c r="B75" s="7" t="inlineStr">
        <x:is>
          <x:t xml:space="preserve"/>
        </x:is>
      </x:c>
      <x:c r="C75" s="7" t="inlineStr">
        <x:is>
          <x:t xml:space="preserve"/>
        </x:is>
      </x:c>
      <x:c r="D75" s="7">
        <x:f>IF(B75="","",VALUE(MID(B75,2,4)))</x:f>
      </x:c>
      <x:c r="E75" s="7">
        <x:f>IF(B75="","",MID(B75,6,2))</x:f>
      </x:c>
      <x:c r="F75" s="8" t="inlineStr">
        <x:is>
          <x:t xml:space="preserve"/>
        </x:is>
      </x:c>
      <x:c r="G75" s="6" t="inlineStr">
        <x:is>
          <x:t xml:space="preserve"/>
        </x:is>
      </x:c>
      <x:c r="H75" s="7" t="inlineStr">
        <x:is>
          <x:t xml:space="preserve"/>
        </x:is>
      </x:c>
      <x:c r="I75" s="7" t="inlineStr">
        <x:is>
          <x:t xml:space="preserve"/>
        </x:is>
      </x:c>
      <x:c r="J75" s="7" t="inlineStr">
        <x:is>
          <x:t xml:space="preserve"/>
        </x:is>
      </x:c>
      <x:c r="K75" s="6" t="inlineStr">
        <x:is>
          <x:t xml:space="preserve"/>
        </x:is>
      </x:c>
      <x:c r="L75" s="7" t="inlineStr">
        <x:is>
          <x:t xml:space="preserve"/>
        </x:is>
      </x:c>
      <x:c r="M75" s="6" t="inlineStr">
        <x:is>
          <x:t xml:space="preserve"/>
        </x:is>
      </x:c>
      <x:c r="N75" s="6" t="inlineStr">
        <x:is>
          <x:t xml:space="preserve"/>
        </x:is>
      </x:c>
    </x:row>
    <x:row r="76">
      <x:c r="A76" s="7">
        <x:f>IF(B76="","", "T-"&amp;TEXT(ROW()-1,"00000"))</x:f>
      </x:c>
      <x:c r="B76" s="7" t="inlineStr">
        <x:is>
          <x:t xml:space="preserve"/>
        </x:is>
      </x:c>
      <x:c r="C76" s="7" t="inlineStr">
        <x:is>
          <x:t xml:space="preserve"/>
        </x:is>
      </x:c>
      <x:c r="D76" s="7">
        <x:f>IF(B76="","",VALUE(MID(B76,2,4)))</x:f>
      </x:c>
      <x:c r="E76" s="7">
        <x:f>IF(B76="","",MID(B76,6,2))</x:f>
      </x:c>
      <x:c r="F76" s="8" t="inlineStr">
        <x:is>
          <x:t xml:space="preserve"/>
        </x:is>
      </x:c>
      <x:c r="G76" s="6" t="inlineStr">
        <x:is>
          <x:t xml:space="preserve"/>
        </x:is>
      </x:c>
      <x:c r="H76" s="7" t="inlineStr">
        <x:is>
          <x:t xml:space="preserve"/>
        </x:is>
      </x:c>
      <x:c r="I76" s="7" t="inlineStr">
        <x:is>
          <x:t xml:space="preserve"/>
        </x:is>
      </x:c>
      <x:c r="J76" s="7" t="inlineStr">
        <x:is>
          <x:t xml:space="preserve"/>
        </x:is>
      </x:c>
      <x:c r="K76" s="6" t="inlineStr">
        <x:is>
          <x:t xml:space="preserve"/>
        </x:is>
      </x:c>
      <x:c r="L76" s="7" t="inlineStr">
        <x:is>
          <x:t xml:space="preserve"/>
        </x:is>
      </x:c>
      <x:c r="M76" s="6" t="inlineStr">
        <x:is>
          <x:t xml:space="preserve"/>
        </x:is>
      </x:c>
      <x:c r="N76" s="6" t="inlineStr">
        <x:is>
          <x:t xml:space="preserve"/>
        </x:is>
      </x:c>
    </x:row>
    <x:row r="77">
      <x:c r="A77" s="7">
        <x:f>IF(B77="","", "T-"&amp;TEXT(ROW()-1,"00000"))</x:f>
      </x:c>
      <x:c r="B77" s="7" t="inlineStr">
        <x:is>
          <x:t xml:space="preserve"/>
        </x:is>
      </x:c>
      <x:c r="C77" s="7" t="inlineStr">
        <x:is>
          <x:t xml:space="preserve"/>
        </x:is>
      </x:c>
      <x:c r="D77" s="7">
        <x:f>IF(B77="","",VALUE(MID(B77,2,4)))</x:f>
      </x:c>
      <x:c r="E77" s="7">
        <x:f>IF(B77="","",MID(B77,6,2))</x:f>
      </x:c>
      <x:c r="F77" s="8" t="inlineStr">
        <x:is>
          <x:t xml:space="preserve"/>
        </x:is>
      </x:c>
      <x:c r="G77" s="6" t="inlineStr">
        <x:is>
          <x:t xml:space="preserve"/>
        </x:is>
      </x:c>
      <x:c r="H77" s="7" t="inlineStr">
        <x:is>
          <x:t xml:space="preserve"/>
        </x:is>
      </x:c>
      <x:c r="I77" s="7" t="inlineStr">
        <x:is>
          <x:t xml:space="preserve"/>
        </x:is>
      </x:c>
      <x:c r="J77" s="7" t="inlineStr">
        <x:is>
          <x:t xml:space="preserve"/>
        </x:is>
      </x:c>
      <x:c r="K77" s="6" t="inlineStr">
        <x:is>
          <x:t xml:space="preserve"/>
        </x:is>
      </x:c>
      <x:c r="L77" s="7" t="inlineStr">
        <x:is>
          <x:t xml:space="preserve"/>
        </x:is>
      </x:c>
      <x:c r="M77" s="6" t="inlineStr">
        <x:is>
          <x:t xml:space="preserve"/>
        </x:is>
      </x:c>
      <x:c r="N77" s="6" t="inlineStr">
        <x:is>
          <x:t xml:space="preserve"/>
        </x:is>
      </x:c>
    </x:row>
    <x:row r="78">
      <x:c r="A78" s="7">
        <x:f>IF(B78="","", "T-"&amp;TEXT(ROW()-1,"00000"))</x:f>
      </x:c>
      <x:c r="B78" s="7" t="inlineStr">
        <x:is>
          <x:t xml:space="preserve"/>
        </x:is>
      </x:c>
      <x:c r="C78" s="7" t="inlineStr">
        <x:is>
          <x:t xml:space="preserve"/>
        </x:is>
      </x:c>
      <x:c r="D78" s="7">
        <x:f>IF(B78="","",VALUE(MID(B78,2,4)))</x:f>
      </x:c>
      <x:c r="E78" s="7">
        <x:f>IF(B78="","",MID(B78,6,2))</x:f>
      </x:c>
      <x:c r="F78" s="8" t="inlineStr">
        <x:is>
          <x:t xml:space="preserve"/>
        </x:is>
      </x:c>
      <x:c r="G78" s="6" t="inlineStr">
        <x:is>
          <x:t xml:space="preserve"/>
        </x:is>
      </x:c>
      <x:c r="H78" s="7" t="inlineStr">
        <x:is>
          <x:t xml:space="preserve"/>
        </x:is>
      </x:c>
      <x:c r="I78" s="7" t="inlineStr">
        <x:is>
          <x:t xml:space="preserve"/>
        </x:is>
      </x:c>
      <x:c r="J78" s="7" t="inlineStr">
        <x:is>
          <x:t xml:space="preserve"/>
        </x:is>
      </x:c>
      <x:c r="K78" s="6" t="inlineStr">
        <x:is>
          <x:t xml:space="preserve"/>
        </x:is>
      </x:c>
      <x:c r="L78" s="7" t="inlineStr">
        <x:is>
          <x:t xml:space="preserve"/>
        </x:is>
      </x:c>
      <x:c r="M78" s="6" t="inlineStr">
        <x:is>
          <x:t xml:space="preserve"/>
        </x:is>
      </x:c>
      <x:c r="N78" s="6" t="inlineStr">
        <x:is>
          <x:t xml:space="preserve"/>
        </x:is>
      </x:c>
    </x:row>
    <x:row r="79">
      <x:c r="A79" s="7">
        <x:f>IF(B79="","", "T-"&amp;TEXT(ROW()-1,"00000"))</x:f>
      </x:c>
      <x:c r="B79" s="7" t="inlineStr">
        <x:is>
          <x:t xml:space="preserve"/>
        </x:is>
      </x:c>
      <x:c r="C79" s="7" t="inlineStr">
        <x:is>
          <x:t xml:space="preserve"/>
        </x:is>
      </x:c>
      <x:c r="D79" s="7">
        <x:f>IF(B79="","",VALUE(MID(B79,2,4)))</x:f>
      </x:c>
      <x:c r="E79" s="7">
        <x:f>IF(B79="","",MID(B79,6,2))</x:f>
      </x:c>
      <x:c r="F79" s="8" t="inlineStr">
        <x:is>
          <x:t xml:space="preserve"/>
        </x:is>
      </x:c>
      <x:c r="G79" s="6" t="inlineStr">
        <x:is>
          <x:t xml:space="preserve"/>
        </x:is>
      </x:c>
      <x:c r="H79" s="7"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
          <x:t xml:space="preserve"/>
        </x:is>
      </x:c>
      <x:c r="N79" s="6" t="inlineStr">
        <x:is>
          <x:t xml:space="preserve"/>
        </x:is>
      </x:c>
    </x:row>
    <x:row r="80">
      <x:c r="A80" s="7">
        <x:f>IF(B80="","", "T-"&amp;TEXT(ROW()-1,"00000"))</x:f>
      </x:c>
      <x:c r="B80" s="7" t="inlineStr">
        <x:is>
          <x:t xml:space="preserve"/>
        </x:is>
      </x:c>
      <x:c r="C80" s="7" t="inlineStr">
        <x:is>
          <x:t xml:space="preserve"/>
        </x:is>
      </x:c>
      <x:c r="D80" s="7">
        <x:f>IF(B80="","",VALUE(MID(B80,2,4)))</x:f>
      </x:c>
      <x:c r="E80" s="7">
        <x:f>IF(B80="","",MID(B80,6,2))</x:f>
      </x:c>
      <x:c r="F80" s="8" t="inlineStr">
        <x:is>
          <x:t xml:space="preserve"/>
        </x:is>
      </x:c>
      <x:c r="G80" s="6" t="inlineStr">
        <x:is>
          <x:t xml:space="preserve"/>
        </x:is>
      </x:c>
      <x:c r="H80" s="7" t="inlineStr">
        <x:is>
          <x:t xml:space="preserve"/>
        </x:is>
      </x:c>
      <x:c r="I80" s="7" t="inlineStr">
        <x:is>
          <x:t xml:space="preserve"/>
        </x:is>
      </x:c>
      <x:c r="J80" s="7" t="inlineStr">
        <x:is>
          <x:t xml:space="preserve"/>
        </x:is>
      </x:c>
      <x:c r="K80" s="6" t="inlineStr">
        <x:is>
          <x:t xml:space="preserve"/>
        </x:is>
      </x:c>
      <x:c r="L80" s="7" t="inlineStr">
        <x:is>
          <x:t xml:space="preserve"/>
        </x:is>
      </x:c>
      <x:c r="M80" s="6" t="inlineStr">
        <x:is>
          <x:t xml:space="preserve"/>
        </x:is>
      </x:c>
      <x:c r="N80" s="6" t="inlineStr">
        <x:is>
          <x:t xml:space="preserve"/>
        </x:is>
      </x:c>
    </x:row>
    <x:row r="81">
      <x:c r="A81" s="7">
        <x:f>IF(B81="","", "T-"&amp;TEXT(ROW()-1,"00000"))</x:f>
      </x:c>
      <x:c r="B81" s="7" t="inlineStr">
        <x:is>
          <x:t xml:space="preserve"/>
        </x:is>
      </x:c>
      <x:c r="C81" s="7" t="inlineStr">
        <x:is>
          <x:t xml:space="preserve"/>
        </x:is>
      </x:c>
      <x:c r="D81" s="7">
        <x:f>IF(B81="","",VALUE(MID(B81,2,4)))</x:f>
      </x:c>
      <x:c r="E81" s="7">
        <x:f>IF(B81="","",MID(B81,6,2))</x:f>
      </x:c>
      <x:c r="F81" s="8" t="inlineStr">
        <x:is>
          <x:t xml:space="preserve"/>
        </x:is>
      </x:c>
      <x:c r="G81" s="6" t="inlineStr">
        <x:is>
          <x:t xml:space="preserve"/>
        </x:is>
      </x:c>
      <x:c r="H81" s="7" t="inlineStr">
        <x:is>
          <x:t xml:space="preserve"/>
        </x:is>
      </x:c>
      <x:c r="I81" s="7" t="inlineStr">
        <x:is>
          <x:t xml:space="preserve"/>
        </x:is>
      </x:c>
      <x:c r="J81" s="7" t="inlineStr">
        <x:is>
          <x:t xml:space="preserve"/>
        </x:is>
      </x:c>
      <x:c r="K81" s="6" t="inlineStr">
        <x:is>
          <x:t xml:space="preserve"/>
        </x:is>
      </x:c>
      <x:c r="L81" s="7" t="inlineStr">
        <x:is>
          <x:t xml:space="preserve"/>
        </x:is>
      </x:c>
      <x:c r="M81" s="6" t="inlineStr">
        <x:is>
          <x:t xml:space="preserve"/>
        </x:is>
      </x:c>
      <x:c r="N81" s="6" t="inlineStr">
        <x:is>
          <x:t xml:space="preserve"/>
        </x:is>
      </x:c>
    </x:row>
    <x:row r="82">
      <x:c r="A82" s="7">
        <x:f>IF(B82="","", "T-"&amp;TEXT(ROW()-1,"00000"))</x:f>
      </x:c>
      <x:c r="B82" s="7" t="inlineStr">
        <x:is>
          <x:t xml:space="preserve"/>
        </x:is>
      </x:c>
      <x:c r="C82" s="7" t="inlineStr">
        <x:is>
          <x:t xml:space="preserve"/>
        </x:is>
      </x:c>
      <x:c r="D82" s="7">
        <x:f>IF(B82="","",VALUE(MID(B82,2,4)))</x:f>
      </x:c>
      <x:c r="E82" s="7">
        <x:f>IF(B82="","",MID(B82,6,2))</x:f>
      </x:c>
      <x:c r="F82" s="8" t="inlineStr">
        <x:is>
          <x:t xml:space="preserve"/>
        </x:is>
      </x:c>
      <x:c r="G82" s="6" t="inlineStr">
        <x:is>
          <x:t xml:space="preserve"/>
        </x:is>
      </x:c>
      <x:c r="H82" s="7" t="inlineStr">
        <x:is>
          <x:t xml:space="preserve"/>
        </x:is>
      </x:c>
      <x:c r="I82" s="7" t="inlineStr">
        <x:is>
          <x:t xml:space="preserve"/>
        </x:is>
      </x:c>
      <x:c r="J82" s="7" t="inlineStr">
        <x:is>
          <x:t xml:space="preserve"/>
        </x:is>
      </x:c>
      <x:c r="K82" s="6" t="inlineStr">
        <x:is>
          <x:t xml:space="preserve"/>
        </x:is>
      </x:c>
      <x:c r="L82" s="7" t="inlineStr">
        <x:is>
          <x:t xml:space="preserve"/>
        </x:is>
      </x:c>
      <x:c r="M82" s="6" t="inlineStr">
        <x:is>
          <x:t xml:space="preserve"/>
        </x:is>
      </x:c>
      <x:c r="N82" s="6" t="inlineStr">
        <x:is>
          <x:t xml:space="preserve"/>
        </x:is>
      </x:c>
    </x:row>
    <x:row r="83">
      <x:c r="A83" s="7">
        <x:f>IF(B83="","", "T-"&amp;TEXT(ROW()-1,"00000"))</x:f>
      </x:c>
      <x:c r="B83" s="7" t="inlineStr">
        <x:is>
          <x:t xml:space="preserve"/>
        </x:is>
      </x:c>
      <x:c r="C83" s="7" t="inlineStr">
        <x:is>
          <x:t xml:space="preserve"/>
        </x:is>
      </x:c>
      <x:c r="D83" s="7">
        <x:f>IF(B83="","",VALUE(MID(B83,2,4)))</x:f>
      </x:c>
      <x:c r="E83" s="7">
        <x:f>IF(B83="","",MID(B83,6,2))</x:f>
      </x:c>
      <x:c r="F83" s="8" t="inlineStr">
        <x:is>
          <x:t xml:space="preserve"/>
        </x:is>
      </x:c>
      <x:c r="G83" s="6" t="inlineStr">
        <x:is>
          <x:t xml:space="preserve"/>
        </x:is>
      </x:c>
      <x:c r="H83" s="7" t="inlineStr">
        <x:is>
          <x:t xml:space="preserve"/>
        </x:is>
      </x:c>
      <x:c r="I83" s="7" t="inlineStr">
        <x:is>
          <x:t xml:space="preserve"/>
        </x:is>
      </x:c>
      <x:c r="J83" s="7" t="inlineStr">
        <x:is>
          <x:t xml:space="preserve"/>
        </x:is>
      </x:c>
      <x:c r="K83" s="6" t="inlineStr">
        <x:is>
          <x:t xml:space="preserve"/>
        </x:is>
      </x:c>
      <x:c r="L83" s="7" t="inlineStr">
        <x:is>
          <x:t xml:space="preserve"/>
        </x:is>
      </x:c>
      <x:c r="M83" s="6" t="inlineStr">
        <x:is>
          <x:t xml:space="preserve"/>
        </x:is>
      </x:c>
      <x:c r="N83" s="6" t="inlineStr">
        <x:is>
          <x:t xml:space="preserve"/>
        </x:is>
      </x:c>
    </x:row>
    <x:row r="84">
      <x:c r="A84" s="7">
        <x:f>IF(B84="","", "T-"&amp;TEXT(ROW()-1,"00000"))</x:f>
      </x:c>
      <x:c r="B84" s="7" t="inlineStr">
        <x:is>
          <x:t xml:space="preserve"/>
        </x:is>
      </x:c>
      <x:c r="C84" s="7" t="inlineStr">
        <x:is>
          <x:t xml:space="preserve"/>
        </x:is>
      </x:c>
      <x:c r="D84" s="7">
        <x:f>IF(B84="","",VALUE(MID(B84,2,4)))</x:f>
      </x:c>
      <x:c r="E84" s="7">
        <x:f>IF(B84="","",MID(B84,6,2))</x:f>
      </x:c>
      <x:c r="F84" s="8" t="inlineStr">
        <x:is>
          <x:t xml:space="preserve"/>
        </x:is>
      </x:c>
      <x:c r="G84" s="6" t="inlineStr">
        <x:is>
          <x:t xml:space="preserve"/>
        </x:is>
      </x:c>
      <x:c r="H84" s="7" t="inlineStr">
        <x:is>
          <x:t xml:space="preserve"/>
        </x:is>
      </x:c>
      <x:c r="I84" s="7" t="inlineStr">
        <x:is>
          <x:t xml:space="preserve"/>
        </x:is>
      </x:c>
      <x:c r="J84" s="7" t="inlineStr">
        <x:is>
          <x:t xml:space="preserve"/>
        </x:is>
      </x:c>
      <x:c r="K84" s="6" t="inlineStr">
        <x:is>
          <x:t xml:space="preserve"/>
        </x:is>
      </x:c>
      <x:c r="L84" s="7" t="inlineStr">
        <x:is>
          <x:t xml:space="preserve"/>
        </x:is>
      </x:c>
      <x:c r="M84" s="6" t="inlineStr">
        <x:is>
          <x:t xml:space="preserve"/>
        </x:is>
      </x:c>
      <x:c r="N84" s="6" t="inlineStr">
        <x:is>
          <x:t xml:space="preserve"/>
        </x:is>
      </x:c>
    </x:row>
    <x:row r="85">
      <x:c r="A85" s="7">
        <x:f>IF(B85="","", "T-"&amp;TEXT(ROW()-1,"00000"))</x:f>
      </x:c>
      <x:c r="B85" s="7" t="inlineStr">
        <x:is>
          <x:t xml:space="preserve"/>
        </x:is>
      </x:c>
      <x:c r="C85" s="7" t="inlineStr">
        <x:is>
          <x:t xml:space="preserve"/>
        </x:is>
      </x:c>
      <x:c r="D85" s="7">
        <x:f>IF(B85="","",VALUE(MID(B85,2,4)))</x:f>
      </x:c>
      <x:c r="E85" s="7">
        <x:f>IF(B85="","",MID(B85,6,2))</x:f>
      </x:c>
      <x:c r="F85" s="8" t="inlineStr">
        <x:is>
          <x:t xml:space="preserve"/>
        </x:is>
      </x:c>
      <x:c r="G85" s="6" t="inlineStr">
        <x:is>
          <x:t xml:space="preserve"/>
        </x:is>
      </x:c>
      <x:c r="H85" s="7" t="inlineStr">
        <x:is>
          <x:t xml:space="preserve"/>
        </x:is>
      </x:c>
      <x:c r="I85" s="7" t="inlineStr">
        <x:is>
          <x:t xml:space="preserve"/>
        </x:is>
      </x:c>
      <x:c r="J85" s="7" t="inlineStr">
        <x:is>
          <x:t xml:space="preserve"/>
        </x:is>
      </x:c>
      <x:c r="K85" s="6" t="inlineStr">
        <x:is>
          <x:t xml:space="preserve"/>
        </x:is>
      </x:c>
      <x:c r="L85" s="7" t="inlineStr">
        <x:is>
          <x:t xml:space="preserve"/>
        </x:is>
      </x:c>
      <x:c r="M85" s="6" t="inlineStr">
        <x:is>
          <x:t xml:space="preserve"/>
        </x:is>
      </x:c>
      <x:c r="N85" s="6" t="inlineStr">
        <x:is>
          <x:t xml:space="preserve"/>
        </x:is>
      </x:c>
    </x:row>
    <x:row r="86">
      <x:c r="A86" s="7">
        <x:f>IF(B86="","", "T-"&amp;TEXT(ROW()-1,"00000"))</x:f>
      </x:c>
      <x:c r="B86" s="7" t="inlineStr">
        <x:is>
          <x:t xml:space="preserve"/>
        </x:is>
      </x:c>
      <x:c r="C86" s="7" t="inlineStr">
        <x:is>
          <x:t xml:space="preserve"/>
        </x:is>
      </x:c>
      <x:c r="D86" s="7">
        <x:f>IF(B86="","",VALUE(MID(B86,2,4)))</x:f>
      </x:c>
      <x:c r="E86" s="7">
        <x:f>IF(B86="","",MID(B86,6,2))</x:f>
      </x:c>
      <x:c r="F86" s="8" t="inlineStr">
        <x:is>
          <x:t xml:space="preserve"/>
        </x:is>
      </x:c>
      <x:c r="G86" s="6" t="inlineStr">
        <x:is>
          <x:t xml:space="preserve"/>
        </x:is>
      </x:c>
      <x:c r="H86" s="7" t="inlineStr">
        <x:is>
          <x:t xml:space="preserve"/>
        </x:is>
      </x:c>
      <x:c r="I86" s="7" t="inlineStr">
        <x:is>
          <x:t xml:space="preserve"/>
        </x:is>
      </x:c>
      <x:c r="J86" s="7" t="inlineStr">
        <x:is>
          <x:t xml:space="preserve"/>
        </x:is>
      </x:c>
      <x:c r="K86" s="6" t="inlineStr">
        <x:is>
          <x:t xml:space="preserve"/>
        </x:is>
      </x:c>
      <x:c r="L86" s="7" t="inlineStr">
        <x:is>
          <x:t xml:space="preserve"/>
        </x:is>
      </x:c>
      <x:c r="M86" s="6" t="inlineStr">
        <x:is>
          <x:t xml:space="preserve"/>
        </x:is>
      </x:c>
      <x:c r="N86" s="6" t="inlineStr">
        <x:is>
          <x:t xml:space="preserve"/>
        </x:is>
      </x:c>
    </x:row>
    <x:row r="87">
      <x:c r="A87" s="7">
        <x:f>IF(B87="","", "T-"&amp;TEXT(ROW()-1,"00000"))</x:f>
      </x:c>
      <x:c r="B87" s="7" t="inlineStr">
        <x:is>
          <x:t xml:space="preserve"/>
        </x:is>
      </x:c>
      <x:c r="C87" s="7" t="inlineStr">
        <x:is>
          <x:t xml:space="preserve"/>
        </x:is>
      </x:c>
      <x:c r="D87" s="7">
        <x:f>IF(B87="","",VALUE(MID(B87,2,4)))</x:f>
      </x:c>
      <x:c r="E87" s="7">
        <x:f>IF(B87="","",MID(B87,6,2))</x:f>
      </x:c>
      <x:c r="F87" s="8" t="inlineStr">
        <x:is>
          <x:t xml:space="preserve"/>
        </x:is>
      </x:c>
      <x:c r="G87" s="6" t="inlineStr">
        <x:is>
          <x:t xml:space="preserve"/>
        </x:is>
      </x:c>
      <x:c r="H87" s="7" t="inlineStr">
        <x:is>
          <x:t xml:space="preserve"/>
        </x:is>
      </x:c>
      <x:c r="I87" s="7" t="inlineStr">
        <x:is>
          <x:t xml:space="preserve"/>
        </x:is>
      </x:c>
      <x:c r="J87" s="7" t="inlineStr">
        <x:is>
          <x:t xml:space="preserve"/>
        </x:is>
      </x:c>
      <x:c r="K87" s="6" t="inlineStr">
        <x:is>
          <x:t xml:space="preserve"/>
        </x:is>
      </x:c>
      <x:c r="L87" s="7" t="inlineStr">
        <x:is>
          <x:t xml:space="preserve"/>
        </x:is>
      </x:c>
      <x:c r="M87" s="6" t="inlineStr">
        <x:is>
          <x:t xml:space="preserve"/>
        </x:is>
      </x:c>
      <x:c r="N87" s="6" t="inlineStr">
        <x:is>
          <x:t xml:space="preserve"/>
        </x:is>
      </x:c>
    </x:row>
    <x:row r="88">
      <x:c r="A88" s="7">
        <x:f>IF(B88="","", "T-"&amp;TEXT(ROW()-1,"00000"))</x:f>
      </x:c>
      <x:c r="B88" s="7" t="inlineStr">
        <x:is>
          <x:t xml:space="preserve"/>
        </x:is>
      </x:c>
      <x:c r="C88" s="7" t="inlineStr">
        <x:is>
          <x:t xml:space="preserve"/>
        </x:is>
      </x:c>
      <x:c r="D88" s="7">
        <x:f>IF(B88="","",VALUE(MID(B88,2,4)))</x:f>
      </x:c>
      <x:c r="E88" s="7">
        <x:f>IF(B88="","",MID(B88,6,2))</x:f>
      </x:c>
      <x:c r="F88" s="8" t="inlineStr">
        <x:is>
          <x:t xml:space="preserve"/>
        </x:is>
      </x:c>
      <x:c r="G88" s="6" t="inlineStr">
        <x:is>
          <x:t xml:space="preserve"/>
        </x:is>
      </x:c>
      <x:c r="H88" s="7" t="inlineStr">
        <x:is>
          <x:t xml:space="preserve"/>
        </x:is>
      </x:c>
      <x:c r="I88" s="7" t="inlineStr">
        <x:is>
          <x:t xml:space="preserve"/>
        </x:is>
      </x:c>
      <x:c r="J88" s="7" t="inlineStr">
        <x:is>
          <x:t xml:space="preserve"/>
        </x:is>
      </x:c>
      <x:c r="K88" s="6" t="inlineStr">
        <x:is>
          <x:t xml:space="preserve"/>
        </x:is>
      </x:c>
      <x:c r="L88" s="7" t="inlineStr">
        <x:is>
          <x:t xml:space="preserve"/>
        </x:is>
      </x:c>
      <x:c r="M88" s="6" t="inlineStr">
        <x:is>
          <x:t xml:space="preserve"/>
        </x:is>
      </x:c>
      <x:c r="N88" s="6" t="inlineStr">
        <x:is>
          <x:t xml:space="preserve"/>
        </x:is>
      </x:c>
    </x:row>
    <x:row r="89">
      <x:c r="A89" s="7">
        <x:f>IF(B89="","", "T-"&amp;TEXT(ROW()-1,"00000"))</x:f>
      </x:c>
      <x:c r="B89" s="7" t="inlineStr">
        <x:is>
          <x:t xml:space="preserve"/>
        </x:is>
      </x:c>
      <x:c r="C89" s="7" t="inlineStr">
        <x:is>
          <x:t xml:space="preserve"/>
        </x:is>
      </x:c>
      <x:c r="D89" s="7">
        <x:f>IF(B89="","",VALUE(MID(B89,2,4)))</x:f>
      </x:c>
      <x:c r="E89" s="7">
        <x:f>IF(B89="","",MID(B89,6,2))</x:f>
      </x:c>
      <x:c r="F89" s="8" t="inlineStr">
        <x:is>
          <x:t xml:space="preserve"/>
        </x:is>
      </x:c>
      <x:c r="G89" s="6" t="inlineStr">
        <x:is>
          <x:t xml:space="preserve"/>
        </x:is>
      </x:c>
      <x:c r="H89" s="7" t="inlineStr">
        <x:is>
          <x:t xml:space="preserve"/>
        </x:is>
      </x:c>
      <x:c r="I89" s="7" t="inlineStr">
        <x:is>
          <x:t xml:space="preserve"/>
        </x:is>
      </x:c>
      <x:c r="J89" s="7" t="inlineStr">
        <x:is>
          <x:t xml:space="preserve"/>
        </x:is>
      </x:c>
      <x:c r="K89" s="6" t="inlineStr">
        <x:is>
          <x:t xml:space="preserve"/>
        </x:is>
      </x:c>
      <x:c r="L89" s="7" t="inlineStr">
        <x:is>
          <x:t xml:space="preserve"/>
        </x:is>
      </x:c>
      <x:c r="M89" s="6" t="inlineStr">
        <x:is>
          <x:t xml:space="preserve"/>
        </x:is>
      </x:c>
      <x:c r="N89" s="6" t="inlineStr">
        <x:is>
          <x:t xml:space="preserve"/>
        </x:is>
      </x:c>
    </x:row>
    <x:row r="90">
      <x:c r="A90" s="7">
        <x:f>IF(B90="","", "T-"&amp;TEXT(ROW()-1,"00000"))</x:f>
      </x:c>
      <x:c r="B90" s="7" t="inlineStr">
        <x:is>
          <x:t xml:space="preserve"/>
        </x:is>
      </x:c>
      <x:c r="C90" s="7" t="inlineStr">
        <x:is>
          <x:t xml:space="preserve"/>
        </x:is>
      </x:c>
      <x:c r="D90" s="7">
        <x:f>IF(B90="","",VALUE(MID(B90,2,4)))</x:f>
      </x:c>
      <x:c r="E90" s="7">
        <x:f>IF(B90="","",MID(B90,6,2))</x:f>
      </x:c>
      <x:c r="F90" s="8" t="inlineStr">
        <x:is>
          <x:t xml:space="preserve"/>
        </x:is>
      </x:c>
      <x:c r="G90" s="6" t="inlineStr">
        <x:is>
          <x:t xml:space="preserve"/>
        </x:is>
      </x:c>
      <x:c r="H90" s="7" t="inlineStr">
        <x:is>
          <x:t xml:space="preserve"/>
        </x:is>
      </x:c>
      <x:c r="I90" s="7" t="inlineStr">
        <x:is>
          <x:t xml:space="preserve"/>
        </x:is>
      </x:c>
      <x:c r="J90" s="7" t="inlineStr">
        <x:is>
          <x:t xml:space="preserve"/>
        </x:is>
      </x:c>
      <x:c r="K90" s="6" t="inlineStr">
        <x:is>
          <x:t xml:space="preserve"/>
        </x:is>
      </x:c>
      <x:c r="L90" s="7" t="inlineStr">
        <x:is>
          <x:t xml:space="preserve"/>
        </x:is>
      </x:c>
      <x:c r="M90" s="6" t="inlineStr">
        <x:is>
          <x:t xml:space="preserve"/>
        </x:is>
      </x:c>
      <x:c r="N90" s="6" t="inlineStr">
        <x:is>
          <x:t xml:space="preserve"/>
        </x:is>
      </x:c>
    </x:row>
    <x:row r="91">
      <x:c r="A91" s="7">
        <x:f>IF(B91="","", "T-"&amp;TEXT(ROW()-1,"00000"))</x:f>
      </x:c>
      <x:c r="B91" s="7" t="inlineStr">
        <x:is>
          <x:t xml:space="preserve"/>
        </x:is>
      </x:c>
      <x:c r="C91" s="7" t="inlineStr">
        <x:is>
          <x:t xml:space="preserve"/>
        </x:is>
      </x:c>
      <x:c r="D91" s="7">
        <x:f>IF(B91="","",VALUE(MID(B91,2,4)))</x:f>
      </x:c>
      <x:c r="E91" s="7">
        <x:f>IF(B91="","",MID(B91,6,2))</x:f>
      </x:c>
      <x:c r="F91" s="8" t="inlineStr">
        <x:is>
          <x:t xml:space="preserve"/>
        </x:is>
      </x:c>
      <x:c r="G91" s="6" t="inlineStr">
        <x:is>
          <x:t xml:space="preserve"/>
        </x:is>
      </x:c>
      <x:c r="H91" s="7" t="inlineStr">
        <x:is>
          <x:t xml:space="preserve"/>
        </x:is>
      </x:c>
      <x:c r="I91" s="7" t="inlineStr">
        <x:is>
          <x:t xml:space="preserve"/>
        </x:is>
      </x:c>
      <x:c r="J91" s="7" t="inlineStr">
        <x:is>
          <x:t xml:space="preserve"/>
        </x:is>
      </x:c>
      <x:c r="K91" s="6" t="inlineStr">
        <x:is>
          <x:t xml:space="preserve"/>
        </x:is>
      </x:c>
      <x:c r="L91" s="7" t="inlineStr">
        <x:is>
          <x:t xml:space="preserve"/>
        </x:is>
      </x:c>
      <x:c r="M91" s="6" t="inlineStr">
        <x:is>
          <x:t xml:space="preserve"/>
        </x:is>
      </x:c>
      <x:c r="N91" s="6" t="inlineStr">
        <x:is>
          <x:t xml:space="preserve"/>
        </x:is>
      </x:c>
    </x:row>
    <x:row r="92">
      <x:c r="A92" s="7">
        <x:f>IF(B92="","", "T-"&amp;TEXT(ROW()-1,"00000"))</x:f>
      </x:c>
      <x:c r="B92" s="7" t="inlineStr">
        <x:is>
          <x:t xml:space="preserve"/>
        </x:is>
      </x:c>
      <x:c r="C92" s="7" t="inlineStr">
        <x:is>
          <x:t xml:space="preserve"/>
        </x:is>
      </x:c>
      <x:c r="D92" s="7">
        <x:f>IF(B92="","",VALUE(MID(B92,2,4)))</x:f>
      </x:c>
      <x:c r="E92" s="7">
        <x:f>IF(B92="","",MID(B92,6,2))</x:f>
      </x:c>
      <x:c r="F92" s="8" t="inlineStr">
        <x:is>
          <x:t xml:space="preserve"/>
        </x:is>
      </x:c>
      <x:c r="G92" s="6" t="inlineStr">
        <x:is>
          <x:t xml:space="preserve"/>
        </x:is>
      </x:c>
      <x:c r="H92" s="7" t="inlineStr">
        <x:is>
          <x:t xml:space="preserve"/>
        </x:is>
      </x:c>
      <x:c r="I92" s="7" t="inlineStr">
        <x:is>
          <x:t xml:space="preserve"/>
        </x:is>
      </x:c>
      <x:c r="J92" s="7" t="inlineStr">
        <x:is>
          <x:t xml:space="preserve"/>
        </x:is>
      </x:c>
      <x:c r="K92" s="6" t="inlineStr">
        <x:is>
          <x:t xml:space="preserve"/>
        </x:is>
      </x:c>
      <x:c r="L92" s="7" t="inlineStr">
        <x:is>
          <x:t xml:space="preserve"/>
        </x:is>
      </x:c>
      <x:c r="M92" s="6" t="inlineStr">
        <x:is>
          <x:t xml:space="preserve"/>
        </x:is>
      </x:c>
      <x:c r="N92" s="6" t="inlineStr">
        <x:is>
          <x:t xml:space="preserve"/>
        </x:is>
      </x:c>
    </x:row>
    <x:row r="93">
      <x:c r="A93" s="7">
        <x:f>IF(B93="","", "T-"&amp;TEXT(ROW()-1,"00000"))</x:f>
      </x:c>
      <x:c r="B93" s="7" t="inlineStr">
        <x:is>
          <x:t xml:space="preserve"/>
        </x:is>
      </x:c>
      <x:c r="C93" s="7" t="inlineStr">
        <x:is>
          <x:t xml:space="preserve"/>
        </x:is>
      </x:c>
      <x:c r="D93" s="7">
        <x:f>IF(B93="","",VALUE(MID(B93,2,4)))</x:f>
      </x:c>
      <x:c r="E93" s="7">
        <x:f>IF(B93="","",MID(B93,6,2))</x:f>
      </x:c>
      <x:c r="F93" s="8" t="inlineStr">
        <x:is>
          <x:t xml:space="preserve"/>
        </x:is>
      </x:c>
      <x:c r="G93" s="6" t="inlineStr">
        <x:is>
          <x:t xml:space="preserve"/>
        </x:is>
      </x:c>
      <x:c r="H93" s="7" t="inlineStr">
        <x:is>
          <x:t xml:space="preserve"/>
        </x:is>
      </x:c>
      <x:c r="I93" s="7" t="inlineStr">
        <x:is>
          <x:t xml:space="preserve"/>
        </x:is>
      </x:c>
      <x:c r="J93" s="7" t="inlineStr">
        <x:is>
          <x:t xml:space="preserve"/>
        </x:is>
      </x:c>
      <x:c r="K93" s="6" t="inlineStr">
        <x:is>
          <x:t xml:space="preserve"/>
        </x:is>
      </x:c>
      <x:c r="L93" s="7" t="inlineStr">
        <x:is>
          <x:t xml:space="preserve"/>
        </x:is>
      </x:c>
      <x:c r="M93" s="6" t="inlineStr">
        <x:is>
          <x:t xml:space="preserve"/>
        </x:is>
      </x:c>
      <x:c r="N93" s="6" t="inlineStr">
        <x:is>
          <x:t xml:space="preserve"/>
        </x:is>
      </x:c>
    </x:row>
    <x:row r="94">
      <x:c r="A94" s="7">
        <x:f>IF(B94="","", "T-"&amp;TEXT(ROW()-1,"00000"))</x:f>
      </x:c>
      <x:c r="B94" s="7" t="inlineStr">
        <x:is>
          <x:t xml:space="preserve"/>
        </x:is>
      </x:c>
      <x:c r="C94" s="7" t="inlineStr">
        <x:is>
          <x:t xml:space="preserve"/>
        </x:is>
      </x:c>
      <x:c r="D94" s="7">
        <x:f>IF(B94="","",VALUE(MID(B94,2,4)))</x:f>
      </x:c>
      <x:c r="E94" s="7">
        <x:f>IF(B94="","",MID(B94,6,2))</x:f>
      </x:c>
      <x:c r="F94" s="8" t="inlineStr">
        <x:is>
          <x:t xml:space="preserve"/>
        </x:is>
      </x:c>
      <x:c r="G94" s="6" t="inlineStr">
        <x:is>
          <x:t xml:space="preserve"/>
        </x:is>
      </x:c>
      <x:c r="H94" s="7" t="inlineStr">
        <x:is>
          <x:t xml:space="preserve"/>
        </x:is>
      </x:c>
      <x:c r="I94" s="7" t="inlineStr">
        <x:is>
          <x:t xml:space="preserve"/>
        </x:is>
      </x:c>
      <x:c r="J94" s="7" t="inlineStr">
        <x:is>
          <x:t xml:space="preserve"/>
        </x:is>
      </x:c>
      <x:c r="K94" s="6" t="inlineStr">
        <x:is>
          <x:t xml:space="preserve"/>
        </x:is>
      </x:c>
      <x:c r="L94" s="7" t="inlineStr">
        <x:is>
          <x:t xml:space="preserve"/>
        </x:is>
      </x:c>
      <x:c r="M94" s="6" t="inlineStr">
        <x:is>
          <x:t xml:space="preserve"/>
        </x:is>
      </x:c>
      <x:c r="N94" s="6" t="inlineStr">
        <x:is>
          <x:t xml:space="preserve"/>
        </x:is>
      </x:c>
    </x:row>
    <x:row r="95">
      <x:c r="A95" s="7">
        <x:f>IF(B95="","", "T-"&amp;TEXT(ROW()-1,"00000"))</x:f>
      </x:c>
      <x:c r="B95" s="7" t="inlineStr">
        <x:is>
          <x:t xml:space="preserve"/>
        </x:is>
      </x:c>
      <x:c r="C95" s="7" t="inlineStr">
        <x:is>
          <x:t xml:space="preserve"/>
        </x:is>
      </x:c>
      <x:c r="D95" s="7">
        <x:f>IF(B95="","",VALUE(MID(B95,2,4)))</x:f>
      </x:c>
      <x:c r="E95" s="7">
        <x:f>IF(B95="","",MID(B95,6,2))</x:f>
      </x:c>
      <x:c r="F95" s="8" t="inlineStr">
        <x:is>
          <x:t xml:space="preserve"/>
        </x:is>
      </x:c>
      <x:c r="G95" s="6" t="inlineStr">
        <x:is>
          <x:t xml:space="preserve"/>
        </x:is>
      </x:c>
      <x:c r="H95" s="7" t="inlineStr">
        <x:is>
          <x:t xml:space="preserve"/>
        </x:is>
      </x:c>
      <x:c r="I95" s="7" t="inlineStr">
        <x:is>
          <x:t xml:space="preserve"/>
        </x:is>
      </x:c>
      <x:c r="J95" s="7" t="inlineStr">
        <x:is>
          <x:t xml:space="preserve"/>
        </x:is>
      </x:c>
      <x:c r="K95" s="6" t="inlineStr">
        <x:is>
          <x:t xml:space="preserve"/>
        </x:is>
      </x:c>
      <x:c r="L95" s="7" t="inlineStr">
        <x:is>
          <x:t xml:space="preserve"/>
        </x:is>
      </x:c>
      <x:c r="M95" s="6" t="inlineStr">
        <x:is>
          <x:t xml:space="preserve"/>
        </x:is>
      </x:c>
      <x:c r="N95" s="6" t="inlineStr">
        <x:is>
          <x:t xml:space="preserve"/>
        </x:is>
      </x:c>
    </x:row>
    <x:row r="96">
      <x:c r="A96" s="7">
        <x:f>IF(B96="","", "T-"&amp;TEXT(ROW()-1,"00000"))</x:f>
      </x:c>
      <x:c r="B96" s="7" t="inlineStr">
        <x:is>
          <x:t xml:space="preserve"/>
        </x:is>
      </x:c>
      <x:c r="C96" s="7" t="inlineStr">
        <x:is>
          <x:t xml:space="preserve"/>
        </x:is>
      </x:c>
      <x:c r="D96" s="7">
        <x:f>IF(B96="","",VALUE(MID(B96,2,4)))</x:f>
      </x:c>
      <x:c r="E96" s="7">
        <x:f>IF(B96="","",MID(B96,6,2))</x:f>
      </x:c>
      <x:c r="F96" s="8" t="inlineStr">
        <x:is>
          <x:t xml:space="preserve"/>
        </x:is>
      </x:c>
      <x:c r="G96" s="6" t="inlineStr">
        <x:is>
          <x:t xml:space="preserve"/>
        </x:is>
      </x:c>
      <x:c r="H96" s="7" t="inlineStr">
        <x:is>
          <x:t xml:space="preserve"/>
        </x:is>
      </x:c>
      <x:c r="I96" s="7" t="inlineStr">
        <x:is>
          <x:t xml:space="preserve"/>
        </x:is>
      </x:c>
      <x:c r="J96" s="7" t="inlineStr">
        <x:is>
          <x:t xml:space="preserve"/>
        </x:is>
      </x:c>
      <x:c r="K96" s="6" t="inlineStr">
        <x:is>
          <x:t xml:space="preserve"/>
        </x:is>
      </x:c>
      <x:c r="L96" s="7" t="inlineStr">
        <x:is>
          <x:t xml:space="preserve"/>
        </x:is>
      </x:c>
      <x:c r="M96" s="6" t="inlineStr">
        <x:is>
          <x:t xml:space="preserve"/>
        </x:is>
      </x:c>
      <x:c r="N96" s="6" t="inlineStr">
        <x:is>
          <x:t xml:space="preserve"/>
        </x:is>
      </x:c>
    </x:row>
    <x:row r="97">
      <x:c r="A97" s="7">
        <x:f>IF(B97="","", "T-"&amp;TEXT(ROW()-1,"00000"))</x:f>
      </x:c>
      <x:c r="B97" s="7" t="inlineStr">
        <x:is>
          <x:t xml:space="preserve"/>
        </x:is>
      </x:c>
      <x:c r="C97" s="7" t="inlineStr">
        <x:is>
          <x:t xml:space="preserve"/>
        </x:is>
      </x:c>
      <x:c r="D97" s="7">
        <x:f>IF(B97="","",VALUE(MID(B97,2,4)))</x:f>
      </x:c>
      <x:c r="E97" s="7">
        <x:f>IF(B97="","",MID(B97,6,2))</x:f>
      </x:c>
      <x:c r="F97" s="8" t="inlineStr">
        <x:is>
          <x:t xml:space="preserve"/>
        </x:is>
      </x:c>
      <x:c r="G97" s="6" t="inlineStr">
        <x:is>
          <x:t xml:space="preserve"/>
        </x:is>
      </x:c>
      <x:c r="H97" s="7" t="inlineStr">
        <x:is>
          <x:t xml:space="preserve"/>
        </x:is>
      </x:c>
      <x:c r="I97" s="7" t="inlineStr">
        <x:is>
          <x:t xml:space="preserve"/>
        </x:is>
      </x:c>
      <x:c r="J97" s="7" t="inlineStr">
        <x:is>
          <x:t xml:space="preserve"/>
        </x:is>
      </x:c>
      <x:c r="K97" s="6" t="inlineStr">
        <x:is>
          <x:t xml:space="preserve"/>
        </x:is>
      </x:c>
      <x:c r="L97" s="7" t="inlineStr">
        <x:is>
          <x:t xml:space="preserve"/>
        </x:is>
      </x:c>
      <x:c r="M97" s="6" t="inlineStr">
        <x:is>
          <x:t xml:space="preserve"/>
        </x:is>
      </x:c>
      <x:c r="N97" s="6" t="inlineStr">
        <x:is>
          <x:t xml:space="preserve"/>
        </x:is>
      </x:c>
    </x:row>
    <x:row r="98">
      <x:c r="A98" s="7">
        <x:f>IF(B98="","", "T-"&amp;TEXT(ROW()-1,"00000"))</x:f>
      </x:c>
      <x:c r="B98" s="7" t="inlineStr">
        <x:is>
          <x:t xml:space="preserve"/>
        </x:is>
      </x:c>
      <x:c r="C98" s="7" t="inlineStr">
        <x:is>
          <x:t xml:space="preserve"/>
        </x:is>
      </x:c>
      <x:c r="D98" s="7">
        <x:f>IF(B98="","",VALUE(MID(B98,2,4)))</x:f>
      </x:c>
      <x:c r="E98" s="7">
        <x:f>IF(B98="","",MID(B98,6,2))</x:f>
      </x:c>
      <x:c r="F98" s="8" t="inlineStr">
        <x:is>
          <x:t xml:space="preserve"/>
        </x:is>
      </x:c>
      <x:c r="G98" s="6" t="inlineStr">
        <x:is>
          <x:t xml:space="preserve"/>
        </x:is>
      </x:c>
      <x:c r="H98" s="7" t="inlineStr">
        <x:is>
          <x:t xml:space="preserve"/>
        </x:is>
      </x:c>
      <x:c r="I98" s="7" t="inlineStr">
        <x:is>
          <x:t xml:space="preserve"/>
        </x:is>
      </x:c>
      <x:c r="J98" s="7" t="inlineStr">
        <x:is>
          <x:t xml:space="preserve"/>
        </x:is>
      </x:c>
      <x:c r="K98" s="6" t="inlineStr">
        <x:is>
          <x:t xml:space="preserve"/>
        </x:is>
      </x:c>
      <x:c r="L98" s="7" t="inlineStr">
        <x:is>
          <x:t xml:space="preserve"/>
        </x:is>
      </x:c>
      <x:c r="M98" s="6" t="inlineStr">
        <x:is>
          <x:t xml:space="preserve"/>
        </x:is>
      </x:c>
      <x:c r="N98" s="6" t="inlineStr">
        <x:is>
          <x:t xml:space="preserve"/>
        </x:is>
      </x:c>
    </x:row>
    <x:row r="99">
      <x:c r="A99" s="7">
        <x:f>IF(B99="","", "T-"&amp;TEXT(ROW()-1,"00000"))</x:f>
      </x:c>
      <x:c r="B99" s="7" t="inlineStr">
        <x:is>
          <x:t xml:space="preserve"/>
        </x:is>
      </x:c>
      <x:c r="C99" s="7" t="inlineStr">
        <x:is>
          <x:t xml:space="preserve"/>
        </x:is>
      </x:c>
      <x:c r="D99" s="7">
        <x:f>IF(B99="","",VALUE(MID(B99,2,4)))</x:f>
      </x:c>
      <x:c r="E99" s="7">
        <x:f>IF(B99="","",MID(B99,6,2))</x:f>
      </x:c>
      <x:c r="F99" s="8" t="inlineStr">
        <x:is>
          <x:t xml:space="preserve"/>
        </x:is>
      </x:c>
      <x:c r="G99" s="6" t="inlineStr">
        <x:is>
          <x:t xml:space="preserve"/>
        </x:is>
      </x:c>
      <x:c r="H99" s="7" t="inlineStr">
        <x:is>
          <x:t xml:space="preserve"/>
        </x:is>
      </x:c>
      <x:c r="I99" s="7" t="inlineStr">
        <x:is>
          <x:t xml:space="preserve"/>
        </x:is>
      </x:c>
      <x:c r="J99" s="7" t="inlineStr">
        <x:is>
          <x:t xml:space="preserve"/>
        </x:is>
      </x:c>
      <x:c r="K99" s="6" t="inlineStr">
        <x:is>
          <x:t xml:space="preserve"/>
        </x:is>
      </x:c>
      <x:c r="L99" s="7" t="inlineStr">
        <x:is>
          <x:t xml:space="preserve"/>
        </x:is>
      </x:c>
      <x:c r="M99" s="6" t="inlineStr">
        <x:is>
          <x:t xml:space="preserve"/>
        </x:is>
      </x:c>
      <x:c r="N99" s="6" t="inlineStr">
        <x:is>
          <x:t xml:space="preserve"/>
        </x:is>
      </x:c>
    </x:row>
    <x:row r="100">
      <x:c r="A100" s="7">
        <x:f>IF(B100="","", "T-"&amp;TEXT(ROW()-1,"00000"))</x:f>
      </x:c>
      <x:c r="B100" s="7" t="inlineStr">
        <x:is>
          <x:t xml:space="preserve"/>
        </x:is>
      </x:c>
      <x:c r="C100" s="7" t="inlineStr">
        <x:is>
          <x:t xml:space="preserve"/>
        </x:is>
      </x:c>
      <x:c r="D100" s="7">
        <x:f>IF(B100="","",VALUE(MID(B100,2,4)))</x:f>
      </x:c>
      <x:c r="E100" s="7">
        <x:f>IF(B100="","",MID(B100,6,2))</x:f>
      </x:c>
      <x:c r="F100" s="8" t="inlineStr">
        <x:is>
          <x:t xml:space="preserve"/>
        </x:is>
      </x:c>
      <x:c r="G100" s="6" t="inlineStr">
        <x:is>
          <x:t xml:space="preserve"/>
        </x:is>
      </x:c>
      <x:c r="H100" s="7" t="inlineStr">
        <x:is>
          <x:t xml:space="preserve"/>
        </x:is>
      </x:c>
      <x:c r="I100" s="7" t="inlineStr">
        <x:is>
          <x:t xml:space="preserve"/>
        </x:is>
      </x:c>
      <x:c r="J100" s="7" t="inlineStr">
        <x:is>
          <x:t xml:space="preserve"/>
        </x:is>
      </x:c>
      <x:c r="K100" s="6" t="inlineStr">
        <x:is>
          <x:t xml:space="preserve"/>
        </x:is>
      </x:c>
      <x:c r="L100" s="7" t="inlineStr">
        <x:is>
          <x:t xml:space="preserve"/>
        </x:is>
      </x:c>
      <x:c r="M100" s="6" t="inlineStr">
        <x:is>
          <x:t xml:space="preserve"/>
        </x:is>
      </x:c>
      <x:c r="N100" s="6" t="inlineStr">
        <x:is>
          <x:t xml:space="preserve"/>
        </x:is>
      </x:c>
    </x:row>
    <x:row r="101">
      <x:c r="A101" s="7">
        <x:f>IF(B101="","", "T-"&amp;TEXT(ROW()-1,"00000"))</x:f>
      </x:c>
      <x:c r="B101" s="7" t="inlineStr">
        <x:is>
          <x:t xml:space="preserve"/>
        </x:is>
      </x:c>
      <x:c r="C101" s="7" t="inlineStr">
        <x:is>
          <x:t xml:space="preserve"/>
        </x:is>
      </x:c>
      <x:c r="D101" s="7">
        <x:f>IF(B101="","",VALUE(MID(B101,2,4)))</x:f>
      </x:c>
      <x:c r="E101" s="7">
        <x:f>IF(B101="","",MID(B101,6,2))</x:f>
      </x:c>
      <x:c r="F101" s="8" t="inlineStr">
        <x:is>
          <x:t xml:space="preserve"/>
        </x:is>
      </x:c>
      <x:c r="G101" s="6" t="inlineStr">
        <x:is>
          <x:t xml:space="preserve"/>
        </x:is>
      </x:c>
      <x:c r="H101" s="7" t="inlineStr">
        <x:is>
          <x:t xml:space="preserve"/>
        </x:is>
      </x:c>
      <x:c r="I101" s="7" t="inlineStr">
        <x:is>
          <x:t xml:space="preserve"/>
        </x:is>
      </x:c>
      <x:c r="J101" s="7" t="inlineStr">
        <x:is>
          <x:t xml:space="preserve"/>
        </x:is>
      </x:c>
      <x:c r="K101" s="6" t="inlineStr">
        <x:is>
          <x:t xml:space="preserve"/>
        </x:is>
      </x:c>
      <x:c r="L101" s="7" t="inlineStr">
        <x:is>
          <x:t xml:space="preserve"/>
        </x:is>
      </x:c>
      <x:c r="M101" s="6" t="inlineStr">
        <x:is>
          <x:t xml:space="preserve"/>
        </x:is>
      </x:c>
      <x:c r="N101" s="6" t="inlineStr">
        <x:is>
          <x:t xml:space="preserve"/>
        </x:is>
      </x:c>
    </x:row>
    <x:row r="102">
      <x:c r="A102" s="7">
        <x:f>IF(B102="","", "T-"&amp;TEXT(ROW()-1,"00000"))</x:f>
      </x:c>
      <x:c r="B102" s="7" t="inlineStr">
        <x:is>
          <x:t xml:space="preserve"/>
        </x:is>
      </x:c>
      <x:c r="C102" s="7" t="inlineStr">
        <x:is>
          <x:t xml:space="preserve"/>
        </x:is>
      </x:c>
      <x:c r="D102" s="7">
        <x:f>IF(B102="","",VALUE(MID(B102,2,4)))</x:f>
      </x:c>
      <x:c r="E102" s="7">
        <x:f>IF(B102="","",MID(B102,6,2))</x:f>
      </x:c>
      <x:c r="F102" s="8" t="inlineStr">
        <x:is>
          <x:t xml:space="preserve"/>
        </x:is>
      </x:c>
      <x:c r="G102" s="6" t="inlineStr">
        <x:is>
          <x:t xml:space="preserve"/>
        </x:is>
      </x:c>
      <x:c r="H102" s="7" t="inlineStr">
        <x:is>
          <x:t xml:space="preserve"/>
        </x:is>
      </x:c>
      <x:c r="I102" s="7" t="inlineStr">
        <x:is>
          <x:t xml:space="preserve"/>
        </x:is>
      </x:c>
      <x:c r="J102" s="7" t="inlineStr">
        <x:is>
          <x:t xml:space="preserve"/>
        </x:is>
      </x:c>
      <x:c r="K102" s="6" t="inlineStr">
        <x:is>
          <x:t xml:space="preserve"/>
        </x:is>
      </x:c>
      <x:c r="L102" s="7" t="inlineStr">
        <x:is>
          <x:t xml:space="preserve"/>
        </x:is>
      </x:c>
      <x:c r="M102" s="6" t="inlineStr">
        <x:is>
          <x:t xml:space="preserve"/>
        </x:is>
      </x:c>
      <x:c r="N102" s="6" t="inlineStr">
        <x:is>
          <x:t xml:space="preserve"/>
        </x:is>
      </x:c>
    </x:row>
    <x:row r="103">
      <x:c r="A103" s="7">
        <x:f>IF(B103="","", "T-"&amp;TEXT(ROW()-1,"00000"))</x:f>
      </x:c>
      <x:c r="B103" s="7" t="inlineStr">
        <x:is>
          <x:t xml:space="preserve"/>
        </x:is>
      </x:c>
      <x:c r="C103" s="7" t="inlineStr">
        <x:is>
          <x:t xml:space="preserve"/>
        </x:is>
      </x:c>
      <x:c r="D103" s="7">
        <x:f>IF(B103="","",VALUE(MID(B103,2,4)))</x:f>
      </x:c>
      <x:c r="E103" s="7">
        <x:f>IF(B103="","",MID(B103,6,2))</x:f>
      </x:c>
      <x:c r="F103" s="8" t="inlineStr">
        <x:is>
          <x:t xml:space="preserve"/>
        </x:is>
      </x:c>
      <x:c r="G103" s="6" t="inlineStr">
        <x:is>
          <x:t xml:space="preserve"/>
        </x:is>
      </x:c>
      <x:c r="H103" s="7" t="inlineStr">
        <x:is>
          <x:t xml:space="preserve"/>
        </x:is>
      </x:c>
      <x:c r="I103" s="7" t="inlineStr">
        <x:is>
          <x:t xml:space="preserve"/>
        </x:is>
      </x:c>
      <x:c r="J103" s="7" t="inlineStr">
        <x:is>
          <x:t xml:space="preserve"/>
        </x:is>
      </x:c>
      <x:c r="K103" s="6" t="inlineStr">
        <x:is>
          <x:t xml:space="preserve"/>
        </x:is>
      </x:c>
      <x:c r="L103" s="7" t="inlineStr">
        <x:is>
          <x:t xml:space="preserve"/>
        </x:is>
      </x:c>
      <x:c r="M103" s="6" t="inlineStr">
        <x:is>
          <x:t xml:space="preserve"/>
        </x:is>
      </x:c>
      <x:c r="N103" s="6" t="inlineStr">
        <x:is>
          <x:t xml:space="preserve"/>
        </x:is>
      </x:c>
    </x:row>
    <x:row r="104">
      <x:c r="A104" s="7">
        <x:f>IF(B104="","", "T-"&amp;TEXT(ROW()-1,"00000"))</x:f>
      </x:c>
      <x:c r="B104" s="7" t="inlineStr">
        <x:is>
          <x:t xml:space="preserve"/>
        </x:is>
      </x:c>
      <x:c r="C104" s="7" t="inlineStr">
        <x:is>
          <x:t xml:space="preserve"/>
        </x:is>
      </x:c>
      <x:c r="D104" s="7">
        <x:f>IF(B104="","",VALUE(MID(B104,2,4)))</x:f>
      </x:c>
      <x:c r="E104" s="7">
        <x:f>IF(B104="","",MID(B104,6,2))</x:f>
      </x:c>
      <x:c r="F104" s="8" t="inlineStr">
        <x:is>
          <x:t xml:space="preserve"/>
        </x:is>
      </x:c>
      <x:c r="G104" s="6" t="inlineStr">
        <x:is>
          <x:t xml:space="preserve"/>
        </x:is>
      </x:c>
      <x:c r="H104" s="7" t="inlineStr">
        <x:is>
          <x:t xml:space="preserve"/>
        </x:is>
      </x:c>
      <x:c r="I104" s="7" t="inlineStr">
        <x:is>
          <x:t xml:space="preserve"/>
        </x:is>
      </x:c>
      <x:c r="J104" s="7" t="inlineStr">
        <x:is>
          <x:t xml:space="preserve"/>
        </x:is>
      </x:c>
      <x:c r="K104" s="6" t="inlineStr">
        <x:is>
          <x:t xml:space="preserve"/>
        </x:is>
      </x:c>
      <x:c r="L104" s="7" t="inlineStr">
        <x:is>
          <x:t xml:space="preserve"/>
        </x:is>
      </x:c>
      <x:c r="M104" s="6" t="inlineStr">
        <x:is>
          <x:t xml:space="preserve"/>
        </x:is>
      </x:c>
      <x:c r="N104" s="6" t="inlineStr">
        <x:is>
          <x:t xml:space="preserve"/>
        </x:is>
      </x:c>
    </x:row>
    <x:row r="105">
      <x:c r="A105" s="7">
        <x:f>IF(B105="","", "T-"&amp;TEXT(ROW()-1,"00000"))</x:f>
      </x:c>
      <x:c r="B105" s="7" t="inlineStr">
        <x:is>
          <x:t xml:space="preserve"/>
        </x:is>
      </x:c>
      <x:c r="C105" s="7" t="inlineStr">
        <x:is>
          <x:t xml:space="preserve"/>
        </x:is>
      </x:c>
      <x:c r="D105" s="7">
        <x:f>IF(B105="","",VALUE(MID(B105,2,4)))</x:f>
      </x:c>
      <x:c r="E105" s="7">
        <x:f>IF(B105="","",MID(B105,6,2))</x:f>
      </x:c>
      <x:c r="F105" s="8" t="inlineStr">
        <x:is>
          <x:t xml:space="preserve"/>
        </x:is>
      </x:c>
      <x:c r="G105" s="6" t="inlineStr">
        <x:is>
          <x:t xml:space="preserve"/>
        </x:is>
      </x:c>
      <x:c r="H105" s="7" t="inlineStr">
        <x:is>
          <x:t xml:space="preserve"/>
        </x:is>
      </x:c>
      <x:c r="I105" s="7" t="inlineStr">
        <x:is>
          <x:t xml:space="preserve"/>
        </x:is>
      </x:c>
      <x:c r="J105" s="7" t="inlineStr">
        <x:is>
          <x:t xml:space="preserve"/>
        </x:is>
      </x:c>
      <x:c r="K105" s="6" t="inlineStr">
        <x:is>
          <x:t xml:space="preserve"/>
        </x:is>
      </x:c>
      <x:c r="L105" s="7" t="inlineStr">
        <x:is>
          <x:t xml:space="preserve"/>
        </x:is>
      </x:c>
      <x:c r="M105" s="6" t="inlineStr">
        <x:is>
          <x:t xml:space="preserve"/>
        </x:is>
      </x:c>
      <x:c r="N105" s="6" t="inlineStr">
        <x:is>
          <x:t xml:space="preserve"/>
        </x:is>
      </x:c>
    </x:row>
    <x:row r="106">
      <x:c r="A106" s="7">
        <x:f>IF(B106="","", "T-"&amp;TEXT(ROW()-1,"00000"))</x:f>
      </x:c>
      <x:c r="B106" s="7" t="inlineStr">
        <x:is>
          <x:t xml:space="preserve"/>
        </x:is>
      </x:c>
      <x:c r="C106" s="7" t="inlineStr">
        <x:is>
          <x:t xml:space="preserve"/>
        </x:is>
      </x:c>
      <x:c r="D106" s="7">
        <x:f>IF(B106="","",VALUE(MID(B106,2,4)))</x:f>
      </x:c>
      <x:c r="E106" s="7">
        <x:f>IF(B106="","",MID(B106,6,2))</x:f>
      </x:c>
      <x:c r="F106" s="8" t="inlineStr">
        <x:is>
          <x:t xml:space="preserve"/>
        </x:is>
      </x:c>
      <x:c r="G106" s="6" t="inlineStr">
        <x:is>
          <x:t xml:space="preserve"/>
        </x:is>
      </x:c>
      <x:c r="H106" s="7" t="inlineStr">
        <x:is>
          <x:t xml:space="preserve"/>
        </x:is>
      </x:c>
      <x:c r="I106" s="7" t="inlineStr">
        <x:is>
          <x:t xml:space="preserve"/>
        </x:is>
      </x:c>
      <x:c r="J106" s="7" t="inlineStr">
        <x:is>
          <x:t xml:space="preserve"/>
        </x:is>
      </x:c>
      <x:c r="K106" s="6" t="inlineStr">
        <x:is>
          <x:t xml:space="preserve"/>
        </x:is>
      </x:c>
      <x:c r="L106" s="7" t="inlineStr">
        <x:is>
          <x:t xml:space="preserve"/>
        </x:is>
      </x:c>
      <x:c r="M106" s="6" t="inlineStr">
        <x:is>
          <x:t xml:space="preserve"/>
        </x:is>
      </x:c>
      <x:c r="N106" s="6" t="inlineStr">
        <x:is>
          <x:t xml:space="preserve"/>
        </x:is>
      </x:c>
    </x:row>
    <x:row r="107">
      <x:c r="A107" s="7">
        <x:f>IF(B107="","", "T-"&amp;TEXT(ROW()-1,"00000"))</x:f>
      </x:c>
      <x:c r="B107" s="7" t="inlineStr">
        <x:is>
          <x:t xml:space="preserve"/>
        </x:is>
      </x:c>
      <x:c r="C107" s="7" t="inlineStr">
        <x:is>
          <x:t xml:space="preserve"/>
        </x:is>
      </x:c>
      <x:c r="D107" s="7">
        <x:f>IF(B107="","",VALUE(MID(B107,2,4)))</x:f>
      </x:c>
      <x:c r="E107" s="7">
        <x:f>IF(B107="","",MID(B107,6,2))</x:f>
      </x:c>
      <x:c r="F107" s="8" t="inlineStr">
        <x:is>
          <x:t xml:space="preserve"/>
        </x:is>
      </x:c>
      <x:c r="G107" s="6" t="inlineStr">
        <x:is>
          <x:t xml:space="preserve"/>
        </x:is>
      </x:c>
      <x:c r="H107" s="7" t="inlineStr">
        <x:is>
          <x:t xml:space="preserve"/>
        </x:is>
      </x:c>
      <x:c r="I107" s="7" t="inlineStr">
        <x:is>
          <x:t xml:space="preserve"/>
        </x:is>
      </x:c>
      <x:c r="J107" s="7" t="inlineStr">
        <x:is>
          <x:t xml:space="preserve"/>
        </x:is>
      </x:c>
      <x:c r="K107" s="6" t="inlineStr">
        <x:is>
          <x:t xml:space="preserve"/>
        </x:is>
      </x:c>
      <x:c r="L107" s="7" t="inlineStr">
        <x:is>
          <x:t xml:space="preserve"/>
        </x:is>
      </x:c>
      <x:c r="M107" s="6" t="inlineStr">
        <x:is>
          <x:t xml:space="preserve"/>
        </x:is>
      </x:c>
      <x:c r="N107" s="6" t="inlineStr">
        <x:is>
          <x:t xml:space="preserve"/>
        </x:is>
      </x:c>
    </x:row>
    <x:row r="108">
      <x:c r="A108" s="7">
        <x:f>IF(B108="","", "T-"&amp;TEXT(ROW()-1,"00000"))</x:f>
      </x:c>
      <x:c r="B108" s="7" t="inlineStr">
        <x:is>
          <x:t xml:space="preserve"/>
        </x:is>
      </x:c>
      <x:c r="C108" s="7" t="inlineStr">
        <x:is>
          <x:t xml:space="preserve"/>
        </x:is>
      </x:c>
      <x:c r="D108" s="7">
        <x:f>IF(B108="","",VALUE(MID(B108,2,4)))</x:f>
      </x:c>
      <x:c r="E108" s="7">
        <x:f>IF(B108="","",MID(B108,6,2))</x:f>
      </x:c>
      <x:c r="F108" s="8" t="inlineStr">
        <x:is>
          <x:t xml:space="preserve"/>
        </x:is>
      </x:c>
      <x:c r="G108" s="6" t="inlineStr">
        <x:is>
          <x:t xml:space="preserve"/>
        </x:is>
      </x:c>
      <x:c r="H108" s="7" t="inlineStr">
        <x:is>
          <x:t xml:space="preserve"/>
        </x:is>
      </x:c>
      <x:c r="I108" s="7" t="inlineStr">
        <x:is>
          <x:t xml:space="preserve"/>
        </x:is>
      </x:c>
      <x:c r="J108" s="7" t="inlineStr">
        <x:is>
          <x:t xml:space="preserve"/>
        </x:is>
      </x:c>
      <x:c r="K108" s="6" t="inlineStr">
        <x:is>
          <x:t xml:space="preserve"/>
        </x:is>
      </x:c>
      <x:c r="L108" s="7" t="inlineStr">
        <x:is>
          <x:t xml:space="preserve"/>
        </x:is>
      </x:c>
      <x:c r="M108" s="6" t="inlineStr">
        <x:is>
          <x:t xml:space="preserve"/>
        </x:is>
      </x:c>
      <x:c r="N108" s="6" t="inlineStr">
        <x:is>
          <x:t xml:space="preserve"/>
        </x:is>
      </x:c>
    </x:row>
    <x:row r="109">
      <x:c r="A109" s="7">
        <x:f>IF(B109="","", "T-"&amp;TEXT(ROW()-1,"00000"))</x:f>
      </x:c>
      <x:c r="B109" s="7" t="inlineStr">
        <x:is>
          <x:t xml:space="preserve"/>
        </x:is>
      </x:c>
      <x:c r="C109" s="7" t="inlineStr">
        <x:is>
          <x:t xml:space="preserve"/>
        </x:is>
      </x:c>
      <x:c r="D109" s="7">
        <x:f>IF(B109="","",VALUE(MID(B109,2,4)))</x:f>
      </x:c>
      <x:c r="E109" s="7">
        <x:f>IF(B109="","",MID(B109,6,2))</x:f>
      </x:c>
      <x:c r="F109" s="8" t="inlineStr">
        <x:is>
          <x:t xml:space="preserve"/>
        </x:is>
      </x:c>
      <x:c r="G109" s="6" t="inlineStr">
        <x:is>
          <x:t xml:space="preserve"/>
        </x:is>
      </x:c>
      <x:c r="H109" s="7" t="inlineStr">
        <x:is>
          <x:t xml:space="preserve"/>
        </x:is>
      </x:c>
      <x:c r="I109" s="7" t="inlineStr">
        <x:is>
          <x:t xml:space="preserve"/>
        </x:is>
      </x:c>
      <x:c r="J109" s="7" t="inlineStr">
        <x:is>
          <x:t xml:space="preserve"/>
        </x:is>
      </x:c>
      <x:c r="K109" s="6" t="inlineStr">
        <x:is>
          <x:t xml:space="preserve"/>
        </x:is>
      </x:c>
      <x:c r="L109" s="7" t="inlineStr">
        <x:is>
          <x:t xml:space="preserve"/>
        </x:is>
      </x:c>
      <x:c r="M109" s="6" t="inlineStr">
        <x:is>
          <x:t xml:space="preserve"/>
        </x:is>
      </x:c>
      <x:c r="N109" s="6" t="inlineStr">
        <x:is>
          <x:t xml:space="preserve"/>
        </x:is>
      </x:c>
    </x:row>
    <x:row r="110">
      <x:c r="A110" s="7">
        <x:f>IF(B110="","", "T-"&amp;TEXT(ROW()-1,"00000"))</x:f>
      </x:c>
      <x:c r="B110" s="7" t="inlineStr">
        <x:is>
          <x:t xml:space="preserve"/>
        </x:is>
      </x:c>
      <x:c r="C110" s="7" t="inlineStr">
        <x:is>
          <x:t xml:space="preserve"/>
        </x:is>
      </x:c>
      <x:c r="D110" s="7">
        <x:f>IF(B110="","",VALUE(MID(B110,2,4)))</x:f>
      </x:c>
      <x:c r="E110" s="7">
        <x:f>IF(B110="","",MID(B110,6,2))</x:f>
      </x:c>
      <x:c r="F110" s="8" t="inlineStr">
        <x:is>
          <x:t xml:space="preserve"/>
        </x:is>
      </x:c>
      <x:c r="G110" s="6" t="inlineStr">
        <x:is>
          <x:t xml:space="preserve"/>
        </x:is>
      </x:c>
      <x:c r="H110" s="7" t="inlineStr">
        <x:is>
          <x:t xml:space="preserve"/>
        </x:is>
      </x:c>
      <x:c r="I110" s="7" t="inlineStr">
        <x:is>
          <x:t xml:space="preserve"/>
        </x:is>
      </x:c>
      <x:c r="J110" s="7" t="inlineStr">
        <x:is>
          <x:t xml:space="preserve"/>
        </x:is>
      </x:c>
      <x:c r="K110" s="6" t="inlineStr">
        <x:is>
          <x:t xml:space="preserve"/>
        </x:is>
      </x:c>
      <x:c r="L110" s="7" t="inlineStr">
        <x:is>
          <x:t xml:space="preserve"/>
        </x:is>
      </x:c>
      <x:c r="M110" s="6" t="inlineStr">
        <x:is>
          <x:t xml:space="preserve"/>
        </x:is>
      </x:c>
      <x:c r="N110" s="6" t="inlineStr">
        <x:is>
          <x:t xml:space="preserve"/>
        </x:is>
      </x:c>
    </x:row>
    <x:row r="111">
      <x:c r="A111" s="7">
        <x:f>IF(B111="","", "T-"&amp;TEXT(ROW()-1,"00000"))</x:f>
      </x:c>
      <x:c r="B111" s="7" t="inlineStr">
        <x:is>
          <x:t xml:space="preserve"/>
        </x:is>
      </x:c>
      <x:c r="C111" s="7" t="inlineStr">
        <x:is>
          <x:t xml:space="preserve"/>
        </x:is>
      </x:c>
      <x:c r="D111" s="7">
        <x:f>IF(B111="","",VALUE(MID(B111,2,4)))</x:f>
      </x:c>
      <x:c r="E111" s="7">
        <x:f>IF(B111="","",MID(B111,6,2))</x:f>
      </x:c>
      <x:c r="F111" s="8" t="inlineStr">
        <x:is>
          <x:t xml:space="preserve"/>
        </x:is>
      </x:c>
      <x:c r="G111" s="6" t="inlineStr">
        <x:is>
          <x:t xml:space="preserve"/>
        </x:is>
      </x:c>
      <x:c r="H111" s="7" t="inlineStr">
        <x:is>
          <x:t xml:space="preserve"/>
        </x:is>
      </x:c>
      <x:c r="I111" s="7" t="inlineStr">
        <x:is>
          <x:t xml:space="preserve"/>
        </x:is>
      </x:c>
      <x:c r="J111" s="7" t="inlineStr">
        <x:is>
          <x:t xml:space="preserve"/>
        </x:is>
      </x:c>
      <x:c r="K111" s="6" t="inlineStr">
        <x:is>
          <x:t xml:space="preserve"/>
        </x:is>
      </x:c>
      <x:c r="L111" s="7" t="inlineStr">
        <x:is>
          <x:t xml:space="preserve"/>
        </x:is>
      </x:c>
      <x:c r="M111" s="6" t="inlineStr">
        <x:is>
          <x:t xml:space="preserve"/>
        </x:is>
      </x:c>
      <x:c r="N111" s="6" t="inlineStr">
        <x:is>
          <x:t xml:space="preserve"/>
        </x:is>
      </x:c>
    </x:row>
    <x:row r="112">
      <x:c r="A112" s="7">
        <x:f>IF(B112="","", "T-"&amp;TEXT(ROW()-1,"00000"))</x:f>
      </x:c>
      <x:c r="B112" s="7" t="inlineStr">
        <x:is>
          <x:t xml:space="preserve"/>
        </x:is>
      </x:c>
      <x:c r="C112" s="7" t="inlineStr">
        <x:is>
          <x:t xml:space="preserve"/>
        </x:is>
      </x:c>
      <x:c r="D112" s="7">
        <x:f>IF(B112="","",VALUE(MID(B112,2,4)))</x:f>
      </x:c>
      <x:c r="E112" s="7">
        <x:f>IF(B112="","",MID(B112,6,2))</x:f>
      </x:c>
      <x:c r="F112" s="8" t="inlineStr">
        <x:is>
          <x:t xml:space="preserve"/>
        </x:is>
      </x:c>
      <x:c r="G112" s="6" t="inlineStr">
        <x:is>
          <x:t xml:space="preserve"/>
        </x:is>
      </x:c>
      <x:c r="H112" s="7" t="inlineStr">
        <x:is>
          <x:t xml:space="preserve"/>
        </x:is>
      </x:c>
      <x:c r="I112" s="7" t="inlineStr">
        <x:is>
          <x:t xml:space="preserve"/>
        </x:is>
      </x:c>
      <x:c r="J112" s="7" t="inlineStr">
        <x:is>
          <x:t xml:space="preserve"/>
        </x:is>
      </x:c>
      <x:c r="K112" s="6" t="inlineStr">
        <x:is>
          <x:t xml:space="preserve"/>
        </x:is>
      </x:c>
      <x:c r="L112" s="7" t="inlineStr">
        <x:is>
          <x:t xml:space="preserve"/>
        </x:is>
      </x:c>
      <x:c r="M112" s="6" t="inlineStr">
        <x:is>
          <x:t xml:space="preserve"/>
        </x:is>
      </x:c>
      <x:c r="N112" s="6" t="inlineStr">
        <x:is>
          <x:t xml:space="preserve"/>
        </x:is>
      </x:c>
    </x:row>
    <x:row r="113">
      <x:c r="A113" s="7">
        <x:f>IF(B113="","", "T-"&amp;TEXT(ROW()-1,"00000"))</x:f>
      </x:c>
      <x:c r="B113" s="7" t="inlineStr">
        <x:is>
          <x:t xml:space="preserve"/>
        </x:is>
      </x:c>
      <x:c r="C113" s="7" t="inlineStr">
        <x:is>
          <x:t xml:space="preserve"/>
        </x:is>
      </x:c>
      <x:c r="D113" s="7">
        <x:f>IF(B113="","",VALUE(MID(B113,2,4)))</x:f>
      </x:c>
      <x:c r="E113" s="7">
        <x:f>IF(B113="","",MID(B113,6,2))</x:f>
      </x:c>
      <x:c r="F113" s="8" t="inlineStr">
        <x:is>
          <x:t xml:space="preserve"/>
        </x:is>
      </x:c>
      <x:c r="G113" s="6" t="inlineStr">
        <x:is>
          <x:t xml:space="preserve"/>
        </x:is>
      </x:c>
      <x:c r="H113" s="7" t="inlineStr">
        <x:is>
          <x:t xml:space="preserve"/>
        </x:is>
      </x:c>
      <x:c r="I113" s="7" t="inlineStr">
        <x:is>
          <x:t xml:space="preserve"/>
        </x:is>
      </x:c>
      <x:c r="J113" s="7" t="inlineStr">
        <x:is>
          <x:t xml:space="preserve"/>
        </x:is>
      </x:c>
      <x:c r="K113" s="6" t="inlineStr">
        <x:is>
          <x:t xml:space="preserve"/>
        </x:is>
      </x:c>
      <x:c r="L113" s="7" t="inlineStr">
        <x:is>
          <x:t xml:space="preserve"/>
        </x:is>
      </x:c>
      <x:c r="M113" s="6" t="inlineStr">
        <x:is>
          <x:t xml:space="preserve"/>
        </x:is>
      </x:c>
      <x:c r="N113" s="6" t="inlineStr">
        <x:is>
          <x:t xml:space="preserve"/>
        </x:is>
      </x:c>
    </x:row>
    <x:row r="114">
      <x:c r="A114" s="7">
        <x:f>IF(B114="","", "T-"&amp;TEXT(ROW()-1,"00000"))</x:f>
      </x:c>
      <x:c r="B114" s="7" t="inlineStr">
        <x:is>
          <x:t xml:space="preserve"/>
        </x:is>
      </x:c>
      <x:c r="C114" s="7" t="inlineStr">
        <x:is>
          <x:t xml:space="preserve"/>
        </x:is>
      </x:c>
      <x:c r="D114" s="7">
        <x:f>IF(B114="","",VALUE(MID(B114,2,4)))</x:f>
      </x:c>
      <x:c r="E114" s="7">
        <x:f>IF(B114="","",MID(B114,6,2))</x:f>
      </x:c>
      <x:c r="F114" s="8" t="inlineStr">
        <x:is>
          <x:t xml:space="preserve"/>
        </x:is>
      </x:c>
      <x:c r="G114" s="6" t="inlineStr">
        <x:is>
          <x:t xml:space="preserve"/>
        </x:is>
      </x:c>
      <x:c r="H114" s="7" t="inlineStr">
        <x:is>
          <x:t xml:space="preserve"/>
        </x:is>
      </x:c>
      <x:c r="I114" s="7" t="inlineStr">
        <x:is>
          <x:t xml:space="preserve"/>
        </x:is>
      </x:c>
      <x:c r="J114" s="7" t="inlineStr">
        <x:is>
          <x:t xml:space="preserve"/>
        </x:is>
      </x:c>
      <x:c r="K114" s="6" t="inlineStr">
        <x:is>
          <x:t xml:space="preserve"/>
        </x:is>
      </x:c>
      <x:c r="L114" s="7" t="inlineStr">
        <x:is>
          <x:t xml:space="preserve"/>
        </x:is>
      </x:c>
      <x:c r="M114" s="6" t="inlineStr">
        <x:is>
          <x:t xml:space="preserve"/>
        </x:is>
      </x:c>
      <x:c r="N114" s="6" t="inlineStr">
        <x:is>
          <x:t xml:space="preserve"/>
        </x:is>
      </x:c>
    </x:row>
    <x:row r="115">
      <x:c r="A115" s="7">
        <x:f>IF(B115="","", "T-"&amp;TEXT(ROW()-1,"00000"))</x:f>
      </x:c>
      <x:c r="B115" s="7" t="inlineStr">
        <x:is>
          <x:t xml:space="preserve"/>
        </x:is>
      </x:c>
      <x:c r="C115" s="7" t="inlineStr">
        <x:is>
          <x:t xml:space="preserve"/>
        </x:is>
      </x:c>
      <x:c r="D115" s="7">
        <x:f>IF(B115="","",VALUE(MID(B115,2,4)))</x:f>
      </x:c>
      <x:c r="E115" s="7">
        <x:f>IF(B115="","",MID(B115,6,2))</x:f>
      </x:c>
      <x:c r="F115" s="8" t="inlineStr">
        <x:is>
          <x:t xml:space="preserve"/>
        </x:is>
      </x:c>
      <x:c r="G115" s="6" t="inlineStr">
        <x:is>
          <x:t xml:space="preserve"/>
        </x:is>
      </x:c>
      <x:c r="H115" s="7" t="inlineStr">
        <x:is>
          <x:t xml:space="preserve"/>
        </x:is>
      </x:c>
      <x:c r="I115" s="7" t="inlineStr">
        <x:is>
          <x:t xml:space="preserve"/>
        </x:is>
      </x:c>
      <x:c r="J115" s="7" t="inlineStr">
        <x:is>
          <x:t xml:space="preserve"/>
        </x:is>
      </x:c>
      <x:c r="K115" s="6" t="inlineStr">
        <x:is>
          <x:t xml:space="preserve"/>
        </x:is>
      </x:c>
      <x:c r="L115" s="7" t="inlineStr">
        <x:is>
          <x:t xml:space="preserve"/>
        </x:is>
      </x:c>
      <x:c r="M115" s="6" t="inlineStr">
        <x:is>
          <x:t xml:space="preserve"/>
        </x:is>
      </x:c>
      <x:c r="N115" s="6" t="inlineStr">
        <x:is>
          <x:t xml:space="preserve"/>
        </x:is>
      </x:c>
    </x:row>
    <x:row r="116">
      <x:c r="A116" s="7">
        <x:f>IF(B116="","", "T-"&amp;TEXT(ROW()-1,"00000"))</x:f>
      </x:c>
      <x:c r="B116" s="7" t="inlineStr">
        <x:is>
          <x:t xml:space="preserve"/>
        </x:is>
      </x:c>
      <x:c r="C116" s="7" t="inlineStr">
        <x:is>
          <x:t xml:space="preserve"/>
        </x:is>
      </x:c>
      <x:c r="D116" s="7">
        <x:f>IF(B116="","",VALUE(MID(B116,2,4)))</x:f>
      </x:c>
      <x:c r="E116" s="7">
        <x:f>IF(B116="","",MID(B116,6,2))</x:f>
      </x:c>
      <x:c r="F116" s="8" t="inlineStr">
        <x:is>
          <x:t xml:space="preserve"/>
        </x:is>
      </x:c>
      <x:c r="G116" s="6" t="inlineStr">
        <x:is>
          <x:t xml:space="preserve"/>
        </x:is>
      </x:c>
      <x:c r="H116" s="7" t="inlineStr">
        <x:is>
          <x:t xml:space="preserve"/>
        </x:is>
      </x:c>
      <x:c r="I116" s="7" t="inlineStr">
        <x:is>
          <x:t xml:space="preserve"/>
        </x:is>
      </x:c>
      <x:c r="J116" s="7" t="inlineStr">
        <x:is>
          <x:t xml:space="preserve"/>
        </x:is>
      </x:c>
      <x:c r="K116" s="6" t="inlineStr">
        <x:is>
          <x:t xml:space="preserve"/>
        </x:is>
      </x:c>
      <x:c r="L116" s="7" t="inlineStr">
        <x:is>
          <x:t xml:space="preserve"/>
        </x:is>
      </x:c>
      <x:c r="M116" s="6" t="inlineStr">
        <x:is>
          <x:t xml:space="preserve"/>
        </x:is>
      </x:c>
      <x:c r="N116" s="6" t="inlineStr">
        <x:is>
          <x:t xml:space="preserve"/>
        </x:is>
      </x:c>
    </x:row>
    <x:row r="117">
      <x:c r="A117" s="7">
        <x:f>IF(B117="","", "T-"&amp;TEXT(ROW()-1,"00000"))</x:f>
      </x:c>
      <x:c r="B117" s="7" t="inlineStr">
        <x:is>
          <x:t xml:space="preserve"/>
        </x:is>
      </x:c>
      <x:c r="C117" s="7" t="inlineStr">
        <x:is>
          <x:t xml:space="preserve"/>
        </x:is>
      </x:c>
      <x:c r="D117" s="7">
        <x:f>IF(B117="","",VALUE(MID(B117,2,4)))</x:f>
      </x:c>
      <x:c r="E117" s="7">
        <x:f>IF(B117="","",MID(B117,6,2))</x:f>
      </x:c>
      <x:c r="F117" s="8" t="inlineStr">
        <x:is>
          <x:t xml:space="preserve"/>
        </x:is>
      </x:c>
      <x:c r="G117" s="6" t="inlineStr">
        <x:is>
          <x:t xml:space="preserve"/>
        </x:is>
      </x:c>
      <x:c r="H117" s="7" t="inlineStr">
        <x:is>
          <x:t xml:space="preserve"/>
        </x:is>
      </x:c>
      <x:c r="I117" s="7" t="inlineStr">
        <x:is>
          <x:t xml:space="preserve"/>
        </x:is>
      </x:c>
      <x:c r="J117" s="7" t="inlineStr">
        <x:is>
          <x:t xml:space="preserve"/>
        </x:is>
      </x:c>
      <x:c r="K117" s="6" t="inlineStr">
        <x:is>
          <x:t xml:space="preserve"/>
        </x:is>
      </x:c>
      <x:c r="L117" s="7" t="inlineStr">
        <x:is>
          <x:t xml:space="preserve"/>
        </x:is>
      </x:c>
      <x:c r="M117" s="6" t="inlineStr">
        <x:is>
          <x:t xml:space="preserve"/>
        </x:is>
      </x:c>
      <x:c r="N117" s="6" t="inlineStr">
        <x:is>
          <x:t xml:space="preserve"/>
        </x:is>
      </x:c>
    </x:row>
    <x:row r="118">
      <x:c r="A118" s="7">
        <x:f>IF(B118="","", "T-"&amp;TEXT(ROW()-1,"00000"))</x:f>
      </x:c>
      <x:c r="B118" s="7" t="inlineStr">
        <x:is>
          <x:t xml:space="preserve"/>
        </x:is>
      </x:c>
      <x:c r="C118" s="7" t="inlineStr">
        <x:is>
          <x:t xml:space="preserve"/>
        </x:is>
      </x:c>
      <x:c r="D118" s="7">
        <x:f>IF(B118="","",VALUE(MID(B118,2,4)))</x:f>
      </x:c>
      <x:c r="E118" s="7">
        <x:f>IF(B118="","",MID(B118,6,2))</x:f>
      </x:c>
      <x:c r="F118" s="8" t="inlineStr">
        <x:is>
          <x:t xml:space="preserve"/>
        </x:is>
      </x:c>
      <x:c r="G118" s="6" t="inlineStr">
        <x:is>
          <x:t xml:space="preserve"/>
        </x:is>
      </x:c>
      <x:c r="H118" s="7" t="inlineStr">
        <x:is>
          <x:t xml:space="preserve"/>
        </x:is>
      </x:c>
      <x:c r="I118" s="7" t="inlineStr">
        <x:is>
          <x:t xml:space="preserve"/>
        </x:is>
      </x:c>
      <x:c r="J118" s="7" t="inlineStr">
        <x:is>
          <x:t xml:space="preserve"/>
        </x:is>
      </x:c>
      <x:c r="K118" s="6" t="inlineStr">
        <x:is>
          <x:t xml:space="preserve"/>
        </x:is>
      </x:c>
      <x:c r="L118" s="7" t="inlineStr">
        <x:is>
          <x:t xml:space="preserve"/>
        </x:is>
      </x:c>
      <x:c r="M118" s="6" t="inlineStr">
        <x:is>
          <x:t xml:space="preserve"/>
        </x:is>
      </x:c>
      <x:c r="N118" s="6" t="inlineStr">
        <x:is>
          <x:t xml:space="preserve"/>
        </x:is>
      </x:c>
    </x:row>
    <x:row r="119">
      <x:c r="A119" s="7">
        <x:f>IF(B119="","", "T-"&amp;TEXT(ROW()-1,"00000"))</x:f>
      </x:c>
      <x:c r="B119" s="7" t="inlineStr">
        <x:is>
          <x:t xml:space="preserve"/>
        </x:is>
      </x:c>
      <x:c r="C119" s="7" t="inlineStr">
        <x:is>
          <x:t xml:space="preserve"/>
        </x:is>
      </x:c>
      <x:c r="D119" s="7">
        <x:f>IF(B119="","",VALUE(MID(B119,2,4)))</x:f>
      </x:c>
      <x:c r="E119" s="7">
        <x:f>IF(B119="","",MID(B119,6,2))</x:f>
      </x:c>
      <x:c r="F119" s="8" t="inlineStr">
        <x:is>
          <x:t xml:space="preserve"/>
        </x:is>
      </x:c>
      <x:c r="G119" s="6" t="inlineStr">
        <x:is>
          <x:t xml:space="preserve"/>
        </x:is>
      </x:c>
      <x:c r="H119" s="7" t="inlineStr">
        <x:is>
          <x:t xml:space="preserve"/>
        </x:is>
      </x:c>
      <x:c r="I119" s="7" t="inlineStr">
        <x:is>
          <x:t xml:space="preserve"/>
        </x:is>
      </x:c>
      <x:c r="J119" s="7" t="inlineStr">
        <x:is>
          <x:t xml:space="preserve"/>
        </x:is>
      </x:c>
      <x:c r="K119" s="6" t="inlineStr">
        <x:is>
          <x:t xml:space="preserve"/>
        </x:is>
      </x:c>
      <x:c r="L119" s="7" t="inlineStr">
        <x:is>
          <x:t xml:space="preserve"/>
        </x:is>
      </x:c>
      <x:c r="M119" s="6" t="inlineStr">
        <x:is>
          <x:t xml:space="preserve"/>
        </x:is>
      </x:c>
      <x:c r="N119" s="6" t="inlineStr">
        <x:is>
          <x:t xml:space="preserve"/>
        </x:is>
      </x:c>
    </x:row>
    <x:row r="120">
      <x:c r="A120" s="7">
        <x:f>IF(B120="","", "T-"&amp;TEXT(ROW()-1,"00000"))</x:f>
      </x:c>
      <x:c r="B120" s="7" t="inlineStr">
        <x:is>
          <x:t xml:space="preserve"/>
        </x:is>
      </x:c>
      <x:c r="C120" s="7" t="inlineStr">
        <x:is>
          <x:t xml:space="preserve"/>
        </x:is>
      </x:c>
      <x:c r="D120" s="7">
        <x:f>IF(B120="","",VALUE(MID(B120,2,4)))</x:f>
      </x:c>
      <x:c r="E120" s="7">
        <x:f>IF(B120="","",MID(B120,6,2))</x:f>
      </x:c>
      <x:c r="F120" s="8" t="inlineStr">
        <x:is>
          <x:t xml:space="preserve"/>
        </x:is>
      </x:c>
      <x:c r="G120" s="6" t="inlineStr">
        <x:is>
          <x:t xml:space="preserve"/>
        </x:is>
      </x:c>
      <x:c r="H120" s="7" t="inlineStr">
        <x:is>
          <x:t xml:space="preserve"/>
        </x:is>
      </x:c>
      <x:c r="I120" s="7" t="inlineStr">
        <x:is>
          <x:t xml:space="preserve"/>
        </x:is>
      </x:c>
      <x:c r="J120" s="7" t="inlineStr">
        <x:is>
          <x:t xml:space="preserve"/>
        </x:is>
      </x:c>
      <x:c r="K120" s="6" t="inlineStr">
        <x:is>
          <x:t xml:space="preserve"/>
        </x:is>
      </x:c>
      <x:c r="L120" s="7" t="inlineStr">
        <x:is>
          <x:t xml:space="preserve"/>
        </x:is>
      </x:c>
      <x:c r="M120" s="6" t="inlineStr">
        <x:is>
          <x:t xml:space="preserve"/>
        </x:is>
      </x:c>
      <x:c r="N120" s="6" t="inlineStr">
        <x:is>
          <x:t xml:space="preserve"/>
        </x:is>
      </x:c>
    </x:row>
    <x:row r="121">
      <x:c r="A121" s="7">
        <x:f>IF(B121="","", "T-"&amp;TEXT(ROW()-1,"00000"))</x:f>
      </x:c>
      <x:c r="B121" s="7" t="inlineStr">
        <x:is>
          <x:t xml:space="preserve"/>
        </x:is>
      </x:c>
      <x:c r="C121" s="7" t="inlineStr">
        <x:is>
          <x:t xml:space="preserve"/>
        </x:is>
      </x:c>
      <x:c r="D121" s="7">
        <x:f>IF(B121="","",VALUE(MID(B121,2,4)))</x:f>
      </x:c>
      <x:c r="E121" s="7">
        <x:f>IF(B121="","",MID(B121,6,2))</x:f>
      </x:c>
      <x:c r="F121" s="8" t="inlineStr">
        <x:is>
          <x:t xml:space="preserve"/>
        </x:is>
      </x:c>
      <x:c r="G121" s="6" t="inlineStr">
        <x:is>
          <x:t xml:space="preserve"/>
        </x:is>
      </x:c>
      <x:c r="H121" s="7" t="inlineStr">
        <x:is>
          <x:t xml:space="preserve"/>
        </x:is>
      </x:c>
      <x:c r="I121" s="7" t="inlineStr">
        <x:is>
          <x:t xml:space="preserve"/>
        </x:is>
      </x:c>
      <x:c r="J121" s="7" t="inlineStr">
        <x:is>
          <x:t xml:space="preserve"/>
        </x:is>
      </x:c>
      <x:c r="K121" s="6" t="inlineStr">
        <x:is>
          <x:t xml:space="preserve"/>
        </x:is>
      </x:c>
      <x:c r="L121" s="7" t="inlineStr">
        <x:is>
          <x:t xml:space="preserve"/>
        </x:is>
      </x:c>
      <x:c r="M121" s="6" t="inlineStr">
        <x:is>
          <x:t xml:space="preserve"/>
        </x:is>
      </x:c>
      <x:c r="N121" s="6" t="inlineStr">
        <x:is>
          <x:t xml:space="preserve"/>
        </x:is>
      </x:c>
    </x:row>
    <x:row r="122">
      <x:c r="A122" s="7">
        <x:f>IF(B122="","", "T-"&amp;TEXT(ROW()-1,"00000"))</x:f>
      </x:c>
      <x:c r="B122" s="7" t="inlineStr">
        <x:is>
          <x:t xml:space="preserve"/>
        </x:is>
      </x:c>
      <x:c r="C122" s="7" t="inlineStr">
        <x:is>
          <x:t xml:space="preserve"/>
        </x:is>
      </x:c>
      <x:c r="D122" s="7">
        <x:f>IF(B122="","",VALUE(MID(B122,2,4)))</x:f>
      </x:c>
      <x:c r="E122" s="7">
        <x:f>IF(B122="","",MID(B122,6,2))</x:f>
      </x:c>
      <x:c r="F122" s="8" t="inlineStr">
        <x:is>
          <x:t xml:space="preserve"/>
        </x:is>
      </x:c>
      <x:c r="G122" s="6" t="inlineStr">
        <x:is>
          <x:t xml:space="preserve"/>
        </x:is>
      </x:c>
      <x:c r="H122" s="7" t="inlineStr">
        <x:is>
          <x:t xml:space="preserve"/>
        </x:is>
      </x:c>
      <x:c r="I122" s="7" t="inlineStr">
        <x:is>
          <x:t xml:space="preserve"/>
        </x:is>
      </x:c>
      <x:c r="J122" s="7" t="inlineStr">
        <x:is>
          <x:t xml:space="preserve"/>
        </x:is>
      </x:c>
      <x:c r="K122" s="6" t="inlineStr">
        <x:is>
          <x:t xml:space="preserve"/>
        </x:is>
      </x:c>
      <x:c r="L122" s="7" t="inlineStr">
        <x:is>
          <x:t xml:space="preserve"/>
        </x:is>
      </x:c>
      <x:c r="M122" s="6" t="inlineStr">
        <x:is>
          <x:t xml:space="preserve"/>
        </x:is>
      </x:c>
      <x:c r="N122" s="6" t="inlineStr">
        <x:is>
          <x:t xml:space="preserve"/>
        </x:is>
      </x:c>
    </x:row>
    <x:row r="123">
      <x:c r="A123" s="7">
        <x:f>IF(B123="","", "T-"&amp;TEXT(ROW()-1,"00000"))</x:f>
      </x:c>
      <x:c r="B123" s="7" t="inlineStr">
        <x:is>
          <x:t xml:space="preserve"/>
        </x:is>
      </x:c>
      <x:c r="C123" s="7" t="inlineStr">
        <x:is>
          <x:t xml:space="preserve"/>
        </x:is>
      </x:c>
      <x:c r="D123" s="7">
        <x:f>IF(B123="","",VALUE(MID(B123,2,4)))</x:f>
      </x:c>
      <x:c r="E123" s="7">
        <x:f>IF(B123="","",MID(B123,6,2))</x:f>
      </x:c>
      <x:c r="F123" s="8" t="inlineStr">
        <x:is>
          <x:t xml:space="preserve"/>
        </x:is>
      </x:c>
      <x:c r="G123" s="6" t="inlineStr">
        <x:is>
          <x:t xml:space="preserve"/>
        </x:is>
      </x:c>
      <x:c r="H123" s="7" t="inlineStr">
        <x:is>
          <x:t xml:space="preserve"/>
        </x:is>
      </x:c>
      <x:c r="I123" s="7" t="inlineStr">
        <x:is>
          <x:t xml:space="preserve"/>
        </x:is>
      </x:c>
      <x:c r="J123" s="7" t="inlineStr">
        <x:is>
          <x:t xml:space="preserve"/>
        </x:is>
      </x:c>
      <x:c r="K123" s="6" t="inlineStr">
        <x:is>
          <x:t xml:space="preserve"/>
        </x:is>
      </x:c>
      <x:c r="L123" s="7" t="inlineStr">
        <x:is>
          <x:t xml:space="preserve"/>
        </x:is>
      </x:c>
      <x:c r="M123" s="6" t="inlineStr">
        <x:is>
          <x:t xml:space="preserve"/>
        </x:is>
      </x:c>
      <x:c r="N123" s="6" t="inlineStr">
        <x:is>
          <x:t xml:space="preserve"/>
        </x:is>
      </x:c>
    </x:row>
    <x:row r="124">
      <x:c r="A124" s="7">
        <x:f>IF(B124="","", "T-"&amp;TEXT(ROW()-1,"00000"))</x:f>
      </x:c>
      <x:c r="B124" s="7" t="inlineStr">
        <x:is>
          <x:t xml:space="preserve"/>
        </x:is>
      </x:c>
      <x:c r="C124" s="7" t="inlineStr">
        <x:is>
          <x:t xml:space="preserve"/>
        </x:is>
      </x:c>
      <x:c r="D124" s="7">
        <x:f>IF(B124="","",VALUE(MID(B124,2,4)))</x:f>
      </x:c>
      <x:c r="E124" s="7">
        <x:f>IF(B124="","",MID(B124,6,2))</x:f>
      </x:c>
      <x:c r="F124" s="8" t="inlineStr">
        <x:is>
          <x:t xml:space="preserve"/>
        </x:is>
      </x:c>
      <x:c r="G124" s="6" t="inlineStr">
        <x:is>
          <x:t xml:space="preserve"/>
        </x:is>
      </x:c>
      <x:c r="H124" s="7" t="inlineStr">
        <x:is>
          <x:t xml:space="preserve"/>
        </x:is>
      </x:c>
      <x:c r="I124" s="7" t="inlineStr">
        <x:is>
          <x:t xml:space="preserve"/>
        </x:is>
      </x:c>
      <x:c r="J124" s="7" t="inlineStr">
        <x:is>
          <x:t xml:space="preserve"/>
        </x:is>
      </x:c>
      <x:c r="K124" s="6" t="inlineStr">
        <x:is>
          <x:t xml:space="preserve"/>
        </x:is>
      </x:c>
      <x:c r="L124" s="7" t="inlineStr">
        <x:is>
          <x:t xml:space="preserve"/>
        </x:is>
      </x:c>
      <x:c r="M124" s="6" t="inlineStr">
        <x:is>
          <x:t xml:space="preserve"/>
        </x:is>
      </x:c>
      <x:c r="N124" s="6" t="inlineStr">
        <x:is>
          <x:t xml:space="preserve"/>
        </x:is>
      </x:c>
    </x:row>
    <x:row r="125">
      <x:c r="A125" s="7">
        <x:f>IF(B125="","", "T-"&amp;TEXT(ROW()-1,"00000"))</x:f>
      </x:c>
      <x:c r="B125" s="7" t="inlineStr">
        <x:is>
          <x:t xml:space="preserve"/>
        </x:is>
      </x:c>
      <x:c r="C125" s="7" t="inlineStr">
        <x:is>
          <x:t xml:space="preserve"/>
        </x:is>
      </x:c>
      <x:c r="D125" s="7">
        <x:f>IF(B125="","",VALUE(MID(B125,2,4)))</x:f>
      </x:c>
      <x:c r="E125" s="7">
        <x:f>IF(B125="","",MID(B125,6,2))</x:f>
      </x:c>
      <x:c r="F125" s="8" t="inlineStr">
        <x:is>
          <x:t xml:space="preserve"/>
        </x:is>
      </x:c>
      <x:c r="G125" s="6" t="inlineStr">
        <x:is>
          <x:t xml:space="preserve"/>
        </x:is>
      </x:c>
      <x:c r="H125" s="7" t="inlineStr">
        <x:is>
          <x:t xml:space="preserve"/>
        </x:is>
      </x:c>
      <x:c r="I125" s="7" t="inlineStr">
        <x:is>
          <x:t xml:space="preserve"/>
        </x:is>
      </x:c>
      <x:c r="J125" s="7" t="inlineStr">
        <x:is>
          <x:t xml:space="preserve"/>
        </x:is>
      </x:c>
      <x:c r="K125" s="6" t="inlineStr">
        <x:is>
          <x:t xml:space="preserve"/>
        </x:is>
      </x:c>
      <x:c r="L125" s="7" t="inlineStr">
        <x:is>
          <x:t xml:space="preserve"/>
        </x:is>
      </x:c>
      <x:c r="M125" s="6" t="inlineStr">
        <x:is>
          <x:t xml:space="preserve"/>
        </x:is>
      </x:c>
      <x:c r="N125" s="6" t="inlineStr">
        <x:is>
          <x:t xml:space="preserve"/>
        </x:is>
      </x:c>
    </x:row>
    <x:row r="126">
      <x:c r="A126" s="7">
        <x:f>IF(B126="","", "T-"&amp;TEXT(ROW()-1,"00000"))</x:f>
      </x:c>
      <x:c r="B126" s="7" t="inlineStr">
        <x:is>
          <x:t xml:space="preserve"/>
        </x:is>
      </x:c>
      <x:c r="C126" s="7" t="inlineStr">
        <x:is>
          <x:t xml:space="preserve"/>
        </x:is>
      </x:c>
      <x:c r="D126" s="7">
        <x:f>IF(B126="","",VALUE(MID(B126,2,4)))</x:f>
      </x:c>
      <x:c r="E126" s="7">
        <x:f>IF(B126="","",MID(B126,6,2))</x:f>
      </x:c>
      <x:c r="F126" s="8" t="inlineStr">
        <x:is>
          <x:t xml:space="preserve"/>
        </x:is>
      </x:c>
      <x:c r="G126" s="6" t="inlineStr">
        <x:is>
          <x:t xml:space="preserve"/>
        </x:is>
      </x:c>
      <x:c r="H126" s="7" t="inlineStr">
        <x:is>
          <x:t xml:space="preserve"/>
        </x:is>
      </x:c>
      <x:c r="I126" s="7" t="inlineStr">
        <x:is>
          <x:t xml:space="preserve"/>
        </x:is>
      </x:c>
      <x:c r="J126" s="7" t="inlineStr">
        <x:is>
          <x:t xml:space="preserve"/>
        </x:is>
      </x:c>
      <x:c r="K126" s="6" t="inlineStr">
        <x:is>
          <x:t xml:space="preserve"/>
        </x:is>
      </x:c>
      <x:c r="L126" s="7" t="inlineStr">
        <x:is>
          <x:t xml:space="preserve"/>
        </x:is>
      </x:c>
      <x:c r="M126" s="6" t="inlineStr">
        <x:is>
          <x:t xml:space="preserve"/>
        </x:is>
      </x:c>
      <x:c r="N126" s="6" t="inlineStr">
        <x:is>
          <x:t xml:space="preserve"/>
        </x:is>
      </x:c>
    </x:row>
    <x:row r="127">
      <x:c r="A127" s="7">
        <x:f>IF(B127="","", "T-"&amp;TEXT(ROW()-1,"00000"))</x:f>
      </x:c>
      <x:c r="B127" s="7" t="inlineStr">
        <x:is>
          <x:t xml:space="preserve"/>
        </x:is>
      </x:c>
      <x:c r="C127" s="7" t="inlineStr">
        <x:is>
          <x:t xml:space="preserve"/>
        </x:is>
      </x:c>
      <x:c r="D127" s="7">
        <x:f>IF(B127="","",VALUE(MID(B127,2,4)))</x:f>
      </x:c>
      <x:c r="E127" s="7">
        <x:f>IF(B127="","",MID(B127,6,2))</x:f>
      </x:c>
      <x:c r="F127" s="8" t="inlineStr">
        <x:is>
          <x:t xml:space="preserve"/>
        </x:is>
      </x:c>
      <x:c r="G127" s="6" t="inlineStr">
        <x:is>
          <x:t xml:space="preserve"/>
        </x:is>
      </x:c>
      <x:c r="H127" s="7" t="inlineStr">
        <x:is>
          <x:t xml:space="preserve"/>
        </x:is>
      </x:c>
      <x:c r="I127" s="7" t="inlineStr">
        <x:is>
          <x:t xml:space="preserve"/>
        </x:is>
      </x:c>
      <x:c r="J127" s="7" t="inlineStr">
        <x:is>
          <x:t xml:space="preserve"/>
        </x:is>
      </x:c>
      <x:c r="K127" s="6" t="inlineStr">
        <x:is>
          <x:t xml:space="preserve"/>
        </x:is>
      </x:c>
      <x:c r="L127" s="7" t="inlineStr">
        <x:is>
          <x:t xml:space="preserve"/>
        </x:is>
      </x:c>
      <x:c r="M127" s="6" t="inlineStr">
        <x:is>
          <x:t xml:space="preserve"/>
        </x:is>
      </x:c>
      <x:c r="N127" s="6" t="inlineStr">
        <x:is>
          <x:t xml:space="preserve"/>
        </x:is>
      </x:c>
    </x:row>
    <x:row r="128">
      <x:c r="A128" s="7">
        <x:f>IF(B128="","", "T-"&amp;TEXT(ROW()-1,"00000"))</x:f>
      </x:c>
      <x:c r="B128" s="7" t="inlineStr">
        <x:is>
          <x:t xml:space="preserve"/>
        </x:is>
      </x:c>
      <x:c r="C128" s="7" t="inlineStr">
        <x:is>
          <x:t xml:space="preserve"/>
        </x:is>
      </x:c>
      <x:c r="D128" s="7">
        <x:f>IF(B128="","",VALUE(MID(B128,2,4)))</x:f>
      </x:c>
      <x:c r="E128" s="7">
        <x:f>IF(B128="","",MID(B128,6,2))</x:f>
      </x:c>
      <x:c r="F128" s="8" t="inlineStr">
        <x:is>
          <x:t xml:space="preserve"/>
        </x:is>
      </x:c>
      <x:c r="G128" s="6" t="inlineStr">
        <x:is>
          <x:t xml:space="preserve"/>
        </x:is>
      </x:c>
      <x:c r="H128" s="7" t="inlineStr">
        <x:is>
          <x:t xml:space="preserve"/>
        </x:is>
      </x:c>
      <x:c r="I128" s="7" t="inlineStr">
        <x:is>
          <x:t xml:space="preserve"/>
        </x:is>
      </x:c>
      <x:c r="J128" s="7" t="inlineStr">
        <x:is>
          <x:t xml:space="preserve"/>
        </x:is>
      </x:c>
      <x:c r="K128" s="6" t="inlineStr">
        <x:is>
          <x:t xml:space="preserve"/>
        </x:is>
      </x:c>
      <x:c r="L128" s="7" t="inlineStr">
        <x:is>
          <x:t xml:space="preserve"/>
        </x:is>
      </x:c>
      <x:c r="M128" s="6" t="inlineStr">
        <x:is>
          <x:t xml:space="preserve"/>
        </x:is>
      </x:c>
      <x:c r="N128" s="6" t="inlineStr">
        <x:is>
          <x:t xml:space="preserve"/>
        </x:is>
      </x:c>
    </x:row>
    <x:row r="129">
      <x:c r="A129" s="7">
        <x:f>IF(B129="","", "T-"&amp;TEXT(ROW()-1,"00000"))</x:f>
      </x:c>
      <x:c r="B129" s="7" t="inlineStr">
        <x:is>
          <x:t xml:space="preserve"/>
        </x:is>
      </x:c>
      <x:c r="C129" s="7" t="inlineStr">
        <x:is>
          <x:t xml:space="preserve"/>
        </x:is>
      </x:c>
      <x:c r="D129" s="7">
        <x:f>IF(B129="","",VALUE(MID(B129,2,4)))</x:f>
      </x:c>
      <x:c r="E129" s="7">
        <x:f>IF(B129="","",MID(B129,6,2))</x:f>
      </x:c>
      <x:c r="F129" s="8" t="inlineStr">
        <x:is>
          <x:t xml:space="preserve"/>
        </x:is>
      </x:c>
      <x:c r="G129" s="6" t="inlineStr">
        <x:is>
          <x:t xml:space="preserve"/>
        </x:is>
      </x:c>
      <x:c r="H129" s="7" t="inlineStr">
        <x:is>
          <x:t xml:space="preserve"/>
        </x:is>
      </x:c>
      <x:c r="I129" s="7" t="inlineStr">
        <x:is>
          <x:t xml:space="preserve"/>
        </x:is>
      </x:c>
      <x:c r="J129" s="7" t="inlineStr">
        <x:is>
          <x:t xml:space="preserve"/>
        </x:is>
      </x:c>
      <x:c r="K129" s="6" t="inlineStr">
        <x:is>
          <x:t xml:space="preserve"/>
        </x:is>
      </x:c>
      <x:c r="L129" s="7" t="inlineStr">
        <x:is>
          <x:t xml:space="preserve"/>
        </x:is>
      </x:c>
      <x:c r="M129" s="6" t="inlineStr">
        <x:is>
          <x:t xml:space="preserve"/>
        </x:is>
      </x:c>
      <x:c r="N129" s="6" t="inlineStr">
        <x:is>
          <x:t xml:space="preserve"/>
        </x:is>
      </x:c>
    </x:row>
    <x:row r="130">
      <x:c r="A130" s="7">
        <x:f>IF(B130="","", "T-"&amp;TEXT(ROW()-1,"00000"))</x:f>
      </x:c>
      <x:c r="B130" s="7" t="inlineStr">
        <x:is>
          <x:t xml:space="preserve"/>
        </x:is>
      </x:c>
      <x:c r="C130" s="7" t="inlineStr">
        <x:is>
          <x:t xml:space="preserve"/>
        </x:is>
      </x:c>
      <x:c r="D130" s="7">
        <x:f>IF(B130="","",VALUE(MID(B130,2,4)))</x:f>
      </x:c>
      <x:c r="E130" s="7">
        <x:f>IF(B130="","",MID(B130,6,2))</x:f>
      </x:c>
      <x:c r="F130" s="8" t="inlineStr">
        <x:is>
          <x:t xml:space="preserve"/>
        </x:is>
      </x:c>
      <x:c r="G130" s="6" t="inlineStr">
        <x:is>
          <x:t xml:space="preserve"/>
        </x:is>
      </x:c>
      <x:c r="H130" s="7" t="inlineStr">
        <x:is>
          <x:t xml:space="preserve"/>
        </x:is>
      </x:c>
      <x:c r="I130" s="7" t="inlineStr">
        <x:is>
          <x:t xml:space="preserve"/>
        </x:is>
      </x:c>
      <x:c r="J130" s="7" t="inlineStr">
        <x:is>
          <x:t xml:space="preserve"/>
        </x:is>
      </x:c>
      <x:c r="K130" s="6" t="inlineStr">
        <x:is>
          <x:t xml:space="preserve"/>
        </x:is>
      </x:c>
      <x:c r="L130" s="7" t="inlineStr">
        <x:is>
          <x:t xml:space="preserve"/>
        </x:is>
      </x:c>
      <x:c r="M130" s="6" t="inlineStr">
        <x:is>
          <x:t xml:space="preserve"/>
        </x:is>
      </x:c>
      <x:c r="N130" s="6" t="inlineStr">
        <x:is>
          <x:t xml:space="preserve"/>
        </x:is>
      </x:c>
    </x:row>
    <x:row r="131">
      <x:c r="A131" s="7">
        <x:f>IF(B131="","", "T-"&amp;TEXT(ROW()-1,"00000"))</x:f>
      </x:c>
      <x:c r="B131" s="7" t="inlineStr">
        <x:is>
          <x:t xml:space="preserve"/>
        </x:is>
      </x:c>
      <x:c r="C131" s="7" t="inlineStr">
        <x:is>
          <x:t xml:space="preserve"/>
        </x:is>
      </x:c>
      <x:c r="D131" s="7">
        <x:f>IF(B131="","",VALUE(MID(B131,2,4)))</x:f>
      </x:c>
      <x:c r="E131" s="7">
        <x:f>IF(B131="","",MID(B131,6,2))</x:f>
      </x:c>
      <x:c r="F131" s="8" t="inlineStr">
        <x:is>
          <x:t xml:space="preserve"/>
        </x:is>
      </x:c>
      <x:c r="G131" s="6" t="inlineStr">
        <x:is>
          <x:t xml:space="preserve"/>
        </x:is>
      </x:c>
      <x:c r="H131" s="7" t="inlineStr">
        <x:is>
          <x:t xml:space="preserve"/>
        </x:is>
      </x:c>
      <x:c r="I131" s="7" t="inlineStr">
        <x:is>
          <x:t xml:space="preserve"/>
        </x:is>
      </x:c>
      <x:c r="J131" s="7" t="inlineStr">
        <x:is>
          <x:t xml:space="preserve"/>
        </x:is>
      </x:c>
      <x:c r="K131" s="6" t="inlineStr">
        <x:is>
          <x:t xml:space="preserve"/>
        </x:is>
      </x:c>
      <x:c r="L131" s="7" t="inlineStr">
        <x:is>
          <x:t xml:space="preserve"/>
        </x:is>
      </x:c>
      <x:c r="M131" s="6" t="inlineStr">
        <x:is>
          <x:t xml:space="preserve"/>
        </x:is>
      </x:c>
      <x:c r="N131" s="6" t="inlineStr">
        <x:is>
          <x:t xml:space="preserve"/>
        </x:is>
      </x:c>
    </x:row>
    <x:row r="132">
      <x:c r="A132" s="7">
        <x:f>IF(B132="","", "T-"&amp;TEXT(ROW()-1,"00000"))</x:f>
      </x:c>
      <x:c r="B132" s="7" t="inlineStr">
        <x:is>
          <x:t xml:space="preserve"/>
        </x:is>
      </x:c>
      <x:c r="C132" s="7" t="inlineStr">
        <x:is>
          <x:t xml:space="preserve"/>
        </x:is>
      </x:c>
      <x:c r="D132" s="7">
        <x:f>IF(B132="","",VALUE(MID(B132,2,4)))</x:f>
      </x:c>
      <x:c r="E132" s="7">
        <x:f>IF(B132="","",MID(B132,6,2))</x:f>
      </x:c>
      <x:c r="F132" s="8" t="inlineStr">
        <x:is>
          <x:t xml:space="preserve"/>
        </x:is>
      </x:c>
      <x:c r="G132" s="6" t="inlineStr">
        <x:is>
          <x:t xml:space="preserve"/>
        </x:is>
      </x:c>
      <x:c r="H132" s="7" t="inlineStr">
        <x:is>
          <x:t xml:space="preserve"/>
        </x:is>
      </x:c>
      <x:c r="I132" s="7" t="inlineStr">
        <x:is>
          <x:t xml:space="preserve"/>
        </x:is>
      </x:c>
      <x:c r="J132" s="7" t="inlineStr">
        <x:is>
          <x:t xml:space="preserve"/>
        </x:is>
      </x:c>
      <x:c r="K132" s="6" t="inlineStr">
        <x:is>
          <x:t xml:space="preserve"/>
        </x:is>
      </x:c>
      <x:c r="L132" s="7" t="inlineStr">
        <x:is>
          <x:t xml:space="preserve"/>
        </x:is>
      </x:c>
      <x:c r="M132" s="6" t="inlineStr">
        <x:is>
          <x:t xml:space="preserve"/>
        </x:is>
      </x:c>
      <x:c r="N132" s="6" t="inlineStr">
        <x:is>
          <x:t xml:space="preserve"/>
        </x:is>
      </x:c>
    </x:row>
    <x:row r="133">
      <x:c r="A133" s="7">
        <x:f>IF(B133="","", "T-"&amp;TEXT(ROW()-1,"00000"))</x:f>
      </x:c>
      <x:c r="B133" s="7" t="inlineStr">
        <x:is>
          <x:t xml:space="preserve"/>
        </x:is>
      </x:c>
      <x:c r="C133" s="7" t="inlineStr">
        <x:is>
          <x:t xml:space="preserve"/>
        </x:is>
      </x:c>
      <x:c r="D133" s="7">
        <x:f>IF(B133="","",VALUE(MID(B133,2,4)))</x:f>
      </x:c>
      <x:c r="E133" s="7">
        <x:f>IF(B133="","",MID(B133,6,2))</x:f>
      </x:c>
      <x:c r="F133" s="8" t="inlineStr">
        <x:is>
          <x:t xml:space="preserve"/>
        </x:is>
      </x:c>
      <x:c r="G133" s="6" t="inlineStr">
        <x:is>
          <x:t xml:space="preserve"/>
        </x:is>
      </x:c>
      <x:c r="H133" s="7" t="inlineStr">
        <x:is>
          <x:t xml:space="preserve"/>
        </x:is>
      </x:c>
      <x:c r="I133" s="7" t="inlineStr">
        <x:is>
          <x:t xml:space="preserve"/>
        </x:is>
      </x:c>
      <x:c r="J133" s="7" t="inlineStr">
        <x:is>
          <x:t xml:space="preserve"/>
        </x:is>
      </x:c>
      <x:c r="K133" s="6" t="inlineStr">
        <x:is>
          <x:t xml:space="preserve"/>
        </x:is>
      </x:c>
      <x:c r="L133" s="7" t="inlineStr">
        <x:is>
          <x:t xml:space="preserve"/>
        </x:is>
      </x:c>
      <x:c r="M133" s="6" t="inlineStr">
        <x:is>
          <x:t xml:space="preserve"/>
        </x:is>
      </x:c>
      <x:c r="N133" s="6" t="inlineStr">
        <x:is>
          <x:t xml:space="preserve"/>
        </x:is>
      </x:c>
    </x:row>
    <x:row r="134">
      <x:c r="A134" s="7">
        <x:f>IF(B134="","", "T-"&amp;TEXT(ROW()-1,"00000"))</x:f>
      </x:c>
      <x:c r="B134" s="7" t="inlineStr">
        <x:is>
          <x:t xml:space="preserve"/>
        </x:is>
      </x:c>
      <x:c r="C134" s="7" t="inlineStr">
        <x:is>
          <x:t xml:space="preserve"/>
        </x:is>
      </x:c>
      <x:c r="D134" s="7">
        <x:f>IF(B134="","",VALUE(MID(B134,2,4)))</x:f>
      </x:c>
      <x:c r="E134" s="7">
        <x:f>IF(B134="","",MID(B134,6,2))</x:f>
      </x:c>
      <x:c r="F134" s="8" t="inlineStr">
        <x:is>
          <x:t xml:space="preserve"/>
        </x:is>
      </x:c>
      <x:c r="G134" s="6" t="inlineStr">
        <x:is>
          <x:t xml:space="preserve"/>
        </x:is>
      </x:c>
      <x:c r="H134" s="7" t="inlineStr">
        <x:is>
          <x:t xml:space="preserve"/>
        </x:is>
      </x:c>
      <x:c r="I134" s="7" t="inlineStr">
        <x:is>
          <x:t xml:space="preserve"/>
        </x:is>
      </x:c>
      <x:c r="J134" s="7" t="inlineStr">
        <x:is>
          <x:t xml:space="preserve"/>
        </x:is>
      </x:c>
      <x:c r="K134" s="6" t="inlineStr">
        <x:is>
          <x:t xml:space="preserve"/>
        </x:is>
      </x:c>
      <x:c r="L134" s="7" t="inlineStr">
        <x:is>
          <x:t xml:space="preserve"/>
        </x:is>
      </x:c>
      <x:c r="M134" s="6" t="inlineStr">
        <x:is>
          <x:t xml:space="preserve"/>
        </x:is>
      </x:c>
      <x:c r="N134" s="6" t="inlineStr">
        <x:is>
          <x:t xml:space="preserve"/>
        </x:is>
      </x:c>
    </x:row>
    <x:row r="135">
      <x:c r="A135" s="7">
        <x:f>IF(B135="","", "T-"&amp;TEXT(ROW()-1,"00000"))</x:f>
      </x:c>
      <x:c r="B135" s="7" t="inlineStr">
        <x:is>
          <x:t xml:space="preserve"/>
        </x:is>
      </x:c>
      <x:c r="C135" s="7" t="inlineStr">
        <x:is>
          <x:t xml:space="preserve"/>
        </x:is>
      </x:c>
      <x:c r="D135" s="7">
        <x:f>IF(B135="","",VALUE(MID(B135,2,4)))</x:f>
      </x:c>
      <x:c r="E135" s="7">
        <x:f>IF(B135="","",MID(B135,6,2))</x:f>
      </x:c>
      <x:c r="F135" s="8" t="inlineStr">
        <x:is>
          <x:t xml:space="preserve"/>
        </x:is>
      </x:c>
      <x:c r="G135" s="6" t="inlineStr">
        <x:is>
          <x:t xml:space="preserve"/>
        </x:is>
      </x:c>
      <x:c r="H135" s="7" t="inlineStr">
        <x:is>
          <x:t xml:space="preserve"/>
        </x:is>
      </x:c>
      <x:c r="I135" s="7" t="inlineStr">
        <x:is>
          <x:t xml:space="preserve"/>
        </x:is>
      </x:c>
      <x:c r="J135" s="7" t="inlineStr">
        <x:is>
          <x:t xml:space="preserve"/>
        </x:is>
      </x:c>
      <x:c r="K135" s="6" t="inlineStr">
        <x:is>
          <x:t xml:space="preserve"/>
        </x:is>
      </x:c>
      <x:c r="L135" s="7" t="inlineStr">
        <x:is>
          <x:t xml:space="preserve"/>
        </x:is>
      </x:c>
      <x:c r="M135" s="6" t="inlineStr">
        <x:is>
          <x:t xml:space="preserve"/>
        </x:is>
      </x:c>
      <x:c r="N135" s="6" t="inlineStr">
        <x:is>
          <x:t xml:space="preserve"/>
        </x:is>
      </x:c>
    </x:row>
    <x:row r="136">
      <x:c r="A136" s="7">
        <x:f>IF(B136="","", "T-"&amp;TEXT(ROW()-1,"00000"))</x:f>
      </x:c>
      <x:c r="B136" s="7" t="inlineStr">
        <x:is>
          <x:t xml:space="preserve"/>
        </x:is>
      </x:c>
      <x:c r="C136" s="7" t="inlineStr">
        <x:is>
          <x:t xml:space="preserve"/>
        </x:is>
      </x:c>
      <x:c r="D136" s="7">
        <x:f>IF(B136="","",VALUE(MID(B136,2,4)))</x:f>
      </x:c>
      <x:c r="E136" s="7">
        <x:f>IF(B136="","",MID(B136,6,2))</x:f>
      </x:c>
      <x:c r="F136" s="8" t="inlineStr">
        <x:is>
          <x:t xml:space="preserve"/>
        </x:is>
      </x:c>
      <x:c r="G136" s="6" t="inlineStr">
        <x:is>
          <x:t xml:space="preserve"/>
        </x:is>
      </x:c>
      <x:c r="H136" s="7" t="inlineStr">
        <x:is>
          <x:t xml:space="preserve"/>
        </x:is>
      </x:c>
      <x:c r="I136" s="7" t="inlineStr">
        <x:is>
          <x:t xml:space="preserve"/>
        </x:is>
      </x:c>
      <x:c r="J136" s="7" t="inlineStr">
        <x:is>
          <x:t xml:space="preserve"/>
        </x:is>
      </x:c>
      <x:c r="K136" s="6" t="inlineStr">
        <x:is>
          <x:t xml:space="preserve"/>
        </x:is>
      </x:c>
      <x:c r="L136" s="7" t="inlineStr">
        <x:is>
          <x:t xml:space="preserve"/>
        </x:is>
      </x:c>
      <x:c r="M136" s="6" t="inlineStr">
        <x:is>
          <x:t xml:space="preserve"/>
        </x:is>
      </x:c>
      <x:c r="N136" s="6" t="inlineStr">
        <x:is>
          <x:t xml:space="preserve"/>
        </x:is>
      </x:c>
    </x:row>
    <x:row r="137">
      <x:c r="A137" s="7">
        <x:f>IF(B137="","", "T-"&amp;TEXT(ROW()-1,"00000"))</x:f>
      </x:c>
      <x:c r="B137" s="7" t="inlineStr">
        <x:is>
          <x:t xml:space="preserve"/>
        </x:is>
      </x:c>
      <x:c r="C137" s="7" t="inlineStr">
        <x:is>
          <x:t xml:space="preserve"/>
        </x:is>
      </x:c>
      <x:c r="D137" s="7">
        <x:f>IF(B137="","",VALUE(MID(B137,2,4)))</x:f>
      </x:c>
      <x:c r="E137" s="7">
        <x:f>IF(B137="","",MID(B137,6,2))</x:f>
      </x:c>
      <x:c r="F137" s="8" t="inlineStr">
        <x:is>
          <x:t xml:space="preserve"/>
        </x:is>
      </x:c>
      <x:c r="G137" s="6" t="inlineStr">
        <x:is>
          <x:t xml:space="preserve"/>
        </x:is>
      </x:c>
      <x:c r="H137" s="7" t="inlineStr">
        <x:is>
          <x:t xml:space="preserve"/>
        </x:is>
      </x:c>
      <x:c r="I137" s="7" t="inlineStr">
        <x:is>
          <x:t xml:space="preserve"/>
        </x:is>
      </x:c>
      <x:c r="J137" s="7" t="inlineStr">
        <x:is>
          <x:t xml:space="preserve"/>
        </x:is>
      </x:c>
      <x:c r="K137" s="6" t="inlineStr">
        <x:is>
          <x:t xml:space="preserve"/>
        </x:is>
      </x:c>
      <x:c r="L137" s="7" t="inlineStr">
        <x:is>
          <x:t xml:space="preserve"/>
        </x:is>
      </x:c>
      <x:c r="M137" s="6" t="inlineStr">
        <x:is>
          <x:t xml:space="preserve"/>
        </x:is>
      </x:c>
      <x:c r="N137" s="6" t="inlineStr">
        <x:is>
          <x:t xml:space="preserve"/>
        </x:is>
      </x:c>
    </x:row>
    <x:row r="138">
      <x:c r="A138" s="7">
        <x:f>IF(B138="","", "T-"&amp;TEXT(ROW()-1,"00000"))</x:f>
      </x:c>
      <x:c r="B138" s="7" t="inlineStr">
        <x:is>
          <x:t xml:space="preserve"/>
        </x:is>
      </x:c>
      <x:c r="C138" s="7" t="inlineStr">
        <x:is>
          <x:t xml:space="preserve"/>
        </x:is>
      </x:c>
      <x:c r="D138" s="7">
        <x:f>IF(B138="","",VALUE(MID(B138,2,4)))</x:f>
      </x:c>
      <x:c r="E138" s="7">
        <x:f>IF(B138="","",MID(B138,6,2))</x:f>
      </x:c>
      <x:c r="F138" s="8" t="inlineStr">
        <x:is>
          <x:t xml:space="preserve"/>
        </x:is>
      </x:c>
      <x:c r="G138" s="6" t="inlineStr">
        <x:is>
          <x:t xml:space="preserve"/>
        </x:is>
      </x:c>
      <x:c r="H138" s="7" t="inlineStr">
        <x:is>
          <x:t xml:space="preserve"/>
        </x:is>
      </x:c>
      <x:c r="I138" s="7" t="inlineStr">
        <x:is>
          <x:t xml:space="preserve"/>
        </x:is>
      </x:c>
      <x:c r="J138" s="7" t="inlineStr">
        <x:is>
          <x:t xml:space="preserve"/>
        </x:is>
      </x:c>
      <x:c r="K138" s="6" t="inlineStr">
        <x:is>
          <x:t xml:space="preserve"/>
        </x:is>
      </x:c>
      <x:c r="L138" s="7" t="inlineStr">
        <x:is>
          <x:t xml:space="preserve"/>
        </x:is>
      </x:c>
      <x:c r="M138" s="6" t="inlineStr">
        <x:is>
          <x:t xml:space="preserve"/>
        </x:is>
      </x:c>
      <x:c r="N138" s="6" t="inlineStr">
        <x:is>
          <x:t xml:space="preserve"/>
        </x:is>
      </x:c>
    </x:row>
    <x:row r="139">
      <x:c r="A139" s="7">
        <x:f>IF(B139="","", "T-"&amp;TEXT(ROW()-1,"00000"))</x:f>
      </x:c>
      <x:c r="B139" s="7" t="inlineStr">
        <x:is>
          <x:t xml:space="preserve"/>
        </x:is>
      </x:c>
      <x:c r="C139" s="7" t="inlineStr">
        <x:is>
          <x:t xml:space="preserve"/>
        </x:is>
      </x:c>
      <x:c r="D139" s="7">
        <x:f>IF(B139="","",VALUE(MID(B139,2,4)))</x:f>
      </x:c>
      <x:c r="E139" s="7">
        <x:f>IF(B139="","",MID(B139,6,2))</x:f>
      </x:c>
      <x:c r="F139" s="8" t="inlineStr">
        <x:is>
          <x:t xml:space="preserve"/>
        </x:is>
      </x:c>
      <x:c r="G139" s="6" t="inlineStr">
        <x:is>
          <x:t xml:space="preserve"/>
        </x:is>
      </x:c>
      <x:c r="H139" s="7" t="inlineStr">
        <x:is>
          <x:t xml:space="preserve"/>
        </x:is>
      </x:c>
      <x:c r="I139" s="7" t="inlineStr">
        <x:is>
          <x:t xml:space="preserve"/>
        </x:is>
      </x:c>
      <x:c r="J139" s="7" t="inlineStr">
        <x:is>
          <x:t xml:space="preserve"/>
        </x:is>
      </x:c>
      <x:c r="K139" s="6" t="inlineStr">
        <x:is>
          <x:t xml:space="preserve"/>
        </x:is>
      </x:c>
      <x:c r="L139" s="7" t="inlineStr">
        <x:is>
          <x:t xml:space="preserve"/>
        </x:is>
      </x:c>
      <x:c r="M139" s="6" t="inlineStr">
        <x:is>
          <x:t xml:space="preserve"/>
        </x:is>
      </x:c>
      <x:c r="N139" s="6" t="inlineStr">
        <x:is>
          <x:t xml:space="preserve"/>
        </x:is>
      </x:c>
    </x:row>
    <x:row r="140">
      <x:c r="A140" s="7">
        <x:f>IF(B140="","", "T-"&amp;TEXT(ROW()-1,"00000"))</x:f>
      </x:c>
      <x:c r="B140" s="7" t="inlineStr">
        <x:is>
          <x:t xml:space="preserve"/>
        </x:is>
      </x:c>
      <x:c r="C140" s="7" t="inlineStr">
        <x:is>
          <x:t xml:space="preserve"/>
        </x:is>
      </x:c>
      <x:c r="D140" s="7">
        <x:f>IF(B140="","",VALUE(MID(B140,2,4)))</x:f>
      </x:c>
      <x:c r="E140" s="7">
        <x:f>IF(B140="","",MID(B140,6,2))</x:f>
      </x:c>
      <x:c r="F140" s="8" t="inlineStr">
        <x:is>
          <x:t xml:space="preserve"/>
        </x:is>
      </x:c>
      <x:c r="G140" s="6" t="inlineStr">
        <x:is>
          <x:t xml:space="preserve"/>
        </x:is>
      </x:c>
      <x:c r="H140" s="7" t="inlineStr">
        <x:is>
          <x:t xml:space="preserve"/>
        </x:is>
      </x:c>
      <x:c r="I140" s="7" t="inlineStr">
        <x:is>
          <x:t xml:space="preserve"/>
        </x:is>
      </x:c>
      <x:c r="J140" s="7" t="inlineStr">
        <x:is>
          <x:t xml:space="preserve"/>
        </x:is>
      </x:c>
      <x:c r="K140" s="6" t="inlineStr">
        <x:is>
          <x:t xml:space="preserve"/>
        </x:is>
      </x:c>
      <x:c r="L140" s="7" t="inlineStr">
        <x:is>
          <x:t xml:space="preserve"/>
        </x:is>
      </x:c>
      <x:c r="M140" s="6" t="inlineStr">
        <x:is>
          <x:t xml:space="preserve"/>
        </x:is>
      </x:c>
      <x:c r="N140" s="6" t="inlineStr">
        <x:is>
          <x:t xml:space="preserve"/>
        </x:is>
      </x:c>
    </x:row>
    <x:row r="141">
      <x:c r="A141" s="7">
        <x:f>IF(B141="","", "T-"&amp;TEXT(ROW()-1,"00000"))</x:f>
      </x:c>
      <x:c r="B141" s="7" t="inlineStr">
        <x:is>
          <x:t xml:space="preserve"/>
        </x:is>
      </x:c>
      <x:c r="C141" s="7" t="inlineStr">
        <x:is>
          <x:t xml:space="preserve"/>
        </x:is>
      </x:c>
      <x:c r="D141" s="7">
        <x:f>IF(B141="","",VALUE(MID(B141,2,4)))</x:f>
      </x:c>
      <x:c r="E141" s="7">
        <x:f>IF(B141="","",MID(B141,6,2))</x:f>
      </x:c>
      <x:c r="F141" s="8" t="inlineStr">
        <x:is>
          <x:t xml:space="preserve"/>
        </x:is>
      </x:c>
      <x:c r="G141" s="6" t="inlineStr">
        <x:is>
          <x:t xml:space="preserve"/>
        </x:is>
      </x:c>
      <x:c r="H141" s="7" t="inlineStr">
        <x:is>
          <x:t xml:space="preserve"/>
        </x:is>
      </x:c>
      <x:c r="I141" s="7" t="inlineStr">
        <x:is>
          <x:t xml:space="preserve"/>
        </x:is>
      </x:c>
      <x:c r="J141" s="7" t="inlineStr">
        <x:is>
          <x:t xml:space="preserve"/>
        </x:is>
      </x:c>
      <x:c r="K141" s="6" t="inlineStr">
        <x:is>
          <x:t xml:space="preserve"/>
        </x:is>
      </x:c>
      <x:c r="L141" s="7" t="inlineStr">
        <x:is>
          <x:t xml:space="preserve"/>
        </x:is>
      </x:c>
      <x:c r="M141" s="6" t="inlineStr">
        <x:is>
          <x:t xml:space="preserve"/>
        </x:is>
      </x:c>
      <x:c r="N141" s="6" t="inlineStr">
        <x:is>
          <x:t xml:space="preserve"/>
        </x:is>
      </x:c>
    </x:row>
    <x:row r="142">
      <x:c r="A142" s="7">
        <x:f>IF(B142="","", "T-"&amp;TEXT(ROW()-1,"00000"))</x:f>
      </x:c>
      <x:c r="B142" s="7" t="inlineStr">
        <x:is>
          <x:t xml:space="preserve"/>
        </x:is>
      </x:c>
      <x:c r="C142" s="7" t="inlineStr">
        <x:is>
          <x:t xml:space="preserve"/>
        </x:is>
      </x:c>
      <x:c r="D142" s="7">
        <x:f>IF(B142="","",VALUE(MID(B142,2,4)))</x:f>
      </x:c>
      <x:c r="E142" s="7">
        <x:f>IF(B142="","",MID(B142,6,2))</x:f>
      </x:c>
      <x:c r="F142" s="8" t="inlineStr">
        <x:is>
          <x:t xml:space="preserve"/>
        </x:is>
      </x:c>
      <x:c r="G142" s="6" t="inlineStr">
        <x:is>
          <x:t xml:space="preserve"/>
        </x:is>
      </x:c>
      <x:c r="H142" s="7" t="inlineStr">
        <x:is>
          <x:t xml:space="preserve"/>
        </x:is>
      </x:c>
      <x:c r="I142" s="7" t="inlineStr">
        <x:is>
          <x:t xml:space="preserve"/>
        </x:is>
      </x:c>
      <x:c r="J142" s="7" t="inlineStr">
        <x:is>
          <x:t xml:space="preserve"/>
        </x:is>
      </x:c>
      <x:c r="K142" s="6" t="inlineStr">
        <x:is>
          <x:t xml:space="preserve"/>
        </x:is>
      </x:c>
      <x:c r="L142" s="7" t="inlineStr">
        <x:is>
          <x:t xml:space="preserve"/>
        </x:is>
      </x:c>
      <x:c r="M142" s="6" t="inlineStr">
        <x:is>
          <x:t xml:space="preserve"/>
        </x:is>
      </x:c>
      <x:c r="N142" s="6" t="inlineStr">
        <x:is>
          <x:t xml:space="preserve"/>
        </x:is>
      </x:c>
    </x:row>
    <x:row r="143">
      <x:c r="A143" s="7">
        <x:f>IF(B143="","", "T-"&amp;TEXT(ROW()-1,"00000"))</x:f>
      </x:c>
      <x:c r="B143" s="7" t="inlineStr">
        <x:is>
          <x:t xml:space="preserve"/>
        </x:is>
      </x:c>
      <x:c r="C143" s="7" t="inlineStr">
        <x:is>
          <x:t xml:space="preserve"/>
        </x:is>
      </x:c>
      <x:c r="D143" s="7">
        <x:f>IF(B143="","",VALUE(MID(B143,2,4)))</x:f>
      </x:c>
      <x:c r="E143" s="7">
        <x:f>IF(B143="","",MID(B143,6,2))</x:f>
      </x:c>
      <x:c r="F143" s="8" t="inlineStr">
        <x:is>
          <x:t xml:space="preserve"/>
        </x:is>
      </x:c>
      <x:c r="G143" s="6" t="inlineStr">
        <x:is>
          <x:t xml:space="preserve"/>
        </x:is>
      </x:c>
      <x:c r="H143" s="7" t="inlineStr">
        <x:is>
          <x:t xml:space="preserve"/>
        </x:is>
      </x:c>
      <x:c r="I143" s="7" t="inlineStr">
        <x:is>
          <x:t xml:space="preserve"/>
        </x:is>
      </x:c>
      <x:c r="J143" s="7" t="inlineStr">
        <x:is>
          <x:t xml:space="preserve"/>
        </x:is>
      </x:c>
      <x:c r="K143" s="6" t="inlineStr">
        <x:is>
          <x:t xml:space="preserve"/>
        </x:is>
      </x:c>
      <x:c r="L143" s="7" t="inlineStr">
        <x:is>
          <x:t xml:space="preserve"/>
        </x:is>
      </x:c>
      <x:c r="M143" s="6" t="inlineStr">
        <x:is>
          <x:t xml:space="preserve"/>
        </x:is>
      </x:c>
      <x:c r="N143" s="6" t="inlineStr">
        <x:is>
          <x:t xml:space="preserve"/>
        </x:is>
      </x:c>
    </x:row>
    <x:row r="144">
      <x:c r="A144" s="7">
        <x:f>IF(B144="","", "T-"&amp;TEXT(ROW()-1,"00000"))</x:f>
      </x:c>
      <x:c r="B144" s="7" t="inlineStr">
        <x:is>
          <x:t xml:space="preserve"/>
        </x:is>
      </x:c>
      <x:c r="C144" s="7" t="inlineStr">
        <x:is>
          <x:t xml:space="preserve"/>
        </x:is>
      </x:c>
      <x:c r="D144" s="7">
        <x:f>IF(B144="","",VALUE(MID(B144,2,4)))</x:f>
      </x:c>
      <x:c r="E144" s="7">
        <x:f>IF(B144="","",MID(B144,6,2))</x:f>
      </x:c>
      <x:c r="F144" s="8" t="inlineStr">
        <x:is>
          <x:t xml:space="preserve"/>
        </x:is>
      </x:c>
      <x:c r="G144" s="6" t="inlineStr">
        <x:is>
          <x:t xml:space="preserve"/>
        </x:is>
      </x:c>
      <x:c r="H144" s="7" t="inlineStr">
        <x:is>
          <x:t xml:space="preserve"/>
        </x:is>
      </x:c>
      <x:c r="I144" s="7" t="inlineStr">
        <x:is>
          <x:t xml:space="preserve"/>
        </x:is>
      </x:c>
      <x:c r="J144" s="7" t="inlineStr">
        <x:is>
          <x:t xml:space="preserve"/>
        </x:is>
      </x:c>
      <x:c r="K144" s="6" t="inlineStr">
        <x:is>
          <x:t xml:space="preserve"/>
        </x:is>
      </x:c>
      <x:c r="L144" s="7" t="inlineStr">
        <x:is>
          <x:t xml:space="preserve"/>
        </x:is>
      </x:c>
      <x:c r="M144" s="6" t="inlineStr">
        <x:is>
          <x:t xml:space="preserve"/>
        </x:is>
      </x:c>
      <x:c r="N144" s="6" t="inlineStr">
        <x:is>
          <x:t xml:space="preserve"/>
        </x:is>
      </x:c>
    </x:row>
    <x:row r="145">
      <x:c r="A145" s="7">
        <x:f>IF(B145="","", "T-"&amp;TEXT(ROW()-1,"00000"))</x:f>
      </x:c>
      <x:c r="B145" s="7" t="inlineStr">
        <x:is>
          <x:t xml:space="preserve"/>
        </x:is>
      </x:c>
      <x:c r="C145" s="7" t="inlineStr">
        <x:is>
          <x:t xml:space="preserve"/>
        </x:is>
      </x:c>
      <x:c r="D145" s="7">
        <x:f>IF(B145="","",VALUE(MID(B145,2,4)))</x:f>
      </x:c>
      <x:c r="E145" s="7">
        <x:f>IF(B145="","",MID(B145,6,2))</x:f>
      </x:c>
      <x:c r="F145" s="8" t="inlineStr">
        <x:is>
          <x:t xml:space="preserve"/>
        </x:is>
      </x:c>
      <x:c r="G145" s="6" t="inlineStr">
        <x:is>
          <x:t xml:space="preserve"/>
        </x:is>
      </x:c>
      <x:c r="H145" s="7" t="inlineStr">
        <x:is>
          <x:t xml:space="preserve"/>
        </x:is>
      </x:c>
      <x:c r="I145" s="7" t="inlineStr">
        <x:is>
          <x:t xml:space="preserve"/>
        </x:is>
      </x:c>
      <x:c r="J145" s="7" t="inlineStr">
        <x:is>
          <x:t xml:space="preserve"/>
        </x:is>
      </x:c>
      <x:c r="K145" s="6" t="inlineStr">
        <x:is>
          <x:t xml:space="preserve"/>
        </x:is>
      </x:c>
      <x:c r="L145" s="7" t="inlineStr">
        <x:is>
          <x:t xml:space="preserve"/>
        </x:is>
      </x:c>
      <x:c r="M145" s="6" t="inlineStr">
        <x:is>
          <x:t xml:space="preserve"/>
        </x:is>
      </x:c>
      <x:c r="N145" s="6" t="inlineStr">
        <x:is>
          <x:t xml:space="preserve"/>
        </x:is>
      </x:c>
    </x:row>
    <x:row r="146">
      <x:c r="A146" s="7">
        <x:f>IF(B146="","", "T-"&amp;TEXT(ROW()-1,"00000"))</x:f>
      </x:c>
      <x:c r="B146" s="7" t="inlineStr">
        <x:is>
          <x:t xml:space="preserve"/>
        </x:is>
      </x:c>
      <x:c r="C146" s="7" t="inlineStr">
        <x:is>
          <x:t xml:space="preserve"/>
        </x:is>
      </x:c>
      <x:c r="D146" s="7">
        <x:f>IF(B146="","",VALUE(MID(B146,2,4)))</x:f>
      </x:c>
      <x:c r="E146" s="7">
        <x:f>IF(B146="","",MID(B146,6,2))</x:f>
      </x:c>
      <x:c r="F146" s="8" t="inlineStr">
        <x:is>
          <x:t xml:space="preserve"/>
        </x:is>
      </x:c>
      <x:c r="G146" s="6" t="inlineStr">
        <x:is>
          <x:t xml:space="preserve"/>
        </x:is>
      </x:c>
      <x:c r="H146" s="7" t="inlineStr">
        <x:is>
          <x:t xml:space="preserve"/>
        </x:is>
      </x:c>
      <x:c r="I146" s="7" t="inlineStr">
        <x:is>
          <x:t xml:space="preserve"/>
        </x:is>
      </x:c>
      <x:c r="J146" s="7" t="inlineStr">
        <x:is>
          <x:t xml:space="preserve"/>
        </x:is>
      </x:c>
      <x:c r="K146" s="6" t="inlineStr">
        <x:is>
          <x:t xml:space="preserve"/>
        </x:is>
      </x:c>
      <x:c r="L146" s="7" t="inlineStr">
        <x:is>
          <x:t xml:space="preserve"/>
        </x:is>
      </x:c>
      <x:c r="M146" s="6" t="inlineStr">
        <x:is>
          <x:t xml:space="preserve"/>
        </x:is>
      </x:c>
      <x:c r="N146" s="6" t="inlineStr">
        <x:is>
          <x:t xml:space="preserve"/>
        </x:is>
      </x:c>
    </x:row>
    <x:row r="147">
      <x:c r="A147" s="7">
        <x:f>IF(B147="","", "T-"&amp;TEXT(ROW()-1,"00000"))</x:f>
      </x:c>
      <x:c r="B147" s="7" t="inlineStr">
        <x:is>
          <x:t xml:space="preserve"/>
        </x:is>
      </x:c>
      <x:c r="C147" s="7" t="inlineStr">
        <x:is>
          <x:t xml:space="preserve"/>
        </x:is>
      </x:c>
      <x:c r="D147" s="7">
        <x:f>IF(B147="","",VALUE(MID(B147,2,4)))</x:f>
      </x:c>
      <x:c r="E147" s="7">
        <x:f>IF(B147="","",MID(B147,6,2))</x:f>
      </x:c>
      <x:c r="F147" s="8" t="inlineStr">
        <x:is>
          <x:t xml:space="preserve"/>
        </x:is>
      </x:c>
      <x:c r="G147" s="6" t="inlineStr">
        <x:is>
          <x:t xml:space="preserve"/>
        </x:is>
      </x:c>
      <x:c r="H147" s="7" t="inlineStr">
        <x:is>
          <x:t xml:space="preserve"/>
        </x:is>
      </x:c>
      <x:c r="I147" s="7" t="inlineStr">
        <x:is>
          <x:t xml:space="preserve"/>
        </x:is>
      </x:c>
      <x:c r="J147" s="7" t="inlineStr">
        <x:is>
          <x:t xml:space="preserve"/>
        </x:is>
      </x:c>
      <x:c r="K147" s="6" t="inlineStr">
        <x:is>
          <x:t xml:space="preserve"/>
        </x:is>
      </x:c>
      <x:c r="L147" s="7" t="inlineStr">
        <x:is>
          <x:t xml:space="preserve"/>
        </x:is>
      </x:c>
      <x:c r="M147" s="6" t="inlineStr">
        <x:is>
          <x:t xml:space="preserve"/>
        </x:is>
      </x:c>
      <x:c r="N147" s="6" t="inlineStr">
        <x:is>
          <x:t xml:space="preserve"/>
        </x:is>
      </x:c>
    </x:row>
    <x:row r="148">
      <x:c r="A148" s="7">
        <x:f>IF(B148="","", "T-"&amp;TEXT(ROW()-1,"00000"))</x:f>
      </x:c>
      <x:c r="B148" s="7" t="inlineStr">
        <x:is>
          <x:t xml:space="preserve"/>
        </x:is>
      </x:c>
      <x:c r="C148" s="7" t="inlineStr">
        <x:is>
          <x:t xml:space="preserve"/>
        </x:is>
      </x:c>
      <x:c r="D148" s="7">
        <x:f>IF(B148="","",VALUE(MID(B148,2,4)))</x:f>
      </x:c>
      <x:c r="E148" s="7">
        <x:f>IF(B148="","",MID(B148,6,2))</x:f>
      </x:c>
      <x:c r="F148" s="8" t="inlineStr">
        <x:is>
          <x:t xml:space="preserve"/>
        </x:is>
      </x:c>
      <x:c r="G148" s="6" t="inlineStr">
        <x:is>
          <x:t xml:space="preserve"/>
        </x:is>
      </x:c>
      <x:c r="H148" s="7" t="inlineStr">
        <x:is>
          <x:t xml:space="preserve"/>
        </x:is>
      </x:c>
      <x:c r="I148" s="7" t="inlineStr">
        <x:is>
          <x:t xml:space="preserve"/>
        </x:is>
      </x:c>
      <x:c r="J148" s="7" t="inlineStr">
        <x:is>
          <x:t xml:space="preserve"/>
        </x:is>
      </x:c>
      <x:c r="K148" s="6" t="inlineStr">
        <x:is>
          <x:t xml:space="preserve"/>
        </x:is>
      </x:c>
      <x:c r="L148" s="7" t="inlineStr">
        <x:is>
          <x:t xml:space="preserve"/>
        </x:is>
      </x:c>
      <x:c r="M148" s="6" t="inlineStr">
        <x:is>
          <x:t xml:space="preserve"/>
        </x:is>
      </x:c>
      <x:c r="N148" s="6" t="inlineStr">
        <x:is>
          <x:t xml:space="preserve"/>
        </x:is>
      </x:c>
    </x:row>
    <x:row r="149">
      <x:c r="A149" s="7">
        <x:f>IF(B149="","", "T-"&amp;TEXT(ROW()-1,"00000"))</x:f>
      </x:c>
      <x:c r="B149" s="7" t="inlineStr">
        <x:is>
          <x:t xml:space="preserve"/>
        </x:is>
      </x:c>
      <x:c r="C149" s="7" t="inlineStr">
        <x:is>
          <x:t xml:space="preserve"/>
        </x:is>
      </x:c>
      <x:c r="D149" s="7">
        <x:f>IF(B149="","",VALUE(MID(B149,2,4)))</x:f>
      </x:c>
      <x:c r="E149" s="7">
        <x:f>IF(B149="","",MID(B149,6,2))</x:f>
      </x:c>
      <x:c r="F149" s="8" t="inlineStr">
        <x:is>
          <x:t xml:space="preserve"/>
        </x:is>
      </x:c>
      <x:c r="G149" s="6" t="inlineStr">
        <x:is>
          <x:t xml:space="preserve"/>
        </x:is>
      </x:c>
      <x:c r="H149" s="7" t="inlineStr">
        <x:is>
          <x:t xml:space="preserve"/>
        </x:is>
      </x:c>
      <x:c r="I149" s="7" t="inlineStr">
        <x:is>
          <x:t xml:space="preserve"/>
        </x:is>
      </x:c>
      <x:c r="J149" s="7" t="inlineStr">
        <x:is>
          <x:t xml:space="preserve"/>
        </x:is>
      </x:c>
      <x:c r="K149" s="6" t="inlineStr">
        <x:is>
          <x:t xml:space="preserve"/>
        </x:is>
      </x:c>
      <x:c r="L149" s="7" t="inlineStr">
        <x:is>
          <x:t xml:space="preserve"/>
        </x:is>
      </x:c>
      <x:c r="M149" s="6" t="inlineStr">
        <x:is>
          <x:t xml:space="preserve"/>
        </x:is>
      </x:c>
      <x:c r="N149" s="6" t="inlineStr">
        <x:is>
          <x:t xml:space="preserve"/>
        </x:is>
      </x:c>
    </x:row>
    <x:row r="150">
      <x:c r="A150" s="7">
        <x:f>IF(B150="","", "T-"&amp;TEXT(ROW()-1,"00000"))</x:f>
      </x:c>
      <x:c r="B150" s="7" t="inlineStr">
        <x:is>
          <x:t xml:space="preserve"/>
        </x:is>
      </x:c>
      <x:c r="C150" s="7" t="inlineStr">
        <x:is>
          <x:t xml:space="preserve"/>
        </x:is>
      </x:c>
      <x:c r="D150" s="7">
        <x:f>IF(B150="","",VALUE(MID(B150,2,4)))</x:f>
      </x:c>
      <x:c r="E150" s="7">
        <x:f>IF(B150="","",MID(B150,6,2))</x:f>
      </x:c>
      <x:c r="F150" s="8" t="inlineStr">
        <x:is>
          <x:t xml:space="preserve"/>
        </x:is>
      </x:c>
      <x:c r="G150" s="6" t="inlineStr">
        <x:is>
          <x:t xml:space="preserve"/>
        </x:is>
      </x:c>
      <x:c r="H150" s="7" t="inlineStr">
        <x:is>
          <x:t xml:space="preserve"/>
        </x:is>
      </x:c>
      <x:c r="I150" s="7" t="inlineStr">
        <x:is>
          <x:t xml:space="preserve"/>
        </x:is>
      </x:c>
      <x:c r="J150" s="7" t="inlineStr">
        <x:is>
          <x:t xml:space="preserve"/>
        </x:is>
      </x:c>
      <x:c r="K150" s="6" t="inlineStr">
        <x:is>
          <x:t xml:space="preserve"/>
        </x:is>
      </x:c>
      <x:c r="L150" s="7" t="inlineStr">
        <x:is>
          <x:t xml:space="preserve"/>
        </x:is>
      </x:c>
      <x:c r="M150" s="6" t="inlineStr">
        <x:is>
          <x:t xml:space="preserve"/>
        </x:is>
      </x:c>
      <x:c r="N150" s="6" t="inlineStr">
        <x:is>
          <x:t xml:space="preserve"/>
        </x:is>
      </x:c>
    </x:row>
    <x:row r="151">
      <x:c r="A151" s="7">
        <x:f>IF(B151="","", "T-"&amp;TEXT(ROW()-1,"00000"))</x:f>
      </x:c>
      <x:c r="B151" s="7" t="inlineStr">
        <x:is>
          <x:t xml:space="preserve"/>
        </x:is>
      </x:c>
      <x:c r="C151" s="7" t="inlineStr">
        <x:is>
          <x:t xml:space="preserve"/>
        </x:is>
      </x:c>
      <x:c r="D151" s="7">
        <x:f>IF(B151="","",VALUE(MID(B151,2,4)))</x:f>
      </x:c>
      <x:c r="E151" s="7">
        <x:f>IF(B151="","",MID(B151,6,2))</x:f>
      </x:c>
      <x:c r="F151" s="8" t="inlineStr">
        <x:is>
          <x:t xml:space="preserve"/>
        </x:is>
      </x:c>
      <x:c r="G151" s="6" t="inlineStr">
        <x:is>
          <x:t xml:space="preserve"/>
        </x:is>
      </x:c>
      <x:c r="H151" s="7" t="inlineStr">
        <x:is>
          <x:t xml:space="preserve"/>
        </x:is>
      </x:c>
      <x:c r="I151" s="7" t="inlineStr">
        <x:is>
          <x:t xml:space="preserve"/>
        </x:is>
      </x:c>
      <x:c r="J151" s="7" t="inlineStr">
        <x:is>
          <x:t xml:space="preserve"/>
        </x:is>
      </x:c>
      <x:c r="K151" s="6" t="inlineStr">
        <x:is>
          <x:t xml:space="preserve"/>
        </x:is>
      </x:c>
      <x:c r="L151" s="7" t="inlineStr">
        <x:is>
          <x:t xml:space="preserve"/>
        </x:is>
      </x:c>
      <x:c r="M151" s="6" t="inlineStr">
        <x:is>
          <x:t xml:space="preserve"/>
        </x:is>
      </x:c>
      <x:c r="N151" s="6" t="inlineStr">
        <x:is>
          <x:t xml:space="preserve"/>
        </x:is>
      </x:c>
    </x:row>
    <x:row r="152">
      <x:c r="A152" s="7">
        <x:f>IF(B152="","", "T-"&amp;TEXT(ROW()-1,"00000"))</x:f>
      </x:c>
      <x:c r="B152" s="7" t="inlineStr">
        <x:is>
          <x:t xml:space="preserve"/>
        </x:is>
      </x:c>
      <x:c r="C152" s="7" t="inlineStr">
        <x:is>
          <x:t xml:space="preserve"/>
        </x:is>
      </x:c>
      <x:c r="D152" s="7">
        <x:f>IF(B152="","",VALUE(MID(B152,2,4)))</x:f>
      </x:c>
      <x:c r="E152" s="7">
        <x:f>IF(B152="","",MID(B152,6,2))</x:f>
      </x:c>
      <x:c r="F152" s="8" t="inlineStr">
        <x:is>
          <x:t xml:space="preserve"/>
        </x:is>
      </x:c>
      <x:c r="G152" s="6" t="inlineStr">
        <x:is>
          <x:t xml:space="preserve"/>
        </x:is>
      </x:c>
      <x:c r="H152" s="7" t="inlineStr">
        <x:is>
          <x:t xml:space="preserve"/>
        </x:is>
      </x:c>
      <x:c r="I152" s="7" t="inlineStr">
        <x:is>
          <x:t xml:space="preserve"/>
        </x:is>
      </x:c>
      <x:c r="J152" s="7" t="inlineStr">
        <x:is>
          <x:t xml:space="preserve"/>
        </x:is>
      </x:c>
      <x:c r="K152" s="6" t="inlineStr">
        <x:is>
          <x:t xml:space="preserve"/>
        </x:is>
      </x:c>
      <x:c r="L152" s="7" t="inlineStr">
        <x:is>
          <x:t xml:space="preserve"/>
        </x:is>
      </x:c>
      <x:c r="M152" s="6" t="inlineStr">
        <x:is>
          <x:t xml:space="preserve"/>
        </x:is>
      </x:c>
      <x:c r="N152" s="6" t="inlineStr">
        <x:is>
          <x:t xml:space="preserve"/>
        </x:is>
      </x:c>
    </x:row>
    <x:row r="153">
      <x:c r="A153" s="7">
        <x:f>IF(B153="","", "T-"&amp;TEXT(ROW()-1,"00000"))</x:f>
      </x:c>
      <x:c r="B153" s="7" t="inlineStr">
        <x:is>
          <x:t xml:space="preserve"/>
        </x:is>
      </x:c>
      <x:c r="C153" s="7" t="inlineStr">
        <x:is>
          <x:t xml:space="preserve"/>
        </x:is>
      </x:c>
      <x:c r="D153" s="7">
        <x:f>IF(B153="","",VALUE(MID(B153,2,4)))</x:f>
      </x:c>
      <x:c r="E153" s="7">
        <x:f>IF(B153="","",MID(B153,6,2))</x:f>
      </x:c>
      <x:c r="F153" s="8" t="inlineStr">
        <x:is>
          <x:t xml:space="preserve"/>
        </x:is>
      </x:c>
      <x:c r="G153" s="6" t="inlineStr">
        <x:is>
          <x:t xml:space="preserve"/>
        </x:is>
      </x:c>
      <x:c r="H153" s="7" t="inlineStr">
        <x:is>
          <x:t xml:space="preserve"/>
        </x:is>
      </x:c>
      <x:c r="I153" s="7" t="inlineStr">
        <x:is>
          <x:t xml:space="preserve"/>
        </x:is>
      </x:c>
      <x:c r="J153" s="7" t="inlineStr">
        <x:is>
          <x:t xml:space="preserve"/>
        </x:is>
      </x:c>
      <x:c r="K153" s="6" t="inlineStr">
        <x:is>
          <x:t xml:space="preserve"/>
        </x:is>
      </x:c>
      <x:c r="L153" s="7" t="inlineStr">
        <x:is>
          <x:t xml:space="preserve"/>
        </x:is>
      </x:c>
      <x:c r="M153" s="6" t="inlineStr">
        <x:is>
          <x:t xml:space="preserve"/>
        </x:is>
      </x:c>
      <x:c r="N153" s="6" t="inlineStr">
        <x:is>
          <x:t xml:space="preserve"/>
        </x:is>
      </x:c>
    </x:row>
    <x:row r="154">
      <x:c r="A154" s="7">
        <x:f>IF(B154="","", "T-"&amp;TEXT(ROW()-1,"00000"))</x:f>
      </x:c>
      <x:c r="B154" s="7" t="inlineStr">
        <x:is>
          <x:t xml:space="preserve"/>
        </x:is>
      </x:c>
      <x:c r="C154" s="7" t="inlineStr">
        <x:is>
          <x:t xml:space="preserve"/>
        </x:is>
      </x:c>
      <x:c r="D154" s="7">
        <x:f>IF(B154="","",VALUE(MID(B154,2,4)))</x:f>
      </x:c>
      <x:c r="E154" s="7">
        <x:f>IF(B154="","",MID(B154,6,2))</x:f>
      </x:c>
      <x:c r="F154" s="8" t="inlineStr">
        <x:is>
          <x:t xml:space="preserve"/>
        </x:is>
      </x:c>
      <x:c r="G154" s="6" t="inlineStr">
        <x:is>
          <x:t xml:space="preserve"/>
        </x:is>
      </x:c>
      <x:c r="H154" s="7" t="inlineStr">
        <x:is>
          <x:t xml:space="preserve"/>
        </x:is>
      </x:c>
      <x:c r="I154" s="7" t="inlineStr">
        <x:is>
          <x:t xml:space="preserve"/>
        </x:is>
      </x:c>
      <x:c r="J154" s="7" t="inlineStr">
        <x:is>
          <x:t xml:space="preserve"/>
        </x:is>
      </x:c>
      <x:c r="K154" s="6" t="inlineStr">
        <x:is>
          <x:t xml:space="preserve"/>
        </x:is>
      </x:c>
      <x:c r="L154" s="7" t="inlineStr">
        <x:is>
          <x:t xml:space="preserve"/>
        </x:is>
      </x:c>
      <x:c r="M154" s="6" t="inlineStr">
        <x:is>
          <x:t xml:space="preserve"/>
        </x:is>
      </x:c>
      <x:c r="N154" s="6" t="inlineStr">
        <x:is>
          <x:t xml:space="preserve"/>
        </x:is>
      </x:c>
    </x:row>
    <x:row r="155">
      <x:c r="A155" s="7">
        <x:f>IF(B155="","", "T-"&amp;TEXT(ROW()-1,"00000"))</x:f>
      </x:c>
      <x:c r="B155" s="7" t="inlineStr">
        <x:is>
          <x:t xml:space="preserve"/>
        </x:is>
      </x:c>
      <x:c r="C155" s="7" t="inlineStr">
        <x:is>
          <x:t xml:space="preserve"/>
        </x:is>
      </x:c>
      <x:c r="D155" s="7">
        <x:f>IF(B155="","",VALUE(MID(B155,2,4)))</x:f>
      </x:c>
      <x:c r="E155" s="7">
        <x:f>IF(B155="","",MID(B155,6,2))</x:f>
      </x:c>
      <x:c r="F155" s="8" t="inlineStr">
        <x:is>
          <x:t xml:space="preserve"/>
        </x:is>
      </x:c>
      <x:c r="G155" s="6" t="inlineStr">
        <x:is>
          <x:t xml:space="preserve"/>
        </x:is>
      </x:c>
      <x:c r="H155" s="7" t="inlineStr">
        <x:is>
          <x:t xml:space="preserve"/>
        </x:is>
      </x:c>
      <x:c r="I155" s="7" t="inlineStr">
        <x:is>
          <x:t xml:space="preserve"/>
        </x:is>
      </x:c>
      <x:c r="J155" s="7" t="inlineStr">
        <x:is>
          <x:t xml:space="preserve"/>
        </x:is>
      </x:c>
      <x:c r="K155" s="6" t="inlineStr">
        <x:is>
          <x:t xml:space="preserve"/>
        </x:is>
      </x:c>
      <x:c r="L155" s="7" t="inlineStr">
        <x:is>
          <x:t xml:space="preserve"/>
        </x:is>
      </x:c>
      <x:c r="M155" s="6" t="inlineStr">
        <x:is>
          <x:t xml:space="preserve"/>
        </x:is>
      </x:c>
      <x:c r="N155" s="6" t="inlineStr">
        <x:is>
          <x:t xml:space="preserve"/>
        </x:is>
      </x:c>
    </x:row>
    <x:row r="156">
      <x:c r="A156" s="7">
        <x:f>IF(B156="","", "T-"&amp;TEXT(ROW()-1,"00000"))</x:f>
      </x:c>
      <x:c r="B156" s="7" t="inlineStr">
        <x:is>
          <x:t xml:space="preserve"/>
        </x:is>
      </x:c>
      <x:c r="C156" s="7" t="inlineStr">
        <x:is>
          <x:t xml:space="preserve"/>
        </x:is>
      </x:c>
      <x:c r="D156" s="7">
        <x:f>IF(B156="","",VALUE(MID(B156,2,4)))</x:f>
      </x:c>
      <x:c r="E156" s="7">
        <x:f>IF(B156="","",MID(B156,6,2))</x:f>
      </x:c>
      <x:c r="F156" s="8" t="inlineStr">
        <x:is>
          <x:t xml:space="preserve"/>
        </x:is>
      </x:c>
      <x:c r="G156" s="6" t="inlineStr">
        <x:is>
          <x:t xml:space="preserve"/>
        </x:is>
      </x:c>
      <x:c r="H156" s="7" t="inlineStr">
        <x:is>
          <x:t xml:space="preserve"/>
        </x:is>
      </x:c>
      <x:c r="I156" s="7" t="inlineStr">
        <x:is>
          <x:t xml:space="preserve"/>
        </x:is>
      </x:c>
      <x:c r="J156" s="7" t="inlineStr">
        <x:is>
          <x:t xml:space="preserve"/>
        </x:is>
      </x:c>
      <x:c r="K156" s="6" t="inlineStr">
        <x:is>
          <x:t xml:space="preserve"/>
        </x:is>
      </x:c>
      <x:c r="L156" s="7" t="inlineStr">
        <x:is>
          <x:t xml:space="preserve"/>
        </x:is>
      </x:c>
      <x:c r="M156" s="6" t="inlineStr">
        <x:is>
          <x:t xml:space="preserve"/>
        </x:is>
      </x:c>
      <x:c r="N156" s="6" t="inlineStr">
        <x:is>
          <x:t xml:space="preserve"/>
        </x:is>
      </x:c>
    </x:row>
    <x:row r="157">
      <x:c r="A157" s="7">
        <x:f>IF(B157="","", "T-"&amp;TEXT(ROW()-1,"00000"))</x:f>
      </x:c>
      <x:c r="B157" s="7" t="inlineStr">
        <x:is>
          <x:t xml:space="preserve"/>
        </x:is>
      </x:c>
      <x:c r="C157" s="7" t="inlineStr">
        <x:is>
          <x:t xml:space="preserve"/>
        </x:is>
      </x:c>
      <x:c r="D157" s="7">
        <x:f>IF(B157="","",VALUE(MID(B157,2,4)))</x:f>
      </x:c>
      <x:c r="E157" s="7">
        <x:f>IF(B157="","",MID(B157,6,2))</x:f>
      </x:c>
      <x:c r="F157" s="8" t="inlineStr">
        <x:is>
          <x:t xml:space="preserve"/>
        </x:is>
      </x:c>
      <x:c r="G157" s="6" t="inlineStr">
        <x:is>
          <x:t xml:space="preserve"/>
        </x:is>
      </x:c>
      <x:c r="H157" s="7" t="inlineStr">
        <x:is>
          <x:t xml:space="preserve"/>
        </x:is>
      </x:c>
      <x:c r="I157" s="7" t="inlineStr">
        <x:is>
          <x:t xml:space="preserve"/>
        </x:is>
      </x:c>
      <x:c r="J157" s="7" t="inlineStr">
        <x:is>
          <x:t xml:space="preserve"/>
        </x:is>
      </x:c>
      <x:c r="K157" s="6" t="inlineStr">
        <x:is>
          <x:t xml:space="preserve"/>
        </x:is>
      </x:c>
      <x:c r="L157" s="7" t="inlineStr">
        <x:is>
          <x:t xml:space="preserve"/>
        </x:is>
      </x:c>
      <x:c r="M157" s="6" t="inlineStr">
        <x:is>
          <x:t xml:space="preserve"/>
        </x:is>
      </x:c>
      <x:c r="N157" s="6" t="inlineStr">
        <x:is>
          <x:t xml:space="preserve"/>
        </x:is>
      </x:c>
    </x:row>
    <x:row r="158">
      <x:c r="A158" s="7">
        <x:f>IF(B158="","", "T-"&amp;TEXT(ROW()-1,"00000"))</x:f>
      </x:c>
      <x:c r="B158" s="7" t="inlineStr">
        <x:is>
          <x:t xml:space="preserve"/>
        </x:is>
      </x:c>
      <x:c r="C158" s="7" t="inlineStr">
        <x:is>
          <x:t xml:space="preserve"/>
        </x:is>
      </x:c>
      <x:c r="D158" s="7">
        <x:f>IF(B158="","",VALUE(MID(B158,2,4)))</x:f>
      </x:c>
      <x:c r="E158" s="7">
        <x:f>IF(B158="","",MID(B158,6,2))</x:f>
      </x:c>
      <x:c r="F158" s="8" t="inlineStr">
        <x:is>
          <x:t xml:space="preserve"/>
        </x:is>
      </x:c>
      <x:c r="G158" s="6" t="inlineStr">
        <x:is>
          <x:t xml:space="preserve"/>
        </x:is>
      </x:c>
      <x:c r="H158" s="7" t="inlineStr">
        <x:is>
          <x:t xml:space="preserve"/>
        </x:is>
      </x:c>
      <x:c r="I158" s="7" t="inlineStr">
        <x:is>
          <x:t xml:space="preserve"/>
        </x:is>
      </x:c>
      <x:c r="J158" s="7" t="inlineStr">
        <x:is>
          <x:t xml:space="preserve"/>
        </x:is>
      </x:c>
      <x:c r="K158" s="6" t="inlineStr">
        <x:is>
          <x:t xml:space="preserve"/>
        </x:is>
      </x:c>
      <x:c r="L158" s="7" t="inlineStr">
        <x:is>
          <x:t xml:space="preserve"/>
        </x:is>
      </x:c>
      <x:c r="M158" s="6" t="inlineStr">
        <x:is>
          <x:t xml:space="preserve"/>
        </x:is>
      </x:c>
      <x:c r="N158" s="6" t="inlineStr">
        <x:is>
          <x:t xml:space="preserve"/>
        </x:is>
      </x:c>
    </x:row>
    <x:row r="159">
      <x:c r="A159" s="7">
        <x:f>IF(B159="","", "T-"&amp;TEXT(ROW()-1,"00000"))</x:f>
      </x:c>
      <x:c r="B159" s="7" t="inlineStr">
        <x:is>
          <x:t xml:space="preserve"/>
        </x:is>
      </x:c>
      <x:c r="C159" s="7" t="inlineStr">
        <x:is>
          <x:t xml:space="preserve"/>
        </x:is>
      </x:c>
      <x:c r="D159" s="7">
        <x:f>IF(B159="","",VALUE(MID(B159,2,4)))</x:f>
      </x:c>
      <x:c r="E159" s="7">
        <x:f>IF(B159="","",MID(B159,6,2))</x:f>
      </x:c>
      <x:c r="F159" s="8" t="inlineStr">
        <x:is>
          <x:t xml:space="preserve"/>
        </x:is>
      </x:c>
      <x:c r="G159" s="6" t="inlineStr">
        <x:is>
          <x:t xml:space="preserve"/>
        </x:is>
      </x:c>
      <x:c r="H159" s="7" t="inlineStr">
        <x:is>
          <x:t xml:space="preserve"/>
        </x:is>
      </x:c>
      <x:c r="I159" s="7" t="inlineStr">
        <x:is>
          <x:t xml:space="preserve"/>
        </x:is>
      </x:c>
      <x:c r="J159" s="7" t="inlineStr">
        <x:is>
          <x:t xml:space="preserve"/>
        </x:is>
      </x:c>
      <x:c r="K159" s="6" t="inlineStr">
        <x:is>
          <x:t xml:space="preserve"/>
        </x:is>
      </x:c>
      <x:c r="L159" s="7" t="inlineStr">
        <x:is>
          <x:t xml:space="preserve"/>
        </x:is>
      </x:c>
      <x:c r="M159" s="6" t="inlineStr">
        <x:is>
          <x:t xml:space="preserve"/>
        </x:is>
      </x:c>
      <x:c r="N159" s="6" t="inlineStr">
        <x:is>
          <x:t xml:space="preserve"/>
        </x:is>
      </x:c>
    </x:row>
    <x:row r="160">
      <x:c r="A160" s="7">
        <x:f>IF(B160="","", "T-"&amp;TEXT(ROW()-1,"00000"))</x:f>
      </x:c>
      <x:c r="B160" s="7" t="inlineStr">
        <x:is>
          <x:t xml:space="preserve"/>
        </x:is>
      </x:c>
      <x:c r="C160" s="7" t="inlineStr">
        <x:is>
          <x:t xml:space="preserve"/>
        </x:is>
      </x:c>
      <x:c r="D160" s="7">
        <x:f>IF(B160="","",VALUE(MID(B160,2,4)))</x:f>
      </x:c>
      <x:c r="E160" s="7">
        <x:f>IF(B160="","",MID(B160,6,2))</x:f>
      </x:c>
      <x:c r="F160" s="8" t="inlineStr">
        <x:is>
          <x:t xml:space="preserve"/>
        </x:is>
      </x:c>
      <x:c r="G160" s="6" t="inlineStr">
        <x:is>
          <x:t xml:space="preserve"/>
        </x:is>
      </x:c>
      <x:c r="H160" s="7" t="inlineStr">
        <x:is>
          <x:t xml:space="preserve"/>
        </x:is>
      </x:c>
      <x:c r="I160" s="7" t="inlineStr">
        <x:is>
          <x:t xml:space="preserve"/>
        </x:is>
      </x:c>
      <x:c r="J160" s="7" t="inlineStr">
        <x:is>
          <x:t xml:space="preserve"/>
        </x:is>
      </x:c>
      <x:c r="K160" s="6" t="inlineStr">
        <x:is>
          <x:t xml:space="preserve"/>
        </x:is>
      </x:c>
      <x:c r="L160" s="7" t="inlineStr">
        <x:is>
          <x:t xml:space="preserve"/>
        </x:is>
      </x:c>
      <x:c r="M160" s="6" t="inlineStr">
        <x:is>
          <x:t xml:space="preserve"/>
        </x:is>
      </x:c>
      <x:c r="N160" s="6" t="inlineStr">
        <x:is>
          <x:t xml:space="preserve"/>
        </x:is>
      </x:c>
    </x:row>
    <x:row r="161">
      <x:c r="A161" s="7">
        <x:f>IF(B161="","", "T-"&amp;TEXT(ROW()-1,"00000"))</x:f>
      </x:c>
      <x:c r="B161" s="7" t="inlineStr">
        <x:is>
          <x:t xml:space="preserve"/>
        </x:is>
      </x:c>
      <x:c r="C161" s="7" t="inlineStr">
        <x:is>
          <x:t xml:space="preserve"/>
        </x:is>
      </x:c>
      <x:c r="D161" s="7">
        <x:f>IF(B161="","",VALUE(MID(B161,2,4)))</x:f>
      </x:c>
      <x:c r="E161" s="7">
        <x:f>IF(B161="","",MID(B161,6,2))</x:f>
      </x:c>
      <x:c r="F161" s="8" t="inlineStr">
        <x:is>
          <x:t xml:space="preserve"/>
        </x:is>
      </x:c>
      <x:c r="G161" s="6" t="inlineStr">
        <x:is>
          <x:t xml:space="preserve"/>
        </x:is>
      </x:c>
      <x:c r="H161" s="7" t="inlineStr">
        <x:is>
          <x:t xml:space="preserve"/>
        </x:is>
      </x:c>
      <x:c r="I161" s="7" t="inlineStr">
        <x:is>
          <x:t xml:space="preserve"/>
        </x:is>
      </x:c>
      <x:c r="J161" s="7" t="inlineStr">
        <x:is>
          <x:t xml:space="preserve"/>
        </x:is>
      </x:c>
      <x:c r="K161" s="6" t="inlineStr">
        <x:is>
          <x:t xml:space="preserve"/>
        </x:is>
      </x:c>
      <x:c r="L161" s="7" t="inlineStr">
        <x:is>
          <x:t xml:space="preserve"/>
        </x:is>
      </x:c>
      <x:c r="M161" s="6" t="inlineStr">
        <x:is>
          <x:t xml:space="preserve"/>
        </x:is>
      </x:c>
      <x:c r="N161" s="6" t="inlineStr">
        <x:is>
          <x:t xml:space="preserve"/>
        </x:is>
      </x:c>
    </x:row>
    <x:row r="162">
      <x:c r="A162" s="7">
        <x:f>IF(B162="","", "T-"&amp;TEXT(ROW()-1,"00000"))</x:f>
      </x:c>
      <x:c r="B162" s="7" t="inlineStr">
        <x:is>
          <x:t xml:space="preserve"/>
        </x:is>
      </x:c>
      <x:c r="C162" s="7" t="inlineStr">
        <x:is>
          <x:t xml:space="preserve"/>
        </x:is>
      </x:c>
      <x:c r="D162" s="7">
        <x:f>IF(B162="","",VALUE(MID(B162,2,4)))</x:f>
      </x:c>
      <x:c r="E162" s="7">
        <x:f>IF(B162="","",MID(B162,6,2))</x:f>
      </x:c>
      <x:c r="F162" s="8" t="inlineStr">
        <x:is>
          <x:t xml:space="preserve"/>
        </x:is>
      </x:c>
      <x:c r="G162" s="6" t="inlineStr">
        <x:is>
          <x:t xml:space="preserve"/>
        </x:is>
      </x:c>
      <x:c r="H162" s="7" t="inlineStr">
        <x:is>
          <x:t xml:space="preserve"/>
        </x:is>
      </x:c>
      <x:c r="I162" s="7" t="inlineStr">
        <x:is>
          <x:t xml:space="preserve"/>
        </x:is>
      </x:c>
      <x:c r="J162" s="7" t="inlineStr">
        <x:is>
          <x:t xml:space="preserve"/>
        </x:is>
      </x:c>
      <x:c r="K162" s="6" t="inlineStr">
        <x:is>
          <x:t xml:space="preserve"/>
        </x:is>
      </x:c>
      <x:c r="L162" s="7" t="inlineStr">
        <x:is>
          <x:t xml:space="preserve"/>
        </x:is>
      </x:c>
      <x:c r="M162" s="6" t="inlineStr">
        <x:is>
          <x:t xml:space="preserve"/>
        </x:is>
      </x:c>
      <x:c r="N162" s="6" t="inlineStr">
        <x:is>
          <x:t xml:space="preserve"/>
        </x:is>
      </x:c>
    </x:row>
    <x:row r="163">
      <x:c r="A163" s="7">
        <x:f>IF(B163="","", "T-"&amp;TEXT(ROW()-1,"00000"))</x:f>
      </x:c>
      <x:c r="B163" s="7" t="inlineStr">
        <x:is>
          <x:t xml:space="preserve"/>
        </x:is>
      </x:c>
      <x:c r="C163" s="7" t="inlineStr">
        <x:is>
          <x:t xml:space="preserve"/>
        </x:is>
      </x:c>
      <x:c r="D163" s="7">
        <x:f>IF(B163="","",VALUE(MID(B163,2,4)))</x:f>
      </x:c>
      <x:c r="E163" s="7">
        <x:f>IF(B163="","",MID(B163,6,2))</x:f>
      </x:c>
      <x:c r="F163" s="8" t="inlineStr">
        <x:is>
          <x:t xml:space="preserve"/>
        </x:is>
      </x:c>
      <x:c r="G163" s="6" t="inlineStr">
        <x:is>
          <x:t xml:space="preserve"/>
        </x:is>
      </x:c>
      <x:c r="H163" s="7" t="inlineStr">
        <x:is>
          <x:t xml:space="preserve"/>
        </x:is>
      </x:c>
      <x:c r="I163" s="7" t="inlineStr">
        <x:is>
          <x:t xml:space="preserve"/>
        </x:is>
      </x:c>
      <x:c r="J163" s="7" t="inlineStr">
        <x:is>
          <x:t xml:space="preserve"/>
        </x:is>
      </x:c>
      <x:c r="K163" s="6" t="inlineStr">
        <x:is>
          <x:t xml:space="preserve"/>
        </x:is>
      </x:c>
      <x:c r="L163" s="7" t="inlineStr">
        <x:is>
          <x:t xml:space="preserve"/>
        </x:is>
      </x:c>
      <x:c r="M163" s="6" t="inlineStr">
        <x:is>
          <x:t xml:space="preserve"/>
        </x:is>
      </x:c>
      <x:c r="N163" s="6" t="inlineStr">
        <x:is>
          <x:t xml:space="preserve"/>
        </x:is>
      </x:c>
    </x:row>
    <x:row r="164">
      <x:c r="A164" s="7">
        <x:f>IF(B164="","", "T-"&amp;TEXT(ROW()-1,"00000"))</x:f>
      </x:c>
      <x:c r="B164" s="7" t="inlineStr">
        <x:is>
          <x:t xml:space="preserve"/>
        </x:is>
      </x:c>
      <x:c r="C164" s="7" t="inlineStr">
        <x:is>
          <x:t xml:space="preserve"/>
        </x:is>
      </x:c>
      <x:c r="D164" s="7">
        <x:f>IF(B164="","",VALUE(MID(B164,2,4)))</x:f>
      </x:c>
      <x:c r="E164" s="7">
        <x:f>IF(B164="","",MID(B164,6,2))</x:f>
      </x:c>
      <x:c r="F164" s="8" t="inlineStr">
        <x:is>
          <x:t xml:space="preserve"/>
        </x:is>
      </x:c>
      <x:c r="G164" s="6" t="inlineStr">
        <x:is>
          <x:t xml:space="preserve"/>
        </x:is>
      </x:c>
      <x:c r="H164" s="7" t="inlineStr">
        <x:is>
          <x:t xml:space="preserve"/>
        </x:is>
      </x:c>
      <x:c r="I164" s="7" t="inlineStr">
        <x:is>
          <x:t xml:space="preserve"/>
        </x:is>
      </x:c>
      <x:c r="J164" s="7" t="inlineStr">
        <x:is>
          <x:t xml:space="preserve"/>
        </x:is>
      </x:c>
      <x:c r="K164" s="6" t="inlineStr">
        <x:is>
          <x:t xml:space="preserve"/>
        </x:is>
      </x:c>
      <x:c r="L164" s="7" t="inlineStr">
        <x:is>
          <x:t xml:space="preserve"/>
        </x:is>
      </x:c>
      <x:c r="M164" s="6" t="inlineStr">
        <x:is>
          <x:t xml:space="preserve"/>
        </x:is>
      </x:c>
      <x:c r="N164" s="6" t="inlineStr">
        <x:is>
          <x:t xml:space="preserve"/>
        </x:is>
      </x:c>
    </x:row>
    <x:row r="165">
      <x:c r="A165" s="7">
        <x:f>IF(B165="","", "T-"&amp;TEXT(ROW()-1,"00000"))</x:f>
      </x:c>
      <x:c r="B165" s="7" t="inlineStr">
        <x:is>
          <x:t xml:space="preserve"/>
        </x:is>
      </x:c>
      <x:c r="C165" s="7" t="inlineStr">
        <x:is>
          <x:t xml:space="preserve"/>
        </x:is>
      </x:c>
      <x:c r="D165" s="7">
        <x:f>IF(B165="","",VALUE(MID(B165,2,4)))</x:f>
      </x:c>
      <x:c r="E165" s="7">
        <x:f>IF(B165="","",MID(B165,6,2))</x:f>
      </x:c>
      <x:c r="F165" s="8" t="inlineStr">
        <x:is>
          <x:t xml:space="preserve"/>
        </x:is>
      </x:c>
      <x:c r="G165" s="6" t="inlineStr">
        <x:is>
          <x:t xml:space="preserve"/>
        </x:is>
      </x:c>
      <x:c r="H165" s="7" t="inlineStr">
        <x:is>
          <x:t xml:space="preserve"/>
        </x:is>
      </x:c>
      <x:c r="I165" s="7" t="inlineStr">
        <x:is>
          <x:t xml:space="preserve"/>
        </x:is>
      </x:c>
      <x:c r="J165" s="7" t="inlineStr">
        <x:is>
          <x:t xml:space="preserve"/>
        </x:is>
      </x:c>
      <x:c r="K165" s="6" t="inlineStr">
        <x:is>
          <x:t xml:space="preserve"/>
        </x:is>
      </x:c>
      <x:c r="L165" s="7" t="inlineStr">
        <x:is>
          <x:t xml:space="preserve"/>
        </x:is>
      </x:c>
      <x:c r="M165" s="6" t="inlineStr">
        <x:is>
          <x:t xml:space="preserve"/>
        </x:is>
      </x:c>
      <x:c r="N165" s="6" t="inlineStr">
        <x:is>
          <x:t xml:space="preserve"/>
        </x:is>
      </x:c>
    </x:row>
    <x:row r="166">
      <x:c r="A166" s="7">
        <x:f>IF(B166="","", "T-"&amp;TEXT(ROW()-1,"00000"))</x:f>
      </x:c>
      <x:c r="B166" s="7" t="inlineStr">
        <x:is>
          <x:t xml:space="preserve"/>
        </x:is>
      </x:c>
      <x:c r="C166" s="7" t="inlineStr">
        <x:is>
          <x:t xml:space="preserve"/>
        </x:is>
      </x:c>
      <x:c r="D166" s="7">
        <x:f>IF(B166="","",VALUE(MID(B166,2,4)))</x:f>
      </x:c>
      <x:c r="E166" s="7">
        <x:f>IF(B166="","",MID(B166,6,2))</x:f>
      </x:c>
      <x:c r="F166" s="8" t="inlineStr">
        <x:is>
          <x:t xml:space="preserve"/>
        </x:is>
      </x:c>
      <x:c r="G166" s="6" t="inlineStr">
        <x:is>
          <x:t xml:space="preserve"/>
        </x:is>
      </x:c>
      <x:c r="H166" s="7" t="inlineStr">
        <x:is>
          <x:t xml:space="preserve"/>
        </x:is>
      </x:c>
      <x:c r="I166" s="7" t="inlineStr">
        <x:is>
          <x:t xml:space="preserve"/>
        </x:is>
      </x:c>
      <x:c r="J166" s="7" t="inlineStr">
        <x:is>
          <x:t xml:space="preserve"/>
        </x:is>
      </x:c>
      <x:c r="K166" s="6" t="inlineStr">
        <x:is>
          <x:t xml:space="preserve"/>
        </x:is>
      </x:c>
      <x:c r="L166" s="7" t="inlineStr">
        <x:is>
          <x:t xml:space="preserve"/>
        </x:is>
      </x:c>
      <x:c r="M166" s="6" t="inlineStr">
        <x:is>
          <x:t xml:space="preserve"/>
        </x:is>
      </x:c>
      <x:c r="N166" s="6" t="inlineStr">
        <x:is>
          <x:t xml:space="preserve"/>
        </x:is>
      </x:c>
    </x:row>
    <x:row r="167">
      <x:c r="A167" s="7">
        <x:f>IF(B167="","", "T-"&amp;TEXT(ROW()-1,"00000"))</x:f>
      </x:c>
      <x:c r="B167" s="7" t="inlineStr">
        <x:is>
          <x:t xml:space="preserve"/>
        </x:is>
      </x:c>
      <x:c r="C167" s="7" t="inlineStr">
        <x:is>
          <x:t xml:space="preserve"/>
        </x:is>
      </x:c>
      <x:c r="D167" s="7">
        <x:f>IF(B167="","",VALUE(MID(B167,2,4)))</x:f>
      </x:c>
      <x:c r="E167" s="7">
        <x:f>IF(B167="","",MID(B167,6,2))</x:f>
      </x:c>
      <x:c r="F167" s="8" t="inlineStr">
        <x:is>
          <x:t xml:space="preserve"/>
        </x:is>
      </x:c>
      <x:c r="G167" s="6" t="inlineStr">
        <x:is>
          <x:t xml:space="preserve"/>
        </x:is>
      </x:c>
      <x:c r="H167" s="7" t="inlineStr">
        <x:is>
          <x:t xml:space="preserve"/>
        </x:is>
      </x:c>
      <x:c r="I167" s="7" t="inlineStr">
        <x:is>
          <x:t xml:space="preserve"/>
        </x:is>
      </x:c>
      <x:c r="J167" s="7" t="inlineStr">
        <x:is>
          <x:t xml:space="preserve"/>
        </x:is>
      </x:c>
      <x:c r="K167" s="6" t="inlineStr">
        <x:is>
          <x:t xml:space="preserve"/>
        </x:is>
      </x:c>
      <x:c r="L167" s="7" t="inlineStr">
        <x:is>
          <x:t xml:space="preserve"/>
        </x:is>
      </x:c>
      <x:c r="M167" s="6" t="inlineStr">
        <x:is>
          <x:t xml:space="preserve"/>
        </x:is>
      </x:c>
      <x:c r="N167" s="6" t="inlineStr">
        <x:is>
          <x:t xml:space="preserve"/>
        </x:is>
      </x:c>
    </x:row>
    <x:row r="168">
      <x:c r="A168" s="7">
        <x:f>IF(B168="","", "T-"&amp;TEXT(ROW()-1,"00000"))</x:f>
      </x:c>
      <x:c r="B168" s="7" t="inlineStr">
        <x:is>
          <x:t xml:space="preserve"/>
        </x:is>
      </x:c>
      <x:c r="C168" s="7" t="inlineStr">
        <x:is>
          <x:t xml:space="preserve"/>
        </x:is>
      </x:c>
      <x:c r="D168" s="7">
        <x:f>IF(B168="","",VALUE(MID(B168,2,4)))</x:f>
      </x:c>
      <x:c r="E168" s="7">
        <x:f>IF(B168="","",MID(B168,6,2))</x:f>
      </x:c>
      <x:c r="F168" s="8" t="inlineStr">
        <x:is>
          <x:t xml:space="preserve"/>
        </x:is>
      </x:c>
      <x:c r="G168" s="6" t="inlineStr">
        <x:is>
          <x:t xml:space="preserve"/>
        </x:is>
      </x:c>
      <x:c r="H168" s="7" t="inlineStr">
        <x:is>
          <x:t xml:space="preserve"/>
        </x:is>
      </x:c>
      <x:c r="I168" s="7" t="inlineStr">
        <x:is>
          <x:t xml:space="preserve"/>
        </x:is>
      </x:c>
      <x:c r="J168" s="7" t="inlineStr">
        <x:is>
          <x:t xml:space="preserve"/>
        </x:is>
      </x:c>
      <x:c r="K168" s="6" t="inlineStr">
        <x:is>
          <x:t xml:space="preserve"/>
        </x:is>
      </x:c>
      <x:c r="L168" s="7" t="inlineStr">
        <x:is>
          <x:t xml:space="preserve"/>
        </x:is>
      </x:c>
      <x:c r="M168" s="6" t="inlineStr">
        <x:is>
          <x:t xml:space="preserve"/>
        </x:is>
      </x:c>
      <x:c r="N168" s="6" t="inlineStr">
        <x:is>
          <x:t xml:space="preserve"/>
        </x:is>
      </x:c>
    </x:row>
    <x:row r="169">
      <x:c r="A169" s="7">
        <x:f>IF(B169="","", "T-"&amp;TEXT(ROW()-1,"00000"))</x:f>
      </x:c>
      <x:c r="B169" s="7" t="inlineStr">
        <x:is>
          <x:t xml:space="preserve"/>
        </x:is>
      </x:c>
      <x:c r="C169" s="7" t="inlineStr">
        <x:is>
          <x:t xml:space="preserve"/>
        </x:is>
      </x:c>
      <x:c r="D169" s="7">
        <x:f>IF(B169="","",VALUE(MID(B169,2,4)))</x:f>
      </x:c>
      <x:c r="E169" s="7">
        <x:f>IF(B169="","",MID(B169,6,2))</x:f>
      </x:c>
      <x:c r="F169" s="8" t="inlineStr">
        <x:is>
          <x:t xml:space="preserve"/>
        </x:is>
      </x:c>
      <x:c r="G169" s="6" t="inlineStr">
        <x:is>
          <x:t xml:space="preserve"/>
        </x:is>
      </x:c>
      <x:c r="H169" s="7" t="inlineStr">
        <x:is>
          <x:t xml:space="preserve"/>
        </x:is>
      </x:c>
      <x:c r="I169" s="7" t="inlineStr">
        <x:is>
          <x:t xml:space="preserve"/>
        </x:is>
      </x:c>
      <x:c r="J169" s="7" t="inlineStr">
        <x:is>
          <x:t xml:space="preserve"/>
        </x:is>
      </x:c>
      <x:c r="K169" s="6" t="inlineStr">
        <x:is>
          <x:t xml:space="preserve"/>
        </x:is>
      </x:c>
      <x:c r="L169" s="7" t="inlineStr">
        <x:is>
          <x:t xml:space="preserve"/>
        </x:is>
      </x:c>
      <x:c r="M169" s="6" t="inlineStr">
        <x:is>
          <x:t xml:space="preserve"/>
        </x:is>
      </x:c>
      <x:c r="N169" s="6" t="inlineStr">
        <x:is>
          <x:t xml:space="preserve"/>
        </x:is>
      </x:c>
    </x:row>
    <x:row r="170">
      <x:c r="A170" s="7">
        <x:f>IF(B170="","", "T-"&amp;TEXT(ROW()-1,"00000"))</x:f>
      </x:c>
      <x:c r="B170" s="7" t="inlineStr">
        <x:is>
          <x:t xml:space="preserve"/>
        </x:is>
      </x:c>
      <x:c r="C170" s="7" t="inlineStr">
        <x:is>
          <x:t xml:space="preserve"/>
        </x:is>
      </x:c>
      <x:c r="D170" s="7">
        <x:f>IF(B170="","",VALUE(MID(B170,2,4)))</x:f>
      </x:c>
      <x:c r="E170" s="7">
        <x:f>IF(B170="","",MID(B170,6,2))</x:f>
      </x:c>
      <x:c r="F170" s="8" t="inlineStr">
        <x:is>
          <x:t xml:space="preserve"/>
        </x:is>
      </x:c>
      <x:c r="G170" s="6" t="inlineStr">
        <x:is>
          <x:t xml:space="preserve"/>
        </x:is>
      </x:c>
      <x:c r="H170" s="7" t="inlineStr">
        <x:is>
          <x:t xml:space="preserve"/>
        </x:is>
      </x:c>
      <x:c r="I170" s="7" t="inlineStr">
        <x:is>
          <x:t xml:space="preserve"/>
        </x:is>
      </x:c>
      <x:c r="J170" s="7" t="inlineStr">
        <x:is>
          <x:t xml:space="preserve"/>
        </x:is>
      </x:c>
      <x:c r="K170" s="6" t="inlineStr">
        <x:is>
          <x:t xml:space="preserve"/>
        </x:is>
      </x:c>
      <x:c r="L170" s="7" t="inlineStr">
        <x:is>
          <x:t xml:space="preserve"/>
        </x:is>
      </x:c>
      <x:c r="M170" s="6" t="inlineStr">
        <x:is>
          <x:t xml:space="preserve"/>
        </x:is>
      </x:c>
      <x:c r="N170" s="6" t="inlineStr">
        <x:is>
          <x:t xml:space="preserve"/>
        </x:is>
      </x:c>
    </x:row>
    <x:row r="171">
      <x:c r="A171" s="7">
        <x:f>IF(B171="","", "T-"&amp;TEXT(ROW()-1,"00000"))</x:f>
      </x:c>
      <x:c r="B171" s="7" t="inlineStr">
        <x:is>
          <x:t xml:space="preserve"/>
        </x:is>
      </x:c>
      <x:c r="C171" s="7" t="inlineStr">
        <x:is>
          <x:t xml:space="preserve"/>
        </x:is>
      </x:c>
      <x:c r="D171" s="7">
        <x:f>IF(B171="","",VALUE(MID(B171,2,4)))</x:f>
      </x:c>
      <x:c r="E171" s="7">
        <x:f>IF(B171="","",MID(B171,6,2))</x:f>
      </x:c>
      <x:c r="F171" s="8" t="inlineStr">
        <x:is>
          <x:t xml:space="preserve"/>
        </x:is>
      </x:c>
      <x:c r="G171" s="6" t="inlineStr">
        <x:is>
          <x:t xml:space="preserve"/>
        </x:is>
      </x:c>
      <x:c r="H171" s="7" t="inlineStr">
        <x:is>
          <x:t xml:space="preserve"/>
        </x:is>
      </x:c>
      <x:c r="I171" s="7" t="inlineStr">
        <x:is>
          <x:t xml:space="preserve"/>
        </x:is>
      </x:c>
      <x:c r="J171" s="7" t="inlineStr">
        <x:is>
          <x:t xml:space="preserve"/>
        </x:is>
      </x:c>
      <x:c r="K171" s="6" t="inlineStr">
        <x:is>
          <x:t xml:space="preserve"/>
        </x:is>
      </x:c>
      <x:c r="L171" s="7" t="inlineStr">
        <x:is>
          <x:t xml:space="preserve"/>
        </x:is>
      </x:c>
      <x:c r="M171" s="6" t="inlineStr">
        <x:is>
          <x:t xml:space="preserve"/>
        </x:is>
      </x:c>
      <x:c r="N171" s="6" t="inlineStr">
        <x:is>
          <x:t xml:space="preserve"/>
        </x:is>
      </x:c>
    </x:row>
    <x:row r="172">
      <x:c r="A172" s="7">
        <x:f>IF(B172="","", "T-"&amp;TEXT(ROW()-1,"00000"))</x:f>
      </x:c>
      <x:c r="B172" s="7" t="inlineStr">
        <x:is>
          <x:t xml:space="preserve"/>
        </x:is>
      </x:c>
      <x:c r="C172" s="7" t="inlineStr">
        <x:is>
          <x:t xml:space="preserve"/>
        </x:is>
      </x:c>
      <x:c r="D172" s="7">
        <x:f>IF(B172="","",VALUE(MID(B172,2,4)))</x:f>
      </x:c>
      <x:c r="E172" s="7">
        <x:f>IF(B172="","",MID(B172,6,2))</x:f>
      </x:c>
      <x:c r="F172" s="8" t="inlineStr">
        <x:is>
          <x:t xml:space="preserve"/>
        </x:is>
      </x:c>
      <x:c r="G172" s="6" t="inlineStr">
        <x:is>
          <x:t xml:space="preserve"/>
        </x:is>
      </x:c>
      <x:c r="H172" s="7" t="inlineStr">
        <x:is>
          <x:t xml:space="preserve"/>
        </x:is>
      </x:c>
      <x:c r="I172" s="7" t="inlineStr">
        <x:is>
          <x:t xml:space="preserve"/>
        </x:is>
      </x:c>
      <x:c r="J172" s="7" t="inlineStr">
        <x:is>
          <x:t xml:space="preserve"/>
        </x:is>
      </x:c>
      <x:c r="K172" s="6" t="inlineStr">
        <x:is>
          <x:t xml:space="preserve"/>
        </x:is>
      </x:c>
      <x:c r="L172" s="7" t="inlineStr">
        <x:is>
          <x:t xml:space="preserve"/>
        </x:is>
      </x:c>
      <x:c r="M172" s="6" t="inlineStr">
        <x:is>
          <x:t xml:space="preserve"/>
        </x:is>
      </x:c>
      <x:c r="N172" s="6" t="inlineStr">
        <x:is>
          <x:t xml:space="preserve"/>
        </x:is>
      </x:c>
    </x:row>
    <x:row r="173">
      <x:c r="A173" s="7">
        <x:f>IF(B173="","", "T-"&amp;TEXT(ROW()-1,"00000"))</x:f>
      </x:c>
      <x:c r="B173" s="7" t="inlineStr">
        <x:is>
          <x:t xml:space="preserve"/>
        </x:is>
      </x:c>
      <x:c r="C173" s="7" t="inlineStr">
        <x:is>
          <x:t xml:space="preserve"/>
        </x:is>
      </x:c>
      <x:c r="D173" s="7">
        <x:f>IF(B173="","",VALUE(MID(B173,2,4)))</x:f>
      </x:c>
      <x:c r="E173" s="7">
        <x:f>IF(B173="","",MID(B173,6,2))</x:f>
      </x:c>
      <x:c r="F173" s="8" t="inlineStr">
        <x:is>
          <x:t xml:space="preserve"/>
        </x:is>
      </x:c>
      <x:c r="G173" s="6" t="inlineStr">
        <x:is>
          <x:t xml:space="preserve"/>
        </x:is>
      </x:c>
      <x:c r="H173" s="7" t="inlineStr">
        <x:is>
          <x:t xml:space="preserve"/>
        </x:is>
      </x:c>
      <x:c r="I173" s="7" t="inlineStr">
        <x:is>
          <x:t xml:space="preserve"/>
        </x:is>
      </x:c>
      <x:c r="J173" s="7" t="inlineStr">
        <x:is>
          <x:t xml:space="preserve"/>
        </x:is>
      </x:c>
      <x:c r="K173" s="6" t="inlineStr">
        <x:is>
          <x:t xml:space="preserve"/>
        </x:is>
      </x:c>
      <x:c r="L173" s="7" t="inlineStr">
        <x:is>
          <x:t xml:space="preserve"/>
        </x:is>
      </x:c>
      <x:c r="M173" s="6" t="inlineStr">
        <x:is>
          <x:t xml:space="preserve"/>
        </x:is>
      </x:c>
      <x:c r="N173" s="6" t="inlineStr">
        <x:is>
          <x:t xml:space="preserve"/>
        </x:is>
      </x:c>
    </x:row>
    <x:row r="174">
      <x:c r="A174" s="7">
        <x:f>IF(B174="","", "T-"&amp;TEXT(ROW()-1,"00000"))</x:f>
      </x:c>
      <x:c r="B174" s="7" t="inlineStr">
        <x:is>
          <x:t xml:space="preserve"/>
        </x:is>
      </x:c>
      <x:c r="C174" s="7" t="inlineStr">
        <x:is>
          <x:t xml:space="preserve"/>
        </x:is>
      </x:c>
      <x:c r="D174" s="7">
        <x:f>IF(B174="","",VALUE(MID(B174,2,4)))</x:f>
      </x:c>
      <x:c r="E174" s="7">
        <x:f>IF(B174="","",MID(B174,6,2))</x:f>
      </x:c>
      <x:c r="F174" s="8" t="inlineStr">
        <x:is>
          <x:t xml:space="preserve"/>
        </x:is>
      </x:c>
      <x:c r="G174" s="6" t="inlineStr">
        <x:is>
          <x:t xml:space="preserve"/>
        </x:is>
      </x:c>
      <x:c r="H174" s="7" t="inlineStr">
        <x:is>
          <x:t xml:space="preserve"/>
        </x:is>
      </x:c>
      <x:c r="I174" s="7" t="inlineStr">
        <x:is>
          <x:t xml:space="preserve"/>
        </x:is>
      </x:c>
      <x:c r="J174" s="7" t="inlineStr">
        <x:is>
          <x:t xml:space="preserve"/>
        </x:is>
      </x:c>
      <x:c r="K174" s="6" t="inlineStr">
        <x:is>
          <x:t xml:space="preserve"/>
        </x:is>
      </x:c>
      <x:c r="L174" s="7" t="inlineStr">
        <x:is>
          <x:t xml:space="preserve"/>
        </x:is>
      </x:c>
      <x:c r="M174" s="6" t="inlineStr">
        <x:is>
          <x:t xml:space="preserve"/>
        </x:is>
      </x:c>
      <x:c r="N174" s="6" t="inlineStr">
        <x:is>
          <x:t xml:space="preserve"/>
        </x:is>
      </x:c>
    </x:row>
    <x:row r="175">
      <x:c r="A175" s="7">
        <x:f>IF(B175="","", "T-"&amp;TEXT(ROW()-1,"00000"))</x:f>
      </x:c>
      <x:c r="B175" s="7" t="inlineStr">
        <x:is>
          <x:t xml:space="preserve"/>
        </x:is>
      </x:c>
      <x:c r="C175" s="7" t="inlineStr">
        <x:is>
          <x:t xml:space="preserve"/>
        </x:is>
      </x:c>
      <x:c r="D175" s="7">
        <x:f>IF(B175="","",VALUE(MID(B175,2,4)))</x:f>
      </x:c>
      <x:c r="E175" s="7">
        <x:f>IF(B175="","",MID(B175,6,2))</x:f>
      </x:c>
      <x:c r="F175" s="8" t="inlineStr">
        <x:is>
          <x:t xml:space="preserve"/>
        </x:is>
      </x:c>
      <x:c r="G175" s="6" t="inlineStr">
        <x:is>
          <x:t xml:space="preserve"/>
        </x:is>
      </x:c>
      <x:c r="H175" s="7" t="inlineStr">
        <x:is>
          <x:t xml:space="preserve"/>
        </x:is>
      </x:c>
      <x:c r="I175" s="7" t="inlineStr">
        <x:is>
          <x:t xml:space="preserve"/>
        </x:is>
      </x:c>
      <x:c r="J175" s="7" t="inlineStr">
        <x:is>
          <x:t xml:space="preserve"/>
        </x:is>
      </x:c>
      <x:c r="K175" s="6" t="inlineStr">
        <x:is>
          <x:t xml:space="preserve"/>
        </x:is>
      </x:c>
      <x:c r="L175" s="7" t="inlineStr">
        <x:is>
          <x:t xml:space="preserve"/>
        </x:is>
      </x:c>
      <x:c r="M175" s="6" t="inlineStr">
        <x:is>
          <x:t xml:space="preserve"/>
        </x:is>
      </x:c>
      <x:c r="N175" s="6" t="inlineStr">
        <x:is>
          <x:t xml:space="preserve"/>
        </x:is>
      </x:c>
    </x:row>
    <x:row r="176">
      <x:c r="A176" s="7">
        <x:f>IF(B176="","", "T-"&amp;TEXT(ROW()-1,"00000"))</x:f>
      </x:c>
      <x:c r="B176" s="7" t="inlineStr">
        <x:is>
          <x:t xml:space="preserve"/>
        </x:is>
      </x:c>
      <x:c r="C176" s="7" t="inlineStr">
        <x:is>
          <x:t xml:space="preserve"/>
        </x:is>
      </x:c>
      <x:c r="D176" s="7">
        <x:f>IF(B176="","",VALUE(MID(B176,2,4)))</x:f>
      </x:c>
      <x:c r="E176" s="7">
        <x:f>IF(B176="","",MID(B176,6,2))</x:f>
      </x:c>
      <x:c r="F176" s="8" t="inlineStr">
        <x:is>
          <x:t xml:space="preserve"/>
        </x:is>
      </x:c>
      <x:c r="G176" s="6" t="inlineStr">
        <x:is>
          <x:t xml:space="preserve"/>
        </x:is>
      </x:c>
      <x:c r="H176" s="7" t="inlineStr">
        <x:is>
          <x:t xml:space="preserve"/>
        </x:is>
      </x:c>
      <x:c r="I176" s="7" t="inlineStr">
        <x:is>
          <x:t xml:space="preserve"/>
        </x:is>
      </x:c>
      <x:c r="J176" s="7" t="inlineStr">
        <x:is>
          <x:t xml:space="preserve"/>
        </x:is>
      </x:c>
      <x:c r="K176" s="6" t="inlineStr">
        <x:is>
          <x:t xml:space="preserve"/>
        </x:is>
      </x:c>
      <x:c r="L176" s="7" t="inlineStr">
        <x:is>
          <x:t xml:space="preserve"/>
        </x:is>
      </x:c>
      <x:c r="M176" s="6" t="inlineStr">
        <x:is>
          <x:t xml:space="preserve"/>
        </x:is>
      </x:c>
      <x:c r="N176" s="6" t="inlineStr">
        <x:is>
          <x:t xml:space="preserve"/>
        </x:is>
      </x:c>
    </x:row>
    <x:row r="177">
      <x:c r="A177" s="7">
        <x:f>IF(B177="","", "T-"&amp;TEXT(ROW()-1,"00000"))</x:f>
      </x:c>
      <x:c r="B177" s="7" t="inlineStr">
        <x:is>
          <x:t xml:space="preserve"/>
        </x:is>
      </x:c>
      <x:c r="C177" s="7" t="inlineStr">
        <x:is>
          <x:t xml:space="preserve"/>
        </x:is>
      </x:c>
      <x:c r="D177" s="7">
        <x:f>IF(B177="","",VALUE(MID(B177,2,4)))</x:f>
      </x:c>
      <x:c r="E177" s="7">
        <x:f>IF(B177="","",MID(B177,6,2))</x:f>
      </x:c>
      <x:c r="F177" s="8" t="inlineStr">
        <x:is>
          <x:t xml:space="preserve"/>
        </x:is>
      </x:c>
      <x:c r="G177" s="6" t="inlineStr">
        <x:is>
          <x:t xml:space="preserve"/>
        </x:is>
      </x:c>
      <x:c r="H177" s="7" t="inlineStr">
        <x:is>
          <x:t xml:space="preserve"/>
        </x:is>
      </x:c>
      <x:c r="I177" s="7" t="inlineStr">
        <x:is>
          <x:t xml:space="preserve"/>
        </x:is>
      </x:c>
      <x:c r="J177" s="7" t="inlineStr">
        <x:is>
          <x:t xml:space="preserve"/>
        </x:is>
      </x:c>
      <x:c r="K177" s="6" t="inlineStr">
        <x:is>
          <x:t xml:space="preserve"/>
        </x:is>
      </x:c>
      <x:c r="L177" s="7" t="inlineStr">
        <x:is>
          <x:t xml:space="preserve"/>
        </x:is>
      </x:c>
      <x:c r="M177" s="6" t="inlineStr">
        <x:is>
          <x:t xml:space="preserve"/>
        </x:is>
      </x:c>
      <x:c r="N177" s="6" t="inlineStr">
        <x:is>
          <x:t xml:space="preserve"/>
        </x:is>
      </x:c>
    </x:row>
    <x:row r="178">
      <x:c r="A178" s="7">
        <x:f>IF(B178="","", "T-"&amp;TEXT(ROW()-1,"00000"))</x:f>
      </x:c>
      <x:c r="B178" s="7" t="inlineStr">
        <x:is>
          <x:t xml:space="preserve"/>
        </x:is>
      </x:c>
      <x:c r="C178" s="7" t="inlineStr">
        <x:is>
          <x:t xml:space="preserve"/>
        </x:is>
      </x:c>
      <x:c r="D178" s="7">
        <x:f>IF(B178="","",VALUE(MID(B178,2,4)))</x:f>
      </x:c>
      <x:c r="E178" s="7">
        <x:f>IF(B178="","",MID(B178,6,2))</x:f>
      </x:c>
      <x:c r="F178" s="8" t="inlineStr">
        <x:is>
          <x:t xml:space="preserve"/>
        </x:is>
      </x:c>
      <x:c r="G178" s="6" t="inlineStr">
        <x:is>
          <x:t xml:space="preserve"/>
        </x:is>
      </x:c>
      <x:c r="H178" s="7" t="inlineStr">
        <x:is>
          <x:t xml:space="preserve"/>
        </x:is>
      </x:c>
      <x:c r="I178" s="7" t="inlineStr">
        <x:is>
          <x:t xml:space="preserve"/>
        </x:is>
      </x:c>
      <x:c r="J178" s="7" t="inlineStr">
        <x:is>
          <x:t xml:space="preserve"/>
        </x:is>
      </x:c>
      <x:c r="K178" s="6" t="inlineStr">
        <x:is>
          <x:t xml:space="preserve"/>
        </x:is>
      </x:c>
      <x:c r="L178" s="7" t="inlineStr">
        <x:is>
          <x:t xml:space="preserve"/>
        </x:is>
      </x:c>
      <x:c r="M178" s="6" t="inlineStr">
        <x:is>
          <x:t xml:space="preserve"/>
        </x:is>
      </x:c>
      <x:c r="N178" s="6" t="inlineStr">
        <x:is>
          <x:t xml:space="preserve"/>
        </x:is>
      </x:c>
    </x:row>
    <x:row r="179">
      <x:c r="A179" s="7">
        <x:f>IF(B179="","", "T-"&amp;TEXT(ROW()-1,"00000"))</x:f>
      </x:c>
      <x:c r="B179" s="7" t="inlineStr">
        <x:is>
          <x:t xml:space="preserve"/>
        </x:is>
      </x:c>
      <x:c r="C179" s="7" t="inlineStr">
        <x:is>
          <x:t xml:space="preserve"/>
        </x:is>
      </x:c>
      <x:c r="D179" s="7">
        <x:f>IF(B179="","",VALUE(MID(B179,2,4)))</x:f>
      </x:c>
      <x:c r="E179" s="7">
        <x:f>IF(B179="","",MID(B179,6,2))</x:f>
      </x:c>
      <x:c r="F179" s="8" t="inlineStr">
        <x:is>
          <x:t xml:space="preserve"/>
        </x:is>
      </x:c>
      <x:c r="G179" s="6" t="inlineStr">
        <x:is>
          <x:t xml:space="preserve"/>
        </x:is>
      </x:c>
      <x:c r="H179" s="7" t="inlineStr">
        <x:is>
          <x:t xml:space="preserve"/>
        </x:is>
      </x:c>
      <x:c r="I179" s="7" t="inlineStr">
        <x:is>
          <x:t xml:space="preserve"/>
        </x:is>
      </x:c>
      <x:c r="J179" s="7" t="inlineStr">
        <x:is>
          <x:t xml:space="preserve"/>
        </x:is>
      </x:c>
      <x:c r="K179" s="6" t="inlineStr">
        <x:is>
          <x:t xml:space="preserve"/>
        </x:is>
      </x:c>
      <x:c r="L179" s="7" t="inlineStr">
        <x:is>
          <x:t xml:space="preserve"/>
        </x:is>
      </x:c>
      <x:c r="M179" s="6" t="inlineStr">
        <x:is>
          <x:t xml:space="preserve"/>
        </x:is>
      </x:c>
      <x:c r="N179" s="6" t="inlineStr">
        <x:is>
          <x:t xml:space="preserve"/>
        </x:is>
      </x:c>
    </x:row>
    <x:row r="180">
      <x:c r="A180" s="7">
        <x:f>IF(B180="","", "T-"&amp;TEXT(ROW()-1,"00000"))</x:f>
      </x:c>
      <x:c r="B180" s="7" t="inlineStr">
        <x:is>
          <x:t xml:space="preserve"/>
        </x:is>
      </x:c>
      <x:c r="C180" s="7" t="inlineStr">
        <x:is>
          <x:t xml:space="preserve"/>
        </x:is>
      </x:c>
      <x:c r="D180" s="7">
        <x:f>IF(B180="","",VALUE(MID(B180,2,4)))</x:f>
      </x:c>
      <x:c r="E180" s="7">
        <x:f>IF(B180="","",MID(B180,6,2))</x:f>
      </x:c>
      <x:c r="F180" s="8" t="inlineStr">
        <x:is>
          <x:t xml:space="preserve"/>
        </x:is>
      </x:c>
      <x:c r="G180" s="6" t="inlineStr">
        <x:is>
          <x:t xml:space="preserve"/>
        </x:is>
      </x:c>
      <x:c r="H180" s="7" t="inlineStr">
        <x:is>
          <x:t xml:space="preserve"/>
        </x:is>
      </x:c>
      <x:c r="I180" s="7" t="inlineStr">
        <x:is>
          <x:t xml:space="preserve"/>
        </x:is>
      </x:c>
      <x:c r="J180" s="7" t="inlineStr">
        <x:is>
          <x:t xml:space="preserve"/>
        </x:is>
      </x:c>
      <x:c r="K180" s="6" t="inlineStr">
        <x:is>
          <x:t xml:space="preserve"/>
        </x:is>
      </x:c>
      <x:c r="L180" s="7" t="inlineStr">
        <x:is>
          <x:t xml:space="preserve"/>
        </x:is>
      </x:c>
      <x:c r="M180" s="6" t="inlineStr">
        <x:is>
          <x:t xml:space="preserve"/>
        </x:is>
      </x:c>
      <x:c r="N180" s="6" t="inlineStr">
        <x:is>
          <x:t xml:space="preserve"/>
        </x:is>
      </x:c>
    </x:row>
    <x:row r="181">
      <x:c r="A181" s="7">
        <x:f>IF(B181="","", "T-"&amp;TEXT(ROW()-1,"00000"))</x:f>
      </x:c>
      <x:c r="B181" s="7" t="inlineStr">
        <x:is>
          <x:t xml:space="preserve"/>
        </x:is>
      </x:c>
      <x:c r="C181" s="7" t="inlineStr">
        <x:is>
          <x:t xml:space="preserve"/>
        </x:is>
      </x:c>
      <x:c r="D181" s="7">
        <x:f>IF(B181="","",VALUE(MID(B181,2,4)))</x:f>
      </x:c>
      <x:c r="E181" s="7">
        <x:f>IF(B181="","",MID(B181,6,2))</x:f>
      </x:c>
      <x:c r="F181" s="8" t="inlineStr">
        <x:is>
          <x:t xml:space="preserve"/>
        </x:is>
      </x:c>
      <x:c r="G181" s="6" t="inlineStr">
        <x:is>
          <x:t xml:space="preserve"/>
        </x:is>
      </x:c>
      <x:c r="H181" s="7" t="inlineStr">
        <x:is>
          <x:t xml:space="preserve"/>
        </x:is>
      </x:c>
      <x:c r="I181" s="7" t="inlineStr">
        <x:is>
          <x:t xml:space="preserve"/>
        </x:is>
      </x:c>
      <x:c r="J181" s="7" t="inlineStr">
        <x:is>
          <x:t xml:space="preserve"/>
        </x:is>
      </x:c>
      <x:c r="K181" s="6" t="inlineStr">
        <x:is>
          <x:t xml:space="preserve"/>
        </x:is>
      </x:c>
      <x:c r="L181" s="7" t="inlineStr">
        <x:is>
          <x:t xml:space="preserve"/>
        </x:is>
      </x:c>
      <x:c r="M181" s="6" t="inlineStr">
        <x:is>
          <x:t xml:space="preserve"/>
        </x:is>
      </x:c>
      <x:c r="N181" s="6" t="inlineStr">
        <x:is>
          <x:t xml:space="preserve"/>
        </x:is>
      </x:c>
    </x:row>
    <x:row r="182">
      <x:c r="A182" s="7">
        <x:f>IF(B182="","", "T-"&amp;TEXT(ROW()-1,"00000"))</x:f>
      </x:c>
      <x:c r="B182" s="7" t="inlineStr">
        <x:is>
          <x:t xml:space="preserve"/>
        </x:is>
      </x:c>
      <x:c r="C182" s="7" t="inlineStr">
        <x:is>
          <x:t xml:space="preserve"/>
        </x:is>
      </x:c>
      <x:c r="D182" s="7">
        <x:f>IF(B182="","",VALUE(MID(B182,2,4)))</x:f>
      </x:c>
      <x:c r="E182" s="7">
        <x:f>IF(B182="","",MID(B182,6,2))</x:f>
      </x:c>
      <x:c r="F182" s="8" t="inlineStr">
        <x:is>
          <x:t xml:space="preserve"/>
        </x:is>
      </x:c>
      <x:c r="G182" s="6" t="inlineStr">
        <x:is>
          <x:t xml:space="preserve"/>
        </x:is>
      </x:c>
      <x:c r="H182" s="7" t="inlineStr">
        <x:is>
          <x:t xml:space="preserve"/>
        </x:is>
      </x:c>
      <x:c r="I182" s="7" t="inlineStr">
        <x:is>
          <x:t xml:space="preserve"/>
        </x:is>
      </x:c>
      <x:c r="J182" s="7" t="inlineStr">
        <x:is>
          <x:t xml:space="preserve"/>
        </x:is>
      </x:c>
      <x:c r="K182" s="6" t="inlineStr">
        <x:is>
          <x:t xml:space="preserve"/>
        </x:is>
      </x:c>
      <x:c r="L182" s="7" t="inlineStr">
        <x:is>
          <x:t xml:space="preserve"/>
        </x:is>
      </x:c>
      <x:c r="M182" s="6" t="inlineStr">
        <x:is>
          <x:t xml:space="preserve"/>
        </x:is>
      </x:c>
      <x:c r="N182" s="6" t="inlineStr">
        <x:is>
          <x:t xml:space="preserve"/>
        </x:is>
      </x:c>
    </x:row>
    <x:row r="183">
      <x:c r="A183" s="7">
        <x:f>IF(B183="","", "T-"&amp;TEXT(ROW()-1,"00000"))</x:f>
      </x:c>
      <x:c r="B183" s="7" t="inlineStr">
        <x:is>
          <x:t xml:space="preserve"/>
        </x:is>
      </x:c>
      <x:c r="C183" s="7" t="inlineStr">
        <x:is>
          <x:t xml:space="preserve"/>
        </x:is>
      </x:c>
      <x:c r="D183" s="7">
        <x:f>IF(B183="","",VALUE(MID(B183,2,4)))</x:f>
      </x:c>
      <x:c r="E183" s="7">
        <x:f>IF(B183="","",MID(B183,6,2))</x:f>
      </x:c>
      <x:c r="F183" s="8" t="inlineStr">
        <x:is>
          <x:t xml:space="preserve"/>
        </x:is>
      </x:c>
      <x:c r="G183" s="6" t="inlineStr">
        <x:is>
          <x:t xml:space="preserve"/>
        </x:is>
      </x:c>
      <x:c r="H183" s="7" t="inlineStr">
        <x:is>
          <x:t xml:space="preserve"/>
        </x:is>
      </x:c>
      <x:c r="I183" s="7" t="inlineStr">
        <x:is>
          <x:t xml:space="preserve"/>
        </x:is>
      </x:c>
      <x:c r="J183" s="7" t="inlineStr">
        <x:is>
          <x:t xml:space="preserve"/>
        </x:is>
      </x:c>
      <x:c r="K183" s="6" t="inlineStr">
        <x:is>
          <x:t xml:space="preserve"/>
        </x:is>
      </x:c>
      <x:c r="L183" s="7" t="inlineStr">
        <x:is>
          <x:t xml:space="preserve"/>
        </x:is>
      </x:c>
      <x:c r="M183" s="6" t="inlineStr">
        <x:is>
          <x:t xml:space="preserve"/>
        </x:is>
      </x:c>
      <x:c r="N183" s="6" t="inlineStr">
        <x:is>
          <x:t xml:space="preserve"/>
        </x:is>
      </x:c>
    </x:row>
    <x:row r="184">
      <x:c r="A184" s="7">
        <x:f>IF(B184="","", "T-"&amp;TEXT(ROW()-1,"00000"))</x:f>
      </x:c>
      <x:c r="B184" s="7" t="inlineStr">
        <x:is>
          <x:t xml:space="preserve"/>
        </x:is>
      </x:c>
      <x:c r="C184" s="7" t="inlineStr">
        <x:is>
          <x:t xml:space="preserve"/>
        </x:is>
      </x:c>
      <x:c r="D184" s="7">
        <x:f>IF(B184="","",VALUE(MID(B184,2,4)))</x:f>
      </x:c>
      <x:c r="E184" s="7">
        <x:f>IF(B184="","",MID(B184,6,2))</x:f>
      </x:c>
      <x:c r="F184" s="8" t="inlineStr">
        <x:is>
          <x:t xml:space="preserve"/>
        </x:is>
      </x:c>
      <x:c r="G184" s="6" t="inlineStr">
        <x:is>
          <x:t xml:space="preserve"/>
        </x:is>
      </x:c>
      <x:c r="H184" s="7" t="inlineStr">
        <x:is>
          <x:t xml:space="preserve"/>
        </x:is>
      </x:c>
      <x:c r="I184" s="7" t="inlineStr">
        <x:is>
          <x:t xml:space="preserve"/>
        </x:is>
      </x:c>
      <x:c r="J184" s="7" t="inlineStr">
        <x:is>
          <x:t xml:space="preserve"/>
        </x:is>
      </x:c>
      <x:c r="K184" s="6" t="inlineStr">
        <x:is>
          <x:t xml:space="preserve"/>
        </x:is>
      </x:c>
      <x:c r="L184" s="7" t="inlineStr">
        <x:is>
          <x:t xml:space="preserve"/>
        </x:is>
      </x:c>
      <x:c r="M184" s="6" t="inlineStr">
        <x:is>
          <x:t xml:space="preserve"/>
        </x:is>
      </x:c>
      <x:c r="N184" s="6" t="inlineStr">
        <x:is>
          <x:t xml:space="preserve"/>
        </x:is>
      </x:c>
    </x:row>
    <x:row r="185">
      <x:c r="A185" s="7">
        <x:f>IF(B185="","", "T-"&amp;TEXT(ROW()-1,"00000"))</x:f>
      </x:c>
      <x:c r="B185" s="7" t="inlineStr">
        <x:is>
          <x:t xml:space="preserve"/>
        </x:is>
      </x:c>
      <x:c r="C185" s="7" t="inlineStr">
        <x:is>
          <x:t xml:space="preserve"/>
        </x:is>
      </x:c>
      <x:c r="D185" s="7">
        <x:f>IF(B185="","",VALUE(MID(B185,2,4)))</x:f>
      </x:c>
      <x:c r="E185" s="7">
        <x:f>IF(B185="","",MID(B185,6,2))</x:f>
      </x:c>
      <x:c r="F185" s="8" t="inlineStr">
        <x:is>
          <x:t xml:space="preserve"/>
        </x:is>
      </x:c>
      <x:c r="G185" s="6" t="inlineStr">
        <x:is>
          <x:t xml:space="preserve"/>
        </x:is>
      </x:c>
      <x:c r="H185" s="7" t="inlineStr">
        <x:is>
          <x:t xml:space="preserve"/>
        </x:is>
      </x:c>
      <x:c r="I185" s="7" t="inlineStr">
        <x:is>
          <x:t xml:space="preserve"/>
        </x:is>
      </x:c>
      <x:c r="J185" s="7" t="inlineStr">
        <x:is>
          <x:t xml:space="preserve"/>
        </x:is>
      </x:c>
      <x:c r="K185" s="6" t="inlineStr">
        <x:is>
          <x:t xml:space="preserve"/>
        </x:is>
      </x:c>
      <x:c r="L185" s="7" t="inlineStr">
        <x:is>
          <x:t xml:space="preserve"/>
        </x:is>
      </x:c>
      <x:c r="M185" s="6" t="inlineStr">
        <x:is>
          <x:t xml:space="preserve"/>
        </x:is>
      </x:c>
      <x:c r="N185" s="6" t="inlineStr">
        <x:is>
          <x:t xml:space="preserve"/>
        </x:is>
      </x:c>
    </x:row>
    <x:row r="186">
      <x:c r="A186" s="7">
        <x:f>IF(B186="","", "T-"&amp;TEXT(ROW()-1,"00000"))</x:f>
      </x:c>
      <x:c r="B186" s="7" t="inlineStr">
        <x:is>
          <x:t xml:space="preserve"/>
        </x:is>
      </x:c>
      <x:c r="C186" s="7" t="inlineStr">
        <x:is>
          <x:t xml:space="preserve"/>
        </x:is>
      </x:c>
      <x:c r="D186" s="7">
        <x:f>IF(B186="","",VALUE(MID(B186,2,4)))</x:f>
      </x:c>
      <x:c r="E186" s="7">
        <x:f>IF(B186="","",MID(B186,6,2))</x:f>
      </x:c>
      <x:c r="F186" s="8" t="inlineStr">
        <x:is>
          <x:t xml:space="preserve"/>
        </x:is>
      </x:c>
      <x:c r="G186" s="6" t="inlineStr">
        <x:is>
          <x:t xml:space="preserve"/>
        </x:is>
      </x:c>
      <x:c r="H186" s="7" t="inlineStr">
        <x:is>
          <x:t xml:space="preserve"/>
        </x:is>
      </x:c>
      <x:c r="I186" s="7" t="inlineStr">
        <x:is>
          <x:t xml:space="preserve"/>
        </x:is>
      </x:c>
      <x:c r="J186" s="7" t="inlineStr">
        <x:is>
          <x:t xml:space="preserve"/>
        </x:is>
      </x:c>
      <x:c r="K186" s="6" t="inlineStr">
        <x:is>
          <x:t xml:space="preserve"/>
        </x:is>
      </x:c>
      <x:c r="L186" s="7" t="inlineStr">
        <x:is>
          <x:t xml:space="preserve"/>
        </x:is>
      </x:c>
      <x:c r="M186" s="6" t="inlineStr">
        <x:is>
          <x:t xml:space="preserve"/>
        </x:is>
      </x:c>
      <x:c r="N186" s="6" t="inlineStr">
        <x:is>
          <x:t xml:space="preserve"/>
        </x:is>
      </x:c>
    </x:row>
    <x:row r="187">
      <x:c r="A187" s="7">
        <x:f>IF(B187="","", "T-"&amp;TEXT(ROW()-1,"00000"))</x:f>
      </x:c>
      <x:c r="B187" s="7" t="inlineStr">
        <x:is>
          <x:t xml:space="preserve"/>
        </x:is>
      </x:c>
      <x:c r="C187" s="7" t="inlineStr">
        <x:is>
          <x:t xml:space="preserve"/>
        </x:is>
      </x:c>
      <x:c r="D187" s="7">
        <x:f>IF(B187="","",VALUE(MID(B187,2,4)))</x:f>
      </x:c>
      <x:c r="E187" s="7">
        <x:f>IF(B187="","",MID(B187,6,2))</x:f>
      </x:c>
      <x:c r="F187" s="8" t="inlineStr">
        <x:is>
          <x:t xml:space="preserve"/>
        </x:is>
      </x:c>
      <x:c r="G187" s="6" t="inlineStr">
        <x:is>
          <x:t xml:space="preserve"/>
        </x:is>
      </x:c>
      <x:c r="H187" s="7" t="inlineStr">
        <x:is>
          <x:t xml:space="preserve"/>
        </x:is>
      </x:c>
      <x:c r="I187" s="7" t="inlineStr">
        <x:is>
          <x:t xml:space="preserve"/>
        </x:is>
      </x:c>
      <x:c r="J187" s="7" t="inlineStr">
        <x:is>
          <x:t xml:space="preserve"/>
        </x:is>
      </x:c>
      <x:c r="K187" s="6" t="inlineStr">
        <x:is>
          <x:t xml:space="preserve"/>
        </x:is>
      </x:c>
      <x:c r="L187" s="7" t="inlineStr">
        <x:is>
          <x:t xml:space="preserve"/>
        </x:is>
      </x:c>
      <x:c r="M187" s="6" t="inlineStr">
        <x:is>
          <x:t xml:space="preserve"/>
        </x:is>
      </x:c>
      <x:c r="N187" s="6" t="inlineStr">
        <x:is>
          <x:t xml:space="preserve"/>
        </x:is>
      </x:c>
    </x:row>
    <x:row r="188">
      <x:c r="A188" s="7">
        <x:f>IF(B188="","", "T-"&amp;TEXT(ROW()-1,"00000"))</x:f>
      </x:c>
      <x:c r="B188" s="7" t="inlineStr">
        <x:is>
          <x:t xml:space="preserve"/>
        </x:is>
      </x:c>
      <x:c r="C188" s="7" t="inlineStr">
        <x:is>
          <x:t xml:space="preserve"/>
        </x:is>
      </x:c>
      <x:c r="D188" s="7">
        <x:f>IF(B188="","",VALUE(MID(B188,2,4)))</x:f>
      </x:c>
      <x:c r="E188" s="7">
        <x:f>IF(B188="","",MID(B188,6,2))</x:f>
      </x:c>
      <x:c r="F188" s="8" t="inlineStr">
        <x:is>
          <x:t xml:space="preserve"/>
        </x:is>
      </x:c>
      <x:c r="G188" s="6" t="inlineStr">
        <x:is>
          <x:t xml:space="preserve"/>
        </x:is>
      </x:c>
      <x:c r="H188" s="7" t="inlineStr">
        <x:is>
          <x:t xml:space="preserve"/>
        </x:is>
      </x:c>
      <x:c r="I188" s="7" t="inlineStr">
        <x:is>
          <x:t xml:space="preserve"/>
        </x:is>
      </x:c>
      <x:c r="J188" s="7" t="inlineStr">
        <x:is>
          <x:t xml:space="preserve"/>
        </x:is>
      </x:c>
      <x:c r="K188" s="6" t="inlineStr">
        <x:is>
          <x:t xml:space="preserve"/>
        </x:is>
      </x:c>
      <x:c r="L188" s="7" t="inlineStr">
        <x:is>
          <x:t xml:space="preserve"/>
        </x:is>
      </x:c>
      <x:c r="M188" s="6" t="inlineStr">
        <x:is>
          <x:t xml:space="preserve"/>
        </x:is>
      </x:c>
      <x:c r="N188" s="6" t="inlineStr">
        <x:is>
          <x:t xml:space="preserve"/>
        </x:is>
      </x:c>
    </x:row>
    <x:row r="189">
      <x:c r="A189" s="7">
        <x:f>IF(B189="","", "T-"&amp;TEXT(ROW()-1,"00000"))</x:f>
      </x:c>
      <x:c r="B189" s="7" t="inlineStr">
        <x:is>
          <x:t xml:space="preserve"/>
        </x:is>
      </x:c>
      <x:c r="C189" s="7" t="inlineStr">
        <x:is>
          <x:t xml:space="preserve"/>
        </x:is>
      </x:c>
      <x:c r="D189" s="7">
        <x:f>IF(B189="","",VALUE(MID(B189,2,4)))</x:f>
      </x:c>
      <x:c r="E189" s="7">
        <x:f>IF(B189="","",MID(B189,6,2))</x:f>
      </x:c>
      <x:c r="F189" s="8" t="inlineStr">
        <x:is>
          <x:t xml:space="preserve"/>
        </x:is>
      </x:c>
      <x:c r="G189" s="6" t="inlineStr">
        <x:is>
          <x:t xml:space="preserve"/>
        </x:is>
      </x:c>
      <x:c r="H189" s="7" t="inlineStr">
        <x:is>
          <x:t xml:space="preserve"/>
        </x:is>
      </x:c>
      <x:c r="I189" s="7" t="inlineStr">
        <x:is>
          <x:t xml:space="preserve"/>
        </x:is>
      </x:c>
      <x:c r="J189" s="7" t="inlineStr">
        <x:is>
          <x:t xml:space="preserve"/>
        </x:is>
      </x:c>
      <x:c r="K189" s="6" t="inlineStr">
        <x:is>
          <x:t xml:space="preserve"/>
        </x:is>
      </x:c>
      <x:c r="L189" s="7" t="inlineStr">
        <x:is>
          <x:t xml:space="preserve"/>
        </x:is>
      </x:c>
      <x:c r="M189" s="6" t="inlineStr">
        <x:is>
          <x:t xml:space="preserve"/>
        </x:is>
      </x:c>
      <x:c r="N189" s="6" t="inlineStr">
        <x:is>
          <x:t xml:space="preserve"/>
        </x:is>
      </x:c>
    </x:row>
    <x:row r="190">
      <x:c r="A190" s="7">
        <x:f>IF(B190="","", "T-"&amp;TEXT(ROW()-1,"00000"))</x:f>
      </x:c>
      <x:c r="B190" s="7" t="inlineStr">
        <x:is>
          <x:t xml:space="preserve"/>
        </x:is>
      </x:c>
      <x:c r="C190" s="7" t="inlineStr">
        <x:is>
          <x:t xml:space="preserve"/>
        </x:is>
      </x:c>
      <x:c r="D190" s="7">
        <x:f>IF(B190="","",VALUE(MID(B190,2,4)))</x:f>
      </x:c>
      <x:c r="E190" s="7">
        <x:f>IF(B190="","",MID(B190,6,2))</x:f>
      </x:c>
      <x:c r="F190" s="8" t="inlineStr">
        <x:is>
          <x:t xml:space="preserve"/>
        </x:is>
      </x:c>
      <x:c r="G190" s="6" t="inlineStr">
        <x:is>
          <x:t xml:space="preserve"/>
        </x:is>
      </x:c>
      <x:c r="H190" s="7" t="inlineStr">
        <x:is>
          <x:t xml:space="preserve"/>
        </x:is>
      </x:c>
      <x:c r="I190" s="7" t="inlineStr">
        <x:is>
          <x:t xml:space="preserve"/>
        </x:is>
      </x:c>
      <x:c r="J190" s="7" t="inlineStr">
        <x:is>
          <x:t xml:space="preserve"/>
        </x:is>
      </x:c>
      <x:c r="K190" s="6" t="inlineStr">
        <x:is>
          <x:t xml:space="preserve"/>
        </x:is>
      </x:c>
      <x:c r="L190" s="7" t="inlineStr">
        <x:is>
          <x:t xml:space="preserve"/>
        </x:is>
      </x:c>
      <x:c r="M190" s="6" t="inlineStr">
        <x:is>
          <x:t xml:space="preserve"/>
        </x:is>
      </x:c>
      <x:c r="N190" s="6" t="inlineStr">
        <x:is>
          <x:t xml:space="preserve"/>
        </x:is>
      </x:c>
    </x:row>
    <x:row r="191">
      <x:c r="A191" s="7">
        <x:f>IF(B191="","", "T-"&amp;TEXT(ROW()-1,"00000"))</x:f>
      </x:c>
      <x:c r="B191" s="7" t="inlineStr">
        <x:is>
          <x:t xml:space="preserve"/>
        </x:is>
      </x:c>
      <x:c r="C191" s="7" t="inlineStr">
        <x:is>
          <x:t xml:space="preserve"/>
        </x:is>
      </x:c>
      <x:c r="D191" s="7">
        <x:f>IF(B191="","",VALUE(MID(B191,2,4)))</x:f>
      </x:c>
      <x:c r="E191" s="7">
        <x:f>IF(B191="","",MID(B191,6,2))</x:f>
      </x:c>
      <x:c r="F191" s="8" t="inlineStr">
        <x:is>
          <x:t xml:space="preserve"/>
        </x:is>
      </x:c>
      <x:c r="G191" s="6" t="inlineStr">
        <x:is>
          <x:t xml:space="preserve"/>
        </x:is>
      </x:c>
      <x:c r="H191" s="7" t="inlineStr">
        <x:is>
          <x:t xml:space="preserve"/>
        </x:is>
      </x:c>
      <x:c r="I191" s="7" t="inlineStr">
        <x:is>
          <x:t xml:space="preserve"/>
        </x:is>
      </x:c>
      <x:c r="J191" s="7" t="inlineStr">
        <x:is>
          <x:t xml:space="preserve"/>
        </x:is>
      </x:c>
      <x:c r="K191" s="6" t="inlineStr">
        <x:is>
          <x:t xml:space="preserve"/>
        </x:is>
      </x:c>
      <x:c r="L191" s="7" t="inlineStr">
        <x:is>
          <x:t xml:space="preserve"/>
        </x:is>
      </x:c>
      <x:c r="M191" s="6" t="inlineStr">
        <x:is>
          <x:t xml:space="preserve"/>
        </x:is>
      </x:c>
      <x:c r="N191" s="6" t="inlineStr">
        <x:is>
          <x:t xml:space="preserve"/>
        </x:is>
      </x:c>
    </x:row>
    <x:row r="192">
      <x:c r="A192" s="7">
        <x:f>IF(B192="","", "T-"&amp;TEXT(ROW()-1,"00000"))</x:f>
      </x:c>
      <x:c r="B192" s="7" t="inlineStr">
        <x:is>
          <x:t xml:space="preserve"/>
        </x:is>
      </x:c>
      <x:c r="C192" s="7" t="inlineStr">
        <x:is>
          <x:t xml:space="preserve"/>
        </x:is>
      </x:c>
      <x:c r="D192" s="7">
        <x:f>IF(B192="","",VALUE(MID(B192,2,4)))</x:f>
      </x:c>
      <x:c r="E192" s="7">
        <x:f>IF(B192="","",MID(B192,6,2))</x:f>
      </x:c>
      <x:c r="F192" s="8" t="inlineStr">
        <x:is>
          <x:t xml:space="preserve"/>
        </x:is>
      </x:c>
      <x:c r="G192" s="6" t="inlineStr">
        <x:is>
          <x:t xml:space="preserve"/>
        </x:is>
      </x:c>
      <x:c r="H192" s="7" t="inlineStr">
        <x:is>
          <x:t xml:space="preserve"/>
        </x:is>
      </x:c>
      <x:c r="I192" s="7" t="inlineStr">
        <x:is>
          <x:t xml:space="preserve"/>
        </x:is>
      </x:c>
      <x:c r="J192" s="7" t="inlineStr">
        <x:is>
          <x:t xml:space="preserve"/>
        </x:is>
      </x:c>
      <x:c r="K192" s="6" t="inlineStr">
        <x:is>
          <x:t xml:space="preserve"/>
        </x:is>
      </x:c>
      <x:c r="L192" s="7" t="inlineStr">
        <x:is>
          <x:t xml:space="preserve"/>
        </x:is>
      </x:c>
      <x:c r="M192" s="6" t="inlineStr">
        <x:is>
          <x:t xml:space="preserve"/>
        </x:is>
      </x:c>
      <x:c r="N192" s="6" t="inlineStr">
        <x:is>
          <x:t xml:space="preserve"/>
        </x:is>
      </x:c>
    </x:row>
    <x:row r="193">
      <x:c r="A193" s="7">
        <x:f>IF(B193="","", "T-"&amp;TEXT(ROW()-1,"00000"))</x:f>
      </x:c>
      <x:c r="B193" s="7" t="inlineStr">
        <x:is>
          <x:t xml:space="preserve"/>
        </x:is>
      </x:c>
      <x:c r="C193" s="7" t="inlineStr">
        <x:is>
          <x:t xml:space="preserve"/>
        </x:is>
      </x:c>
      <x:c r="D193" s="7">
        <x:f>IF(B193="","",VALUE(MID(B193,2,4)))</x:f>
      </x:c>
      <x:c r="E193" s="7">
        <x:f>IF(B193="","",MID(B193,6,2))</x:f>
      </x:c>
      <x:c r="F193" s="8" t="inlineStr">
        <x:is>
          <x:t xml:space="preserve"/>
        </x:is>
      </x:c>
      <x:c r="G193" s="6" t="inlineStr">
        <x:is>
          <x:t xml:space="preserve"/>
        </x:is>
      </x:c>
      <x:c r="H193" s="7" t="inlineStr">
        <x:is>
          <x:t xml:space="preserve"/>
        </x:is>
      </x:c>
      <x:c r="I193" s="7" t="inlineStr">
        <x:is>
          <x:t xml:space="preserve"/>
        </x:is>
      </x:c>
      <x:c r="J193" s="7" t="inlineStr">
        <x:is>
          <x:t xml:space="preserve"/>
        </x:is>
      </x:c>
      <x:c r="K193" s="6" t="inlineStr">
        <x:is>
          <x:t xml:space="preserve"/>
        </x:is>
      </x:c>
      <x:c r="L193" s="7" t="inlineStr">
        <x:is>
          <x:t xml:space="preserve"/>
        </x:is>
      </x:c>
      <x:c r="M193" s="6" t="inlineStr">
        <x:is>
          <x:t xml:space="preserve"/>
        </x:is>
      </x:c>
      <x:c r="N193" s="6" t="inlineStr">
        <x:is>
          <x:t xml:space="preserve"/>
        </x:is>
      </x:c>
    </x:row>
    <x:row r="194">
      <x:c r="A194" s="7">
        <x:f>IF(B194="","", "T-"&amp;TEXT(ROW()-1,"00000"))</x:f>
      </x:c>
      <x:c r="B194" s="7" t="inlineStr">
        <x:is>
          <x:t xml:space="preserve"/>
        </x:is>
      </x:c>
      <x:c r="C194" s="7" t="inlineStr">
        <x:is>
          <x:t xml:space="preserve"/>
        </x:is>
      </x:c>
      <x:c r="D194" s="7">
        <x:f>IF(B194="","",VALUE(MID(B194,2,4)))</x:f>
      </x:c>
      <x:c r="E194" s="7">
        <x:f>IF(B194="","",MID(B194,6,2))</x:f>
      </x:c>
      <x:c r="F194" s="8" t="inlineStr">
        <x:is>
          <x:t xml:space="preserve"/>
        </x:is>
      </x:c>
      <x:c r="G194" s="6" t="inlineStr">
        <x:is>
          <x:t xml:space="preserve"/>
        </x:is>
      </x:c>
      <x:c r="H194" s="7" t="inlineStr">
        <x:is>
          <x:t xml:space="preserve"/>
        </x:is>
      </x:c>
      <x:c r="I194" s="7" t="inlineStr">
        <x:is>
          <x:t xml:space="preserve"/>
        </x:is>
      </x:c>
      <x:c r="J194" s="7" t="inlineStr">
        <x:is>
          <x:t xml:space="preserve"/>
        </x:is>
      </x:c>
      <x:c r="K194" s="6" t="inlineStr">
        <x:is>
          <x:t xml:space="preserve"/>
        </x:is>
      </x:c>
      <x:c r="L194" s="7" t="inlineStr">
        <x:is>
          <x:t xml:space="preserve"/>
        </x:is>
      </x:c>
      <x:c r="M194" s="6" t="inlineStr">
        <x:is>
          <x:t xml:space="preserve"/>
        </x:is>
      </x:c>
      <x:c r="N194" s="6" t="inlineStr">
        <x:is>
          <x:t xml:space="preserve"/>
        </x:is>
      </x:c>
    </x:row>
    <x:row r="195">
      <x:c r="A195" s="7">
        <x:f>IF(B195="","", "T-"&amp;TEXT(ROW()-1,"00000"))</x:f>
      </x:c>
      <x:c r="B195" s="7" t="inlineStr">
        <x:is>
          <x:t xml:space="preserve"/>
        </x:is>
      </x:c>
      <x:c r="C195" s="7" t="inlineStr">
        <x:is>
          <x:t xml:space="preserve"/>
        </x:is>
      </x:c>
      <x:c r="D195" s="7">
        <x:f>IF(B195="","",VALUE(MID(B195,2,4)))</x:f>
      </x:c>
      <x:c r="E195" s="7">
        <x:f>IF(B195="","",MID(B195,6,2))</x:f>
      </x:c>
      <x:c r="F195" s="8" t="inlineStr">
        <x:is>
          <x:t xml:space="preserve"/>
        </x:is>
      </x:c>
      <x:c r="G195" s="6" t="inlineStr">
        <x:is>
          <x:t xml:space="preserve"/>
        </x:is>
      </x:c>
      <x:c r="H195" s="7" t="inlineStr">
        <x:is>
          <x:t xml:space="preserve"/>
        </x:is>
      </x:c>
      <x:c r="I195" s="7" t="inlineStr">
        <x:is>
          <x:t xml:space="preserve"/>
        </x:is>
      </x:c>
      <x:c r="J195" s="7" t="inlineStr">
        <x:is>
          <x:t xml:space="preserve"/>
        </x:is>
      </x:c>
      <x:c r="K195" s="6" t="inlineStr">
        <x:is>
          <x:t xml:space="preserve"/>
        </x:is>
      </x:c>
      <x:c r="L195" s="7" t="inlineStr">
        <x:is>
          <x:t xml:space="preserve"/>
        </x:is>
      </x:c>
      <x:c r="M195" s="6" t="inlineStr">
        <x:is>
          <x:t xml:space="preserve"/>
        </x:is>
      </x:c>
      <x:c r="N195" s="6" t="inlineStr">
        <x:is>
          <x:t xml:space="preserve"/>
        </x:is>
      </x:c>
    </x:row>
    <x:row r="196">
      <x:c r="A196" s="7">
        <x:f>IF(B196="","", "T-"&amp;TEXT(ROW()-1,"00000"))</x:f>
      </x:c>
      <x:c r="B196" s="7" t="inlineStr">
        <x:is>
          <x:t xml:space="preserve"/>
        </x:is>
      </x:c>
      <x:c r="C196" s="7" t="inlineStr">
        <x:is>
          <x:t xml:space="preserve"/>
        </x:is>
      </x:c>
      <x:c r="D196" s="7">
        <x:f>IF(B196="","",VALUE(MID(B196,2,4)))</x:f>
      </x:c>
      <x:c r="E196" s="7">
        <x:f>IF(B196="","",MID(B196,6,2))</x:f>
      </x:c>
      <x:c r="F196" s="8" t="inlineStr">
        <x:is>
          <x:t xml:space="preserve"/>
        </x:is>
      </x:c>
      <x:c r="G196" s="6" t="inlineStr">
        <x:is>
          <x:t xml:space="preserve"/>
        </x:is>
      </x:c>
      <x:c r="H196" s="7" t="inlineStr">
        <x:is>
          <x:t xml:space="preserve"/>
        </x:is>
      </x:c>
      <x:c r="I196" s="7" t="inlineStr">
        <x:is>
          <x:t xml:space="preserve"/>
        </x:is>
      </x:c>
      <x:c r="J196" s="7" t="inlineStr">
        <x:is>
          <x:t xml:space="preserve"/>
        </x:is>
      </x:c>
      <x:c r="K196" s="6" t="inlineStr">
        <x:is>
          <x:t xml:space="preserve"/>
        </x:is>
      </x:c>
      <x:c r="L196" s="7" t="inlineStr">
        <x:is>
          <x:t xml:space="preserve"/>
        </x:is>
      </x:c>
      <x:c r="M196" s="6" t="inlineStr">
        <x:is>
          <x:t xml:space="preserve"/>
        </x:is>
      </x:c>
      <x:c r="N196" s="6" t="inlineStr">
        <x:is>
          <x:t xml:space="preserve"/>
        </x:is>
      </x:c>
    </x:row>
    <x:row r="197">
      <x:c r="A197" s="7">
        <x:f>IF(B197="","", "T-"&amp;TEXT(ROW()-1,"00000"))</x:f>
      </x:c>
      <x:c r="B197" s="7" t="inlineStr">
        <x:is>
          <x:t xml:space="preserve"/>
        </x:is>
      </x:c>
      <x:c r="C197" s="7" t="inlineStr">
        <x:is>
          <x:t xml:space="preserve"/>
        </x:is>
      </x:c>
      <x:c r="D197" s="7">
        <x:f>IF(B197="","",VALUE(MID(B197,2,4)))</x:f>
      </x:c>
      <x:c r="E197" s="7">
        <x:f>IF(B197="","",MID(B197,6,2))</x:f>
      </x:c>
      <x:c r="F197" s="8" t="inlineStr">
        <x:is>
          <x:t xml:space="preserve"/>
        </x:is>
      </x:c>
      <x:c r="G197" s="6" t="inlineStr">
        <x:is>
          <x:t xml:space="preserve"/>
        </x:is>
      </x:c>
      <x:c r="H197" s="7" t="inlineStr">
        <x:is>
          <x:t xml:space="preserve"/>
        </x:is>
      </x:c>
      <x:c r="I197" s="7" t="inlineStr">
        <x:is>
          <x:t xml:space="preserve"/>
        </x:is>
      </x:c>
      <x:c r="J197" s="7" t="inlineStr">
        <x:is>
          <x:t xml:space="preserve"/>
        </x:is>
      </x:c>
      <x:c r="K197" s="6" t="inlineStr">
        <x:is>
          <x:t xml:space="preserve"/>
        </x:is>
      </x:c>
      <x:c r="L197" s="7" t="inlineStr">
        <x:is>
          <x:t xml:space="preserve"/>
        </x:is>
      </x:c>
      <x:c r="M197" s="6" t="inlineStr">
        <x:is>
          <x:t xml:space="preserve"/>
        </x:is>
      </x:c>
      <x:c r="N197" s="6" t="inlineStr">
        <x:is>
          <x:t xml:space="preserve"/>
        </x:is>
      </x:c>
    </x:row>
    <x:row r="198">
      <x:c r="A198" s="7">
        <x:f>IF(B198="","", "T-"&amp;TEXT(ROW()-1,"00000"))</x:f>
      </x:c>
      <x:c r="B198" s="7" t="inlineStr">
        <x:is>
          <x:t xml:space="preserve"/>
        </x:is>
      </x:c>
      <x:c r="C198" s="7" t="inlineStr">
        <x:is>
          <x:t xml:space="preserve"/>
        </x:is>
      </x:c>
      <x:c r="D198" s="7">
        <x:f>IF(B198="","",VALUE(MID(B198,2,4)))</x:f>
      </x:c>
      <x:c r="E198" s="7">
        <x:f>IF(B198="","",MID(B198,6,2))</x:f>
      </x:c>
      <x:c r="F198" s="8" t="inlineStr">
        <x:is>
          <x:t xml:space="preserve"/>
        </x:is>
      </x:c>
      <x:c r="G198" s="6" t="inlineStr">
        <x:is>
          <x:t xml:space="preserve"/>
        </x:is>
      </x:c>
      <x:c r="H198" s="7" t="inlineStr">
        <x:is>
          <x:t xml:space="preserve"/>
        </x:is>
      </x:c>
      <x:c r="I198" s="7" t="inlineStr">
        <x:is>
          <x:t xml:space="preserve"/>
        </x:is>
      </x:c>
      <x:c r="J198" s="7" t="inlineStr">
        <x:is>
          <x:t xml:space="preserve"/>
        </x:is>
      </x:c>
      <x:c r="K198" s="6" t="inlineStr">
        <x:is>
          <x:t xml:space="preserve"/>
        </x:is>
      </x:c>
      <x:c r="L198" s="7" t="inlineStr">
        <x:is>
          <x:t xml:space="preserve"/>
        </x:is>
      </x:c>
      <x:c r="M198" s="6" t="inlineStr">
        <x:is>
          <x:t xml:space="preserve"/>
        </x:is>
      </x:c>
      <x:c r="N198" s="6" t="inlineStr">
        <x:is>
          <x:t xml:space="preserve"/>
        </x:is>
      </x:c>
    </x:row>
    <x:row r="199">
      <x:c r="A199" s="7">
        <x:f>IF(B199="","", "T-"&amp;TEXT(ROW()-1,"00000"))</x:f>
      </x:c>
      <x:c r="B199" s="7" t="inlineStr">
        <x:is>
          <x:t xml:space="preserve"/>
        </x:is>
      </x:c>
      <x:c r="C199" s="7" t="inlineStr">
        <x:is>
          <x:t xml:space="preserve"/>
        </x:is>
      </x:c>
      <x:c r="D199" s="7">
        <x:f>IF(B199="","",VALUE(MID(B199,2,4)))</x:f>
      </x:c>
      <x:c r="E199" s="7">
        <x:f>IF(B199="","",MID(B199,6,2))</x:f>
      </x:c>
      <x:c r="F199" s="8" t="inlineStr">
        <x:is>
          <x:t xml:space="preserve"/>
        </x:is>
      </x:c>
      <x:c r="G199" s="6" t="inlineStr">
        <x:is>
          <x:t xml:space="preserve"/>
        </x:is>
      </x:c>
      <x:c r="H199" s="7" t="inlineStr">
        <x:is>
          <x:t xml:space="preserve"/>
        </x:is>
      </x:c>
      <x:c r="I199" s="7" t="inlineStr">
        <x:is>
          <x:t xml:space="preserve"/>
        </x:is>
      </x:c>
      <x:c r="J199" s="7" t="inlineStr">
        <x:is>
          <x:t xml:space="preserve"/>
        </x:is>
      </x:c>
      <x:c r="K199" s="6" t="inlineStr">
        <x:is>
          <x:t xml:space="preserve"/>
        </x:is>
      </x:c>
      <x:c r="L199" s="7" t="inlineStr">
        <x:is>
          <x:t xml:space="preserve"/>
        </x:is>
      </x:c>
      <x:c r="M199" s="6" t="inlineStr">
        <x:is>
          <x:t xml:space="preserve"/>
        </x:is>
      </x:c>
      <x:c r="N199" s="6" t="inlineStr">
        <x:is>
          <x:t xml:space="preserve"/>
        </x:is>
      </x:c>
    </x:row>
    <x:row r="200">
      <x:c r="A200" s="7">
        <x:f>IF(B200="","", "T-"&amp;TEXT(ROW()-1,"00000"))</x:f>
      </x:c>
      <x:c r="B200" s="7" t="inlineStr">
        <x:is>
          <x:t xml:space="preserve"/>
        </x:is>
      </x:c>
      <x:c r="C200" s="7" t="inlineStr">
        <x:is>
          <x:t xml:space="preserve"/>
        </x:is>
      </x:c>
      <x:c r="D200" s="7">
        <x:f>IF(B200="","",VALUE(MID(B200,2,4)))</x:f>
      </x:c>
      <x:c r="E200" s="7">
        <x:f>IF(B200="","",MID(B200,6,2))</x:f>
      </x:c>
      <x:c r="F200" s="8" t="inlineStr">
        <x:is>
          <x:t xml:space="preserve"/>
        </x:is>
      </x:c>
      <x:c r="G200" s="6" t="inlineStr">
        <x:is>
          <x:t xml:space="preserve"/>
        </x:is>
      </x:c>
      <x:c r="H200" s="7" t="inlineStr">
        <x:is>
          <x:t xml:space="preserve"/>
        </x:is>
      </x:c>
      <x:c r="I200" s="7" t="inlineStr">
        <x:is>
          <x:t xml:space="preserve"/>
        </x:is>
      </x:c>
      <x:c r="J200" s="7" t="inlineStr">
        <x:is>
          <x:t xml:space="preserve"/>
        </x:is>
      </x:c>
      <x:c r="K200" s="6" t="inlineStr">
        <x:is>
          <x:t xml:space="preserve"/>
        </x:is>
      </x:c>
      <x:c r="L200" s="7" t="inlineStr">
        <x:is>
          <x:t xml:space="preserve"/>
        </x:is>
      </x:c>
      <x:c r="M200" s="6" t="inlineStr">
        <x:is>
          <x:t xml:space="preserve"/>
        </x:is>
      </x:c>
      <x:c r="N200" s="6" t="inlineStr">
        <x:is>
          <x:t xml:space="preserve"/>
        </x:is>
      </x:c>
    </x:row>
    <x:row r="201">
      <x:c r="A201" s="7">
        <x:f>IF(B201="","", "T-"&amp;TEXT(ROW()-1,"00000"))</x:f>
      </x:c>
      <x:c r="B201" s="7" t="inlineStr">
        <x:is>
          <x:t xml:space="preserve"/>
        </x:is>
      </x:c>
      <x:c r="C201" s="7" t="inlineStr">
        <x:is>
          <x:t xml:space="preserve"/>
        </x:is>
      </x:c>
      <x:c r="D201" s="7">
        <x:f>IF(B201="","",VALUE(MID(B201,2,4)))</x:f>
      </x:c>
      <x:c r="E201" s="7">
        <x:f>IF(B201="","",MID(B201,6,2))</x:f>
      </x:c>
      <x:c r="F201" s="8" t="inlineStr">
        <x:is>
          <x:t xml:space="preserve"/>
        </x:is>
      </x:c>
      <x:c r="G201" s="6" t="inlineStr">
        <x:is>
          <x:t xml:space="preserve"/>
        </x:is>
      </x:c>
      <x:c r="H201" s="7" t="inlineStr">
        <x:is>
          <x:t xml:space="preserve"/>
        </x:is>
      </x:c>
      <x:c r="I201" s="7" t="inlineStr">
        <x:is>
          <x:t xml:space="preserve"/>
        </x:is>
      </x:c>
      <x:c r="J201" s="7" t="inlineStr">
        <x:is>
          <x:t xml:space="preserve"/>
        </x:is>
      </x:c>
      <x:c r="K201" s="6" t="inlineStr">
        <x:is>
          <x:t xml:space="preserve"/>
        </x:is>
      </x:c>
      <x:c r="L201" s="7" t="inlineStr">
        <x:is>
          <x:t xml:space="preserve"/>
        </x:is>
      </x:c>
      <x:c r="M201" s="6" t="inlineStr">
        <x:is>
          <x:t xml:space="preserve"/>
        </x:is>
      </x:c>
      <x:c r="N201" s="6" t="inlineStr">
        <x:is>
          <x:t xml:space="preserve"/>
        </x:is>
      </x:c>
    </x:row>
    <x:row r="202">
      <x:c r="A202" s="7">
        <x:f>IF(B202="","", "T-"&amp;TEXT(ROW()-1,"00000"))</x:f>
      </x:c>
      <x:c r="B202" s="7" t="inlineStr">
        <x:is>
          <x:t xml:space="preserve"/>
        </x:is>
      </x:c>
      <x:c r="C202" s="7" t="inlineStr">
        <x:is>
          <x:t xml:space="preserve"/>
        </x:is>
      </x:c>
      <x:c r="D202" s="7">
        <x:f>IF(B202="","",VALUE(MID(B202,2,4)))</x:f>
      </x:c>
      <x:c r="E202" s="7">
        <x:f>IF(B202="","",MID(B202,6,2))</x:f>
      </x:c>
      <x:c r="F202" s="8" t="inlineStr">
        <x:is>
          <x:t xml:space="preserve"/>
        </x:is>
      </x:c>
      <x:c r="G202" s="6" t="inlineStr">
        <x:is>
          <x:t xml:space="preserve"/>
        </x:is>
      </x:c>
      <x:c r="H202" s="7" t="inlineStr">
        <x:is>
          <x:t xml:space="preserve"/>
        </x:is>
      </x:c>
      <x:c r="I202" s="7" t="inlineStr">
        <x:is>
          <x:t xml:space="preserve"/>
        </x:is>
      </x:c>
      <x:c r="J202" s="7" t="inlineStr">
        <x:is>
          <x:t xml:space="preserve"/>
        </x:is>
      </x:c>
      <x:c r="K202" s="6" t="inlineStr">
        <x:is>
          <x:t xml:space="preserve"/>
        </x:is>
      </x:c>
      <x:c r="L202" s="7" t="inlineStr">
        <x:is>
          <x:t xml:space="preserve"/>
        </x:is>
      </x:c>
      <x:c r="M202" s="6" t="inlineStr">
        <x:is>
          <x:t xml:space="preserve"/>
        </x:is>
      </x:c>
      <x:c r="N202" s="6" t="inlineStr">
        <x:is>
          <x:t xml:space="preserve"/>
        </x:is>
      </x:c>
    </x:row>
    <x:row r="203">
      <x:c r="A203" s="7">
        <x:f>IF(B203="","", "T-"&amp;TEXT(ROW()-1,"00000"))</x:f>
      </x:c>
      <x:c r="B203" s="7" t="inlineStr">
        <x:is>
          <x:t xml:space="preserve"/>
        </x:is>
      </x:c>
      <x:c r="C203" s="7" t="inlineStr">
        <x:is>
          <x:t xml:space="preserve"/>
        </x:is>
      </x:c>
      <x:c r="D203" s="7">
        <x:f>IF(B203="","",VALUE(MID(B203,2,4)))</x:f>
      </x:c>
      <x:c r="E203" s="7">
        <x:f>IF(B203="","",MID(B203,6,2))</x:f>
      </x:c>
      <x:c r="F203" s="8" t="inlineStr">
        <x:is>
          <x:t xml:space="preserve"/>
        </x:is>
      </x:c>
      <x:c r="G203" s="6" t="inlineStr">
        <x:is>
          <x:t xml:space="preserve"/>
        </x:is>
      </x:c>
      <x:c r="H203" s="7" t="inlineStr">
        <x:is>
          <x:t xml:space="preserve"/>
        </x:is>
      </x:c>
      <x:c r="I203" s="7" t="inlineStr">
        <x:is>
          <x:t xml:space="preserve"/>
        </x:is>
      </x:c>
      <x:c r="J203" s="7" t="inlineStr">
        <x:is>
          <x:t xml:space="preserve"/>
        </x:is>
      </x:c>
      <x:c r="K203" s="6" t="inlineStr">
        <x:is>
          <x:t xml:space="preserve"/>
        </x:is>
      </x:c>
      <x:c r="L203" s="7" t="inlineStr">
        <x:is>
          <x:t xml:space="preserve"/>
        </x:is>
      </x:c>
      <x:c r="M203" s="6" t="inlineStr">
        <x:is>
          <x:t xml:space="preserve"/>
        </x:is>
      </x:c>
      <x:c r="N203" s="6" t="inlineStr">
        <x:is>
          <x:t xml:space="preserve"/>
        </x:is>
      </x:c>
    </x:row>
    <x:row r="204">
      <x:c r="A204" s="7">
        <x:f>IF(B204="","", "T-"&amp;TEXT(ROW()-1,"00000"))</x:f>
      </x:c>
      <x:c r="B204" s="7" t="inlineStr">
        <x:is>
          <x:t xml:space="preserve"/>
        </x:is>
      </x:c>
      <x:c r="C204" s="7" t="inlineStr">
        <x:is>
          <x:t xml:space="preserve"/>
        </x:is>
      </x:c>
      <x:c r="D204" s="7">
        <x:f>IF(B204="","",VALUE(MID(B204,2,4)))</x:f>
      </x:c>
      <x:c r="E204" s="7">
        <x:f>IF(B204="","",MID(B204,6,2))</x:f>
      </x:c>
      <x:c r="F204" s="8" t="inlineStr">
        <x:is>
          <x:t xml:space="preserve"/>
        </x:is>
      </x:c>
      <x:c r="G204" s="6" t="inlineStr">
        <x:is>
          <x:t xml:space="preserve"/>
        </x:is>
      </x:c>
      <x:c r="H204" s="7" t="inlineStr">
        <x:is>
          <x:t xml:space="preserve"/>
        </x:is>
      </x:c>
      <x:c r="I204" s="7" t="inlineStr">
        <x:is>
          <x:t xml:space="preserve"/>
        </x:is>
      </x:c>
      <x:c r="J204" s="7" t="inlineStr">
        <x:is>
          <x:t xml:space="preserve"/>
        </x:is>
      </x:c>
      <x:c r="K204" s="6" t="inlineStr">
        <x:is>
          <x:t xml:space="preserve"/>
        </x:is>
      </x:c>
      <x:c r="L204" s="7" t="inlineStr">
        <x:is>
          <x:t xml:space="preserve"/>
        </x:is>
      </x:c>
      <x:c r="M204" s="6" t="inlineStr">
        <x:is>
          <x:t xml:space="preserve"/>
        </x:is>
      </x:c>
      <x:c r="N204" s="6" t="inlineStr">
        <x:is>
          <x:t xml:space="preserve"/>
        </x:is>
      </x:c>
    </x:row>
    <x:row r="205">
      <x:c r="A205" s="7">
        <x:f>IF(B205="","", "T-"&amp;TEXT(ROW()-1,"00000"))</x:f>
      </x:c>
      <x:c r="B205" s="7" t="inlineStr">
        <x:is>
          <x:t xml:space="preserve"/>
        </x:is>
      </x:c>
      <x:c r="C205" s="7" t="inlineStr">
        <x:is>
          <x:t xml:space="preserve"/>
        </x:is>
      </x:c>
      <x:c r="D205" s="7">
        <x:f>IF(B205="","",VALUE(MID(B205,2,4)))</x:f>
      </x:c>
      <x:c r="E205" s="7">
        <x:f>IF(B205="","",MID(B205,6,2))</x:f>
      </x:c>
      <x:c r="F205" s="8" t="inlineStr">
        <x:is>
          <x:t xml:space="preserve"/>
        </x:is>
      </x:c>
      <x:c r="G205" s="6" t="inlineStr">
        <x:is>
          <x:t xml:space="preserve"/>
        </x:is>
      </x:c>
      <x:c r="H205" s="7" t="inlineStr">
        <x:is>
          <x:t xml:space="preserve"/>
        </x:is>
      </x:c>
      <x:c r="I205" s="7" t="inlineStr">
        <x:is>
          <x:t xml:space="preserve"/>
        </x:is>
      </x:c>
      <x:c r="J205" s="7" t="inlineStr">
        <x:is>
          <x:t xml:space="preserve"/>
        </x:is>
      </x:c>
      <x:c r="K205" s="6" t="inlineStr">
        <x:is>
          <x:t xml:space="preserve"/>
        </x:is>
      </x:c>
      <x:c r="L205" s="7" t="inlineStr">
        <x:is>
          <x:t xml:space="preserve"/>
        </x:is>
      </x:c>
      <x:c r="M205" s="6" t="inlineStr">
        <x:is>
          <x:t xml:space="preserve"/>
        </x:is>
      </x:c>
      <x:c r="N205" s="6" t="inlineStr">
        <x:is>
          <x:t xml:space="preserve"/>
        </x:is>
      </x:c>
    </x:row>
    <x:row r="206">
      <x:c r="A206" s="7">
        <x:f>IF(B206="","", "T-"&amp;TEXT(ROW()-1,"00000"))</x:f>
      </x:c>
      <x:c r="B206" s="7" t="inlineStr">
        <x:is>
          <x:t xml:space="preserve"/>
        </x:is>
      </x:c>
      <x:c r="C206" s="7" t="inlineStr">
        <x:is>
          <x:t xml:space="preserve"/>
        </x:is>
      </x:c>
      <x:c r="D206" s="7">
        <x:f>IF(B206="","",VALUE(MID(B206,2,4)))</x:f>
      </x:c>
      <x:c r="E206" s="7">
        <x:f>IF(B206="","",MID(B206,6,2))</x:f>
      </x:c>
      <x:c r="F206" s="8" t="inlineStr">
        <x:is>
          <x:t xml:space="preserve"/>
        </x:is>
      </x:c>
      <x:c r="G206" s="6" t="inlineStr">
        <x:is>
          <x:t xml:space="preserve"/>
        </x:is>
      </x:c>
      <x:c r="H206" s="7" t="inlineStr">
        <x:is>
          <x:t xml:space="preserve"/>
        </x:is>
      </x:c>
      <x:c r="I206" s="7" t="inlineStr">
        <x:is>
          <x:t xml:space="preserve"/>
        </x:is>
      </x:c>
      <x:c r="J206" s="7" t="inlineStr">
        <x:is>
          <x:t xml:space="preserve"/>
        </x:is>
      </x:c>
      <x:c r="K206" s="6" t="inlineStr">
        <x:is>
          <x:t xml:space="preserve"/>
        </x:is>
      </x:c>
      <x:c r="L206" s="7" t="inlineStr">
        <x:is>
          <x:t xml:space="preserve"/>
        </x:is>
      </x:c>
      <x:c r="M206" s="6" t="inlineStr">
        <x:is>
          <x:t xml:space="preserve"/>
        </x:is>
      </x:c>
      <x:c r="N206" s="6" t="inlineStr">
        <x:is>
          <x:t xml:space="preserve"/>
        </x:is>
      </x:c>
    </x:row>
    <x:row r="207">
      <x:c r="A207" s="7">
        <x:f>IF(B207="","", "T-"&amp;TEXT(ROW()-1,"00000"))</x:f>
      </x:c>
      <x:c r="B207" s="7" t="inlineStr">
        <x:is>
          <x:t xml:space="preserve"/>
        </x:is>
      </x:c>
      <x:c r="C207" s="7" t="inlineStr">
        <x:is>
          <x:t xml:space="preserve"/>
        </x:is>
      </x:c>
      <x:c r="D207" s="7">
        <x:f>IF(B207="","",VALUE(MID(B207,2,4)))</x:f>
      </x:c>
      <x:c r="E207" s="7">
        <x:f>IF(B207="","",MID(B207,6,2))</x:f>
      </x:c>
      <x:c r="F207" s="8" t="inlineStr">
        <x:is>
          <x:t xml:space="preserve"/>
        </x:is>
      </x:c>
      <x:c r="G207" s="6" t="inlineStr">
        <x:is>
          <x:t xml:space="preserve"/>
        </x:is>
      </x:c>
      <x:c r="H207" s="7" t="inlineStr">
        <x:is>
          <x:t xml:space="preserve"/>
        </x:is>
      </x:c>
      <x:c r="I207" s="7" t="inlineStr">
        <x:is>
          <x:t xml:space="preserve"/>
        </x:is>
      </x:c>
      <x:c r="J207" s="7" t="inlineStr">
        <x:is>
          <x:t xml:space="preserve"/>
        </x:is>
      </x:c>
      <x:c r="K207" s="6" t="inlineStr">
        <x:is>
          <x:t xml:space="preserve"/>
        </x:is>
      </x:c>
      <x:c r="L207" s="7" t="inlineStr">
        <x:is>
          <x:t xml:space="preserve"/>
        </x:is>
      </x:c>
      <x:c r="M207" s="6" t="inlineStr">
        <x:is>
          <x:t xml:space="preserve"/>
        </x:is>
      </x:c>
      <x:c r="N207" s="6" t="inlineStr">
        <x:is>
          <x:t xml:space="preserve"/>
        </x:is>
      </x:c>
    </x:row>
    <x:row r="208">
      <x:c r="A208" s="7">
        <x:f>IF(B208="","", "T-"&amp;TEXT(ROW()-1,"00000"))</x:f>
      </x:c>
      <x:c r="B208" s="7" t="inlineStr">
        <x:is>
          <x:t xml:space="preserve"/>
        </x:is>
      </x:c>
      <x:c r="C208" s="7" t="inlineStr">
        <x:is>
          <x:t xml:space="preserve"/>
        </x:is>
      </x:c>
      <x:c r="D208" s="7">
        <x:f>IF(B208="","",VALUE(MID(B208,2,4)))</x:f>
      </x:c>
      <x:c r="E208" s="7">
        <x:f>IF(B208="","",MID(B208,6,2))</x:f>
      </x:c>
      <x:c r="F208" s="8" t="inlineStr">
        <x:is>
          <x:t xml:space="preserve"/>
        </x:is>
      </x:c>
      <x:c r="G208" s="6" t="inlineStr">
        <x:is>
          <x:t xml:space="preserve"/>
        </x:is>
      </x:c>
      <x:c r="H208" s="7" t="inlineStr">
        <x:is>
          <x:t xml:space="preserve"/>
        </x:is>
      </x:c>
      <x:c r="I208" s="7" t="inlineStr">
        <x:is>
          <x:t xml:space="preserve"/>
        </x:is>
      </x:c>
      <x:c r="J208" s="7" t="inlineStr">
        <x:is>
          <x:t xml:space="preserve"/>
        </x:is>
      </x:c>
      <x:c r="K208" s="6" t="inlineStr">
        <x:is>
          <x:t xml:space="preserve"/>
        </x:is>
      </x:c>
      <x:c r="L208" s="7" t="inlineStr">
        <x:is>
          <x:t xml:space="preserve"/>
        </x:is>
      </x:c>
      <x:c r="M208" s="6" t="inlineStr">
        <x:is>
          <x:t xml:space="preserve"/>
        </x:is>
      </x:c>
      <x:c r="N208" s="6" t="inlineStr">
        <x:is>
          <x:t xml:space="preserve"/>
        </x:is>
      </x:c>
    </x:row>
    <x:row r="209">
      <x:c r="A209" s="7">
        <x:f>IF(B209="","", "T-"&amp;TEXT(ROW()-1,"00000"))</x:f>
      </x:c>
      <x:c r="B209" s="7" t="inlineStr">
        <x:is>
          <x:t xml:space="preserve"/>
        </x:is>
      </x:c>
      <x:c r="C209" s="7" t="inlineStr">
        <x:is>
          <x:t xml:space="preserve"/>
        </x:is>
      </x:c>
      <x:c r="D209" s="7">
        <x:f>IF(B209="","",VALUE(MID(B209,2,4)))</x:f>
      </x:c>
      <x:c r="E209" s="7">
        <x:f>IF(B209="","",MID(B209,6,2))</x:f>
      </x:c>
      <x:c r="F209" s="8" t="inlineStr">
        <x:is>
          <x:t xml:space="preserve"/>
        </x:is>
      </x:c>
      <x:c r="G209" s="6" t="inlineStr">
        <x:is>
          <x:t xml:space="preserve"/>
        </x:is>
      </x:c>
      <x:c r="H209" s="7" t="inlineStr">
        <x:is>
          <x:t xml:space="preserve"/>
        </x:is>
      </x:c>
      <x:c r="I209" s="7" t="inlineStr">
        <x:is>
          <x:t xml:space="preserve"/>
        </x:is>
      </x:c>
      <x:c r="J209" s="7" t="inlineStr">
        <x:is>
          <x:t xml:space="preserve"/>
        </x:is>
      </x:c>
      <x:c r="K209" s="6" t="inlineStr">
        <x:is>
          <x:t xml:space="preserve"/>
        </x:is>
      </x:c>
      <x:c r="L209" s="7" t="inlineStr">
        <x:is>
          <x:t xml:space="preserve"/>
        </x:is>
      </x:c>
      <x:c r="M209" s="6" t="inlineStr">
        <x:is>
          <x:t xml:space="preserve"/>
        </x:is>
      </x:c>
      <x:c r="N209" s="6" t="inlineStr">
        <x:is>
          <x:t xml:space="preserve"/>
        </x:is>
      </x:c>
    </x:row>
    <x:row r="210">
      <x:c r="A210" s="7">
        <x:f>IF(B210="","", "T-"&amp;TEXT(ROW()-1,"00000"))</x:f>
      </x:c>
      <x:c r="B210" s="7" t="inlineStr">
        <x:is>
          <x:t xml:space="preserve"/>
        </x:is>
      </x:c>
      <x:c r="C210" s="7" t="inlineStr">
        <x:is>
          <x:t xml:space="preserve"/>
        </x:is>
      </x:c>
      <x:c r="D210" s="7">
        <x:f>IF(B210="","",VALUE(MID(B210,2,4)))</x:f>
      </x:c>
      <x:c r="E210" s="7">
        <x:f>IF(B210="","",MID(B210,6,2))</x:f>
      </x:c>
      <x:c r="F210" s="8" t="inlineStr">
        <x:is>
          <x:t xml:space="preserve"/>
        </x:is>
      </x:c>
      <x:c r="G210" s="6" t="inlineStr">
        <x:is>
          <x:t xml:space="preserve"/>
        </x:is>
      </x:c>
      <x:c r="H210" s="7" t="inlineStr">
        <x:is>
          <x:t xml:space="preserve"/>
        </x:is>
      </x:c>
      <x:c r="I210" s="7" t="inlineStr">
        <x:is>
          <x:t xml:space="preserve"/>
        </x:is>
      </x:c>
      <x:c r="J210" s="7" t="inlineStr">
        <x:is>
          <x:t xml:space="preserve"/>
        </x:is>
      </x:c>
      <x:c r="K210" s="6" t="inlineStr">
        <x:is>
          <x:t xml:space="preserve"/>
        </x:is>
      </x:c>
      <x:c r="L210" s="7" t="inlineStr">
        <x:is>
          <x:t xml:space="preserve"/>
        </x:is>
      </x:c>
      <x:c r="M210" s="6" t="inlineStr">
        <x:is>
          <x:t xml:space="preserve"/>
        </x:is>
      </x:c>
      <x:c r="N210" s="6" t="inlineStr">
        <x:is>
          <x:t xml:space="preserve"/>
        </x:is>
      </x:c>
    </x:row>
    <x:row r="211">
      <x:c r="A211" s="7">
        <x:f>IF(B211="","", "T-"&amp;TEXT(ROW()-1,"00000"))</x:f>
      </x:c>
      <x:c r="B211" s="7" t="inlineStr">
        <x:is>
          <x:t xml:space="preserve"/>
        </x:is>
      </x:c>
      <x:c r="C211" s="7" t="inlineStr">
        <x:is>
          <x:t xml:space="preserve"/>
        </x:is>
      </x:c>
      <x:c r="D211" s="7">
        <x:f>IF(B211="","",VALUE(MID(B211,2,4)))</x:f>
      </x:c>
      <x:c r="E211" s="7">
        <x:f>IF(B211="","",MID(B211,6,2))</x:f>
      </x:c>
      <x:c r="F211" s="8" t="inlineStr">
        <x:is>
          <x:t xml:space="preserve"/>
        </x:is>
      </x:c>
      <x:c r="G211" s="6" t="inlineStr">
        <x:is>
          <x:t xml:space="preserve"/>
        </x:is>
      </x:c>
      <x:c r="H211" s="7" t="inlineStr">
        <x:is>
          <x:t xml:space="preserve"/>
        </x:is>
      </x:c>
      <x:c r="I211" s="7" t="inlineStr">
        <x:is>
          <x:t xml:space="preserve"/>
        </x:is>
      </x:c>
      <x:c r="J211" s="7" t="inlineStr">
        <x:is>
          <x:t xml:space="preserve"/>
        </x:is>
      </x:c>
      <x:c r="K211" s="6" t="inlineStr">
        <x:is>
          <x:t xml:space="preserve"/>
        </x:is>
      </x:c>
      <x:c r="L211" s="7" t="inlineStr">
        <x:is>
          <x:t xml:space="preserve"/>
        </x:is>
      </x:c>
      <x:c r="M211" s="6" t="inlineStr">
        <x:is>
          <x:t xml:space="preserve"/>
        </x:is>
      </x:c>
      <x:c r="N211" s="6" t="inlineStr">
        <x:is>
          <x:t xml:space="preserve"/>
        </x:is>
      </x:c>
    </x:row>
    <x:row r="212">
      <x:c r="A212" s="7">
        <x:f>IF(B212="","", "T-"&amp;TEXT(ROW()-1,"00000"))</x:f>
      </x:c>
      <x:c r="B212" s="7" t="inlineStr">
        <x:is>
          <x:t xml:space="preserve"/>
        </x:is>
      </x:c>
      <x:c r="C212" s="7" t="inlineStr">
        <x:is>
          <x:t xml:space="preserve"/>
        </x:is>
      </x:c>
      <x:c r="D212" s="7">
        <x:f>IF(B212="","",VALUE(MID(B212,2,4)))</x:f>
      </x:c>
      <x:c r="E212" s="7">
        <x:f>IF(B212="","",MID(B212,6,2))</x:f>
      </x:c>
      <x:c r="F212" s="8" t="inlineStr">
        <x:is>
          <x:t xml:space="preserve"/>
        </x:is>
      </x:c>
      <x:c r="G212" s="6" t="inlineStr">
        <x:is>
          <x:t xml:space="preserve"/>
        </x:is>
      </x:c>
      <x:c r="H212" s="7" t="inlineStr">
        <x:is>
          <x:t xml:space="preserve"/>
        </x:is>
      </x:c>
      <x:c r="I212" s="7" t="inlineStr">
        <x:is>
          <x:t xml:space="preserve"/>
        </x:is>
      </x:c>
      <x:c r="J212" s="7" t="inlineStr">
        <x:is>
          <x:t xml:space="preserve"/>
        </x:is>
      </x:c>
      <x:c r="K212" s="6" t="inlineStr">
        <x:is>
          <x:t xml:space="preserve"/>
        </x:is>
      </x:c>
      <x:c r="L212" s="7" t="inlineStr">
        <x:is>
          <x:t xml:space="preserve"/>
        </x:is>
      </x:c>
      <x:c r="M212" s="6" t="inlineStr">
        <x:is>
          <x:t xml:space="preserve"/>
        </x:is>
      </x:c>
      <x:c r="N212" s="6" t="inlineStr">
        <x:is>
          <x:t xml:space="preserve"/>
        </x:is>
      </x:c>
    </x:row>
    <x:row r="213">
      <x:c r="A213" s="7">
        <x:f>IF(B213="","", "T-"&amp;TEXT(ROW()-1,"00000"))</x:f>
      </x:c>
      <x:c r="B213" s="7" t="inlineStr">
        <x:is>
          <x:t xml:space="preserve"/>
        </x:is>
      </x:c>
      <x:c r="C213" s="7" t="inlineStr">
        <x:is>
          <x:t xml:space="preserve"/>
        </x:is>
      </x:c>
      <x:c r="D213" s="7">
        <x:f>IF(B213="","",VALUE(MID(B213,2,4)))</x:f>
      </x:c>
      <x:c r="E213" s="7">
        <x:f>IF(B213="","",MID(B213,6,2))</x:f>
      </x:c>
      <x:c r="F213" s="8" t="inlineStr">
        <x:is>
          <x:t xml:space="preserve"/>
        </x:is>
      </x:c>
      <x:c r="G213" s="6" t="inlineStr">
        <x:is>
          <x:t xml:space="preserve"/>
        </x:is>
      </x:c>
      <x:c r="H213" s="7" t="inlineStr">
        <x:is>
          <x:t xml:space="preserve"/>
        </x:is>
      </x:c>
      <x:c r="I213" s="7" t="inlineStr">
        <x:is>
          <x:t xml:space="preserve"/>
        </x:is>
      </x:c>
      <x:c r="J213" s="7" t="inlineStr">
        <x:is>
          <x:t xml:space="preserve"/>
        </x:is>
      </x:c>
      <x:c r="K213" s="6" t="inlineStr">
        <x:is>
          <x:t xml:space="preserve"/>
        </x:is>
      </x:c>
      <x:c r="L213" s="7" t="inlineStr">
        <x:is>
          <x:t xml:space="preserve"/>
        </x:is>
      </x:c>
      <x:c r="M213" s="6" t="inlineStr">
        <x:is>
          <x:t xml:space="preserve"/>
        </x:is>
      </x:c>
      <x:c r="N213" s="6" t="inlineStr">
        <x:is>
          <x:t xml:space="preserve"/>
        </x:is>
      </x:c>
    </x:row>
    <x:row r="214">
      <x:c r="A214" s="7">
        <x:f>IF(B214="","", "T-"&amp;TEXT(ROW()-1,"00000"))</x:f>
      </x:c>
      <x:c r="B214" s="7" t="inlineStr">
        <x:is>
          <x:t xml:space="preserve"/>
        </x:is>
      </x:c>
      <x:c r="C214" s="7" t="inlineStr">
        <x:is>
          <x:t xml:space="preserve"/>
        </x:is>
      </x:c>
      <x:c r="D214" s="7">
        <x:f>IF(B214="","",VALUE(MID(B214,2,4)))</x:f>
      </x:c>
      <x:c r="E214" s="7">
        <x:f>IF(B214="","",MID(B214,6,2))</x:f>
      </x:c>
      <x:c r="F214" s="8" t="inlineStr">
        <x:is>
          <x:t xml:space="preserve"/>
        </x:is>
      </x:c>
      <x:c r="G214" s="6" t="inlineStr">
        <x:is>
          <x:t xml:space="preserve"/>
        </x:is>
      </x:c>
      <x:c r="H214" s="7" t="inlineStr">
        <x:is>
          <x:t xml:space="preserve"/>
        </x:is>
      </x:c>
      <x:c r="I214" s="7" t="inlineStr">
        <x:is>
          <x:t xml:space="preserve"/>
        </x:is>
      </x:c>
      <x:c r="J214" s="7" t="inlineStr">
        <x:is>
          <x:t xml:space="preserve"/>
        </x:is>
      </x:c>
      <x:c r="K214" s="6" t="inlineStr">
        <x:is>
          <x:t xml:space="preserve"/>
        </x:is>
      </x:c>
      <x:c r="L214" s="7" t="inlineStr">
        <x:is>
          <x:t xml:space="preserve"/>
        </x:is>
      </x:c>
      <x:c r="M214" s="6" t="inlineStr">
        <x:is>
          <x:t xml:space="preserve"/>
        </x:is>
      </x:c>
      <x:c r="N214" s="6" t="inlineStr">
        <x:is>
          <x:t xml:space="preserve"/>
        </x:is>
      </x:c>
    </x:row>
    <x:row r="215">
      <x:c r="A215" s="7">
        <x:f>IF(B215="","", "T-"&amp;TEXT(ROW()-1,"00000"))</x:f>
      </x:c>
      <x:c r="B215" s="7" t="inlineStr">
        <x:is>
          <x:t xml:space="preserve"/>
        </x:is>
      </x:c>
      <x:c r="C215" s="7" t="inlineStr">
        <x:is>
          <x:t xml:space="preserve"/>
        </x:is>
      </x:c>
      <x:c r="D215" s="7">
        <x:f>IF(B215="","",VALUE(MID(B215,2,4)))</x:f>
      </x:c>
      <x:c r="E215" s="7">
        <x:f>IF(B215="","",MID(B215,6,2))</x:f>
      </x:c>
      <x:c r="F215" s="8" t="inlineStr">
        <x:is>
          <x:t xml:space="preserve"/>
        </x:is>
      </x:c>
      <x:c r="G215" s="6" t="inlineStr">
        <x:is>
          <x:t xml:space="preserve"/>
        </x:is>
      </x:c>
      <x:c r="H215" s="7" t="inlineStr">
        <x:is>
          <x:t xml:space="preserve"/>
        </x:is>
      </x:c>
      <x:c r="I215" s="7" t="inlineStr">
        <x:is>
          <x:t xml:space="preserve"/>
        </x:is>
      </x:c>
      <x:c r="J215" s="7" t="inlineStr">
        <x:is>
          <x:t xml:space="preserve"/>
        </x:is>
      </x:c>
      <x:c r="K215" s="6" t="inlineStr">
        <x:is>
          <x:t xml:space="preserve"/>
        </x:is>
      </x:c>
      <x:c r="L215" s="7" t="inlineStr">
        <x:is>
          <x:t xml:space="preserve"/>
        </x:is>
      </x:c>
      <x:c r="M215" s="6" t="inlineStr">
        <x:is>
          <x:t xml:space="preserve"/>
        </x:is>
      </x:c>
      <x:c r="N215" s="6" t="inlineStr">
        <x:is>
          <x:t xml:space="preserve"/>
        </x:is>
      </x:c>
    </x:row>
    <x:row r="216">
      <x:c r="A216" s="7">
        <x:f>IF(B216="","", "T-"&amp;TEXT(ROW()-1,"00000"))</x:f>
      </x:c>
      <x:c r="B216" s="7" t="inlineStr">
        <x:is>
          <x:t xml:space="preserve"/>
        </x:is>
      </x:c>
      <x:c r="C216" s="7" t="inlineStr">
        <x:is>
          <x:t xml:space="preserve"/>
        </x:is>
      </x:c>
      <x:c r="D216" s="7">
        <x:f>IF(B216="","",VALUE(MID(B216,2,4)))</x:f>
      </x:c>
      <x:c r="E216" s="7">
        <x:f>IF(B216="","",MID(B216,6,2))</x:f>
      </x:c>
      <x:c r="F216" s="8" t="inlineStr">
        <x:is>
          <x:t xml:space="preserve"/>
        </x:is>
      </x:c>
      <x:c r="G216" s="6" t="inlineStr">
        <x:is>
          <x:t xml:space="preserve"/>
        </x:is>
      </x:c>
      <x:c r="H216" s="7" t="inlineStr">
        <x:is>
          <x:t xml:space="preserve"/>
        </x:is>
      </x:c>
      <x:c r="I216" s="7" t="inlineStr">
        <x:is>
          <x:t xml:space="preserve"/>
        </x:is>
      </x:c>
      <x:c r="J216" s="7" t="inlineStr">
        <x:is>
          <x:t xml:space="preserve"/>
        </x:is>
      </x:c>
      <x:c r="K216" s="6" t="inlineStr">
        <x:is>
          <x:t xml:space="preserve"/>
        </x:is>
      </x:c>
      <x:c r="L216" s="7" t="inlineStr">
        <x:is>
          <x:t xml:space="preserve"/>
        </x:is>
      </x:c>
      <x:c r="M216" s="6" t="inlineStr">
        <x:is>
          <x:t xml:space="preserve"/>
        </x:is>
      </x:c>
      <x:c r="N216" s="6" t="inlineStr">
        <x:is>
          <x:t xml:space="preserve"/>
        </x:is>
      </x:c>
    </x:row>
    <x:row r="217">
      <x:c r="A217" s="7">
        <x:f>IF(B217="","", "T-"&amp;TEXT(ROW()-1,"00000"))</x:f>
      </x:c>
      <x:c r="B217" s="7" t="inlineStr">
        <x:is>
          <x:t xml:space="preserve"/>
        </x:is>
      </x:c>
      <x:c r="C217" s="7" t="inlineStr">
        <x:is>
          <x:t xml:space="preserve"/>
        </x:is>
      </x:c>
      <x:c r="D217" s="7">
        <x:f>IF(B217="","",VALUE(MID(B217,2,4)))</x:f>
      </x:c>
      <x:c r="E217" s="7">
        <x:f>IF(B217="","",MID(B217,6,2))</x:f>
      </x:c>
      <x:c r="F217" s="8" t="inlineStr">
        <x:is>
          <x:t xml:space="preserve"/>
        </x:is>
      </x:c>
      <x:c r="G217" s="6" t="inlineStr">
        <x:is>
          <x:t xml:space="preserve"/>
        </x:is>
      </x:c>
      <x:c r="H217" s="7" t="inlineStr">
        <x:is>
          <x:t xml:space="preserve"/>
        </x:is>
      </x:c>
      <x:c r="I217" s="7" t="inlineStr">
        <x:is>
          <x:t xml:space="preserve"/>
        </x:is>
      </x:c>
      <x:c r="J217" s="7" t="inlineStr">
        <x:is>
          <x:t xml:space="preserve"/>
        </x:is>
      </x:c>
      <x:c r="K217" s="6" t="inlineStr">
        <x:is>
          <x:t xml:space="preserve"/>
        </x:is>
      </x:c>
      <x:c r="L217" s="7" t="inlineStr">
        <x:is>
          <x:t xml:space="preserve"/>
        </x:is>
      </x:c>
      <x:c r="M217" s="6" t="inlineStr">
        <x:is>
          <x:t xml:space="preserve"/>
        </x:is>
      </x:c>
      <x:c r="N217" s="6" t="inlineStr">
        <x:is>
          <x:t xml:space="preserve"/>
        </x:is>
      </x:c>
    </x:row>
    <x:row r="218">
      <x:c r="A218" s="7">
        <x:f>IF(B218="","", "T-"&amp;TEXT(ROW()-1,"00000"))</x:f>
      </x:c>
      <x:c r="B218" s="7" t="inlineStr">
        <x:is>
          <x:t xml:space="preserve"/>
        </x:is>
      </x:c>
      <x:c r="C218" s="7" t="inlineStr">
        <x:is>
          <x:t xml:space="preserve"/>
        </x:is>
      </x:c>
      <x:c r="D218" s="7">
        <x:f>IF(B218="","",VALUE(MID(B218,2,4)))</x:f>
      </x:c>
      <x:c r="E218" s="7">
        <x:f>IF(B218="","",MID(B218,6,2))</x:f>
      </x:c>
      <x:c r="F218" s="8" t="inlineStr">
        <x:is>
          <x:t xml:space="preserve"/>
        </x:is>
      </x:c>
      <x:c r="G218" s="6" t="inlineStr">
        <x:is>
          <x:t xml:space="preserve"/>
        </x:is>
      </x:c>
      <x:c r="H218" s="7" t="inlineStr">
        <x:is>
          <x:t xml:space="preserve"/>
        </x:is>
      </x:c>
      <x:c r="I218" s="7" t="inlineStr">
        <x:is>
          <x:t xml:space="preserve"/>
        </x:is>
      </x:c>
      <x:c r="J218" s="7" t="inlineStr">
        <x:is>
          <x:t xml:space="preserve"/>
        </x:is>
      </x:c>
      <x:c r="K218" s="6" t="inlineStr">
        <x:is>
          <x:t xml:space="preserve"/>
        </x:is>
      </x:c>
      <x:c r="L218" s="7" t="inlineStr">
        <x:is>
          <x:t xml:space="preserve"/>
        </x:is>
      </x:c>
      <x:c r="M218" s="6" t="inlineStr">
        <x:is>
          <x:t xml:space="preserve"/>
        </x:is>
      </x:c>
      <x:c r="N218" s="6" t="inlineStr">
        <x:is>
          <x:t xml:space="preserve"/>
        </x:is>
      </x:c>
    </x:row>
    <x:row r="219">
      <x:c r="A219" s="7">
        <x:f>IF(B219="","", "T-"&amp;TEXT(ROW()-1,"00000"))</x:f>
      </x:c>
      <x:c r="B219" s="7" t="inlineStr">
        <x:is>
          <x:t xml:space="preserve"/>
        </x:is>
      </x:c>
      <x:c r="C219" s="7" t="inlineStr">
        <x:is>
          <x:t xml:space="preserve"/>
        </x:is>
      </x:c>
      <x:c r="D219" s="7">
        <x:f>IF(B219="","",VALUE(MID(B219,2,4)))</x:f>
      </x:c>
      <x:c r="E219" s="7">
        <x:f>IF(B219="","",MID(B219,6,2))</x:f>
      </x:c>
      <x:c r="F219" s="8" t="inlineStr">
        <x:is>
          <x:t xml:space="preserve"/>
        </x:is>
      </x:c>
      <x:c r="G219" s="6" t="inlineStr">
        <x:is>
          <x:t xml:space="preserve"/>
        </x:is>
      </x:c>
      <x:c r="H219" s="7" t="inlineStr">
        <x:is>
          <x:t xml:space="preserve"/>
        </x:is>
      </x:c>
      <x:c r="I219" s="7" t="inlineStr">
        <x:is>
          <x:t xml:space="preserve"/>
        </x:is>
      </x:c>
      <x:c r="J219" s="7" t="inlineStr">
        <x:is>
          <x:t xml:space="preserve"/>
        </x:is>
      </x:c>
      <x:c r="K219" s="6" t="inlineStr">
        <x:is>
          <x:t xml:space="preserve"/>
        </x:is>
      </x:c>
      <x:c r="L219" s="7" t="inlineStr">
        <x:is>
          <x:t xml:space="preserve"/>
        </x:is>
      </x:c>
      <x:c r="M219" s="6" t="inlineStr">
        <x:is>
          <x:t xml:space="preserve"/>
        </x:is>
      </x:c>
      <x:c r="N219" s="6" t="inlineStr">
        <x:is>
          <x:t xml:space="preserve"/>
        </x:is>
      </x:c>
    </x:row>
    <x:row r="220">
      <x:c r="A220" s="7">
        <x:f>IF(B220="","", "T-"&amp;TEXT(ROW()-1,"00000"))</x:f>
      </x:c>
      <x:c r="B220" s="7" t="inlineStr">
        <x:is>
          <x:t xml:space="preserve"/>
        </x:is>
      </x:c>
      <x:c r="C220" s="7" t="inlineStr">
        <x:is>
          <x:t xml:space="preserve"/>
        </x:is>
      </x:c>
      <x:c r="D220" s="7">
        <x:f>IF(B220="","",VALUE(MID(B220,2,4)))</x:f>
      </x:c>
      <x:c r="E220" s="7">
        <x:f>IF(B220="","",MID(B220,6,2))</x:f>
      </x:c>
      <x:c r="F220" s="8" t="inlineStr">
        <x:is>
          <x:t xml:space="preserve"/>
        </x:is>
      </x:c>
      <x:c r="G220" s="6" t="inlineStr">
        <x:is>
          <x:t xml:space="preserve"/>
        </x:is>
      </x:c>
      <x:c r="H220" s="7" t="inlineStr">
        <x:is>
          <x:t xml:space="preserve"/>
        </x:is>
      </x:c>
      <x:c r="I220" s="7" t="inlineStr">
        <x:is>
          <x:t xml:space="preserve"/>
        </x:is>
      </x:c>
      <x:c r="J220" s="7" t="inlineStr">
        <x:is>
          <x:t xml:space="preserve"/>
        </x:is>
      </x:c>
      <x:c r="K220" s="6" t="inlineStr">
        <x:is>
          <x:t xml:space="preserve"/>
        </x:is>
      </x:c>
      <x:c r="L220" s="7" t="inlineStr">
        <x:is>
          <x:t xml:space="preserve"/>
        </x:is>
      </x:c>
      <x:c r="M220" s="6" t="inlineStr">
        <x:is>
          <x:t xml:space="preserve"/>
        </x:is>
      </x:c>
      <x:c r="N220" s="6" t="inlineStr">
        <x:is>
          <x:t xml:space="preserve"/>
        </x:is>
      </x:c>
    </x:row>
    <x:row r="221">
      <x:c r="A221" s="7">
        <x:f>IF(B221="","", "T-"&amp;TEXT(ROW()-1,"00000"))</x:f>
      </x:c>
      <x:c r="B221" s="7" t="inlineStr">
        <x:is>
          <x:t xml:space="preserve"/>
        </x:is>
      </x:c>
      <x:c r="C221" s="7" t="inlineStr">
        <x:is>
          <x:t xml:space="preserve"/>
        </x:is>
      </x:c>
      <x:c r="D221" s="7">
        <x:f>IF(B221="","",VALUE(MID(B221,2,4)))</x:f>
      </x:c>
      <x:c r="E221" s="7">
        <x:f>IF(B221="","",MID(B221,6,2))</x:f>
      </x:c>
      <x:c r="F221" s="8" t="inlineStr">
        <x:is>
          <x:t xml:space="preserve"/>
        </x:is>
      </x:c>
      <x:c r="G221" s="6" t="inlineStr">
        <x:is>
          <x:t xml:space="preserve"/>
        </x:is>
      </x:c>
      <x:c r="H221" s="7" t="inlineStr">
        <x:is>
          <x:t xml:space="preserve"/>
        </x:is>
      </x:c>
      <x:c r="I221" s="7" t="inlineStr">
        <x:is>
          <x:t xml:space="preserve"/>
        </x:is>
      </x:c>
      <x:c r="J221" s="7" t="inlineStr">
        <x:is>
          <x:t xml:space="preserve"/>
        </x:is>
      </x:c>
      <x:c r="K221" s="6" t="inlineStr">
        <x:is>
          <x:t xml:space="preserve"/>
        </x:is>
      </x:c>
      <x:c r="L221" s="7" t="inlineStr">
        <x:is>
          <x:t xml:space="preserve"/>
        </x:is>
      </x:c>
      <x:c r="M221" s="6" t="inlineStr">
        <x:is>
          <x:t xml:space="preserve"/>
        </x:is>
      </x:c>
      <x:c r="N221" s="6" t="inlineStr">
        <x:is>
          <x:t xml:space="preserve"/>
        </x:is>
      </x:c>
    </x:row>
    <x:row r="222">
      <x:c r="A222" s="7">
        <x:f>IF(B222="","", "T-"&amp;TEXT(ROW()-1,"00000"))</x:f>
      </x:c>
      <x:c r="B222" s="7" t="inlineStr">
        <x:is>
          <x:t xml:space="preserve"/>
        </x:is>
      </x:c>
      <x:c r="C222" s="7" t="inlineStr">
        <x:is>
          <x:t xml:space="preserve"/>
        </x:is>
      </x:c>
      <x:c r="D222" s="7">
        <x:f>IF(B222="","",VALUE(MID(B222,2,4)))</x:f>
      </x:c>
      <x:c r="E222" s="7">
        <x:f>IF(B222="","",MID(B222,6,2))</x:f>
      </x:c>
      <x:c r="F222" s="8" t="inlineStr">
        <x:is>
          <x:t xml:space="preserve"/>
        </x:is>
      </x:c>
      <x:c r="G222" s="6" t="inlineStr">
        <x:is>
          <x:t xml:space="preserve"/>
        </x:is>
      </x:c>
      <x:c r="H222" s="7" t="inlineStr">
        <x:is>
          <x:t xml:space="preserve"/>
        </x:is>
      </x:c>
      <x:c r="I222" s="7" t="inlineStr">
        <x:is>
          <x:t xml:space="preserve"/>
        </x:is>
      </x:c>
      <x:c r="J222" s="7" t="inlineStr">
        <x:is>
          <x:t xml:space="preserve"/>
        </x:is>
      </x:c>
      <x:c r="K222" s="6" t="inlineStr">
        <x:is>
          <x:t xml:space="preserve"/>
        </x:is>
      </x:c>
      <x:c r="L222" s="7" t="inlineStr">
        <x:is>
          <x:t xml:space="preserve"/>
        </x:is>
      </x:c>
      <x:c r="M222" s="6" t="inlineStr">
        <x:is>
          <x:t xml:space="preserve"/>
        </x:is>
      </x:c>
      <x:c r="N222" s="6" t="inlineStr">
        <x:is>
          <x:t xml:space="preserve"/>
        </x:is>
      </x:c>
    </x:row>
    <x:row r="223">
      <x:c r="A223" s="7">
        <x:f>IF(B223="","", "T-"&amp;TEXT(ROW()-1,"00000"))</x:f>
      </x:c>
      <x:c r="B223" s="7" t="inlineStr">
        <x:is>
          <x:t xml:space="preserve"/>
        </x:is>
      </x:c>
      <x:c r="C223" s="7" t="inlineStr">
        <x:is>
          <x:t xml:space="preserve"/>
        </x:is>
      </x:c>
      <x:c r="D223" s="7">
        <x:f>IF(B223="","",VALUE(MID(B223,2,4)))</x:f>
      </x:c>
      <x:c r="E223" s="7">
        <x:f>IF(B223="","",MID(B223,6,2))</x:f>
      </x:c>
      <x:c r="F223" s="8" t="inlineStr">
        <x:is>
          <x:t xml:space="preserve"/>
        </x:is>
      </x:c>
      <x:c r="G223" s="6" t="inlineStr">
        <x:is>
          <x:t xml:space="preserve"/>
        </x:is>
      </x:c>
      <x:c r="H223" s="7" t="inlineStr">
        <x:is>
          <x:t xml:space="preserve"/>
        </x:is>
      </x:c>
      <x:c r="I223" s="7" t="inlineStr">
        <x:is>
          <x:t xml:space="preserve"/>
        </x:is>
      </x:c>
      <x:c r="J223" s="7" t="inlineStr">
        <x:is>
          <x:t xml:space="preserve"/>
        </x:is>
      </x:c>
      <x:c r="K223" s="6" t="inlineStr">
        <x:is>
          <x:t xml:space="preserve"/>
        </x:is>
      </x:c>
      <x:c r="L223" s="7" t="inlineStr">
        <x:is>
          <x:t xml:space="preserve"/>
        </x:is>
      </x:c>
      <x:c r="M223" s="6" t="inlineStr">
        <x:is>
          <x:t xml:space="preserve"/>
        </x:is>
      </x:c>
      <x:c r="N223" s="6" t="inlineStr">
        <x:is>
          <x:t xml:space="preserve"/>
        </x:is>
      </x:c>
    </x:row>
    <x:row r="224">
      <x:c r="A224" s="7">
        <x:f>IF(B224="","", "T-"&amp;TEXT(ROW()-1,"00000"))</x:f>
      </x:c>
      <x:c r="B224" s="7" t="inlineStr">
        <x:is>
          <x:t xml:space="preserve"/>
        </x:is>
      </x:c>
      <x:c r="C224" s="7" t="inlineStr">
        <x:is>
          <x:t xml:space="preserve"/>
        </x:is>
      </x:c>
      <x:c r="D224" s="7">
        <x:f>IF(B224="","",VALUE(MID(B224,2,4)))</x:f>
      </x:c>
      <x:c r="E224" s="7">
        <x:f>IF(B224="","",MID(B224,6,2))</x:f>
      </x:c>
      <x:c r="F224" s="8" t="inlineStr">
        <x:is>
          <x:t xml:space="preserve"/>
        </x:is>
      </x:c>
      <x:c r="G224" s="6" t="inlineStr">
        <x:is>
          <x:t xml:space="preserve"/>
        </x:is>
      </x:c>
      <x:c r="H224" s="7" t="inlineStr">
        <x:is>
          <x:t xml:space="preserve"/>
        </x:is>
      </x:c>
      <x:c r="I224" s="7" t="inlineStr">
        <x:is>
          <x:t xml:space="preserve"/>
        </x:is>
      </x:c>
      <x:c r="J224" s="7" t="inlineStr">
        <x:is>
          <x:t xml:space="preserve"/>
        </x:is>
      </x:c>
      <x:c r="K224" s="6" t="inlineStr">
        <x:is>
          <x:t xml:space="preserve"/>
        </x:is>
      </x:c>
      <x:c r="L224" s="7" t="inlineStr">
        <x:is>
          <x:t xml:space="preserve"/>
        </x:is>
      </x:c>
      <x:c r="M224" s="6" t="inlineStr">
        <x:is>
          <x:t xml:space="preserve"/>
        </x:is>
      </x:c>
      <x:c r="N224" s="6" t="inlineStr">
        <x:is>
          <x:t xml:space="preserve"/>
        </x:is>
      </x:c>
    </x:row>
    <x:row r="225">
      <x:c r="A225" s="7">
        <x:f>IF(B225="","", "T-"&amp;TEXT(ROW()-1,"00000"))</x:f>
      </x:c>
      <x:c r="B225" s="7" t="inlineStr">
        <x:is>
          <x:t xml:space="preserve"/>
        </x:is>
      </x:c>
      <x:c r="C225" s="7" t="inlineStr">
        <x:is>
          <x:t xml:space="preserve"/>
        </x:is>
      </x:c>
      <x:c r="D225" s="7">
        <x:f>IF(B225="","",VALUE(MID(B225,2,4)))</x:f>
      </x:c>
      <x:c r="E225" s="7">
        <x:f>IF(B225="","",MID(B225,6,2))</x:f>
      </x:c>
      <x:c r="F225" s="8" t="inlineStr">
        <x:is>
          <x:t xml:space="preserve"/>
        </x:is>
      </x:c>
      <x:c r="G225" s="6" t="inlineStr">
        <x:is>
          <x:t xml:space="preserve"/>
        </x:is>
      </x:c>
      <x:c r="H225" s="7" t="inlineStr">
        <x:is>
          <x:t xml:space="preserve"/>
        </x:is>
      </x:c>
      <x:c r="I225" s="7" t="inlineStr">
        <x:is>
          <x:t xml:space="preserve"/>
        </x:is>
      </x:c>
      <x:c r="J225" s="7" t="inlineStr">
        <x:is>
          <x:t xml:space="preserve"/>
        </x:is>
      </x:c>
      <x:c r="K225" s="6" t="inlineStr">
        <x:is>
          <x:t xml:space="preserve"/>
        </x:is>
      </x:c>
      <x:c r="L225" s="7" t="inlineStr">
        <x:is>
          <x:t xml:space="preserve"/>
        </x:is>
      </x:c>
      <x:c r="M225" s="6" t="inlineStr">
        <x:is>
          <x:t xml:space="preserve"/>
        </x:is>
      </x:c>
      <x:c r="N225" s="6" t="inlineStr">
        <x:is>
          <x:t xml:space="preserve"/>
        </x:is>
      </x:c>
    </x:row>
    <x:row r="226">
      <x:c r="A226" s="7">
        <x:f>IF(B226="","", "T-"&amp;TEXT(ROW()-1,"00000"))</x:f>
      </x:c>
      <x:c r="B226" s="7" t="inlineStr">
        <x:is>
          <x:t xml:space="preserve"/>
        </x:is>
      </x:c>
      <x:c r="C226" s="7" t="inlineStr">
        <x:is>
          <x:t xml:space="preserve"/>
        </x:is>
      </x:c>
      <x:c r="D226" s="7">
        <x:f>IF(B226="","",VALUE(MID(B226,2,4)))</x:f>
      </x:c>
      <x:c r="E226" s="7">
        <x:f>IF(B226="","",MID(B226,6,2))</x:f>
      </x:c>
      <x:c r="F226" s="8" t="inlineStr">
        <x:is>
          <x:t xml:space="preserve"/>
        </x:is>
      </x:c>
      <x:c r="G226" s="6" t="inlineStr">
        <x:is>
          <x:t xml:space="preserve"/>
        </x:is>
      </x:c>
      <x:c r="H226" s="7" t="inlineStr">
        <x:is>
          <x:t xml:space="preserve"/>
        </x:is>
      </x:c>
      <x:c r="I226" s="7" t="inlineStr">
        <x:is>
          <x:t xml:space="preserve"/>
        </x:is>
      </x:c>
      <x:c r="J226" s="7" t="inlineStr">
        <x:is>
          <x:t xml:space="preserve"/>
        </x:is>
      </x:c>
      <x:c r="K226" s="6" t="inlineStr">
        <x:is>
          <x:t xml:space="preserve"/>
        </x:is>
      </x:c>
      <x:c r="L226" s="7" t="inlineStr">
        <x:is>
          <x:t xml:space="preserve"/>
        </x:is>
      </x:c>
      <x:c r="M226" s="6" t="inlineStr">
        <x:is>
          <x:t xml:space="preserve"/>
        </x:is>
      </x:c>
      <x:c r="N226" s="6" t="inlineStr">
        <x:is>
          <x:t xml:space="preserve"/>
        </x:is>
      </x:c>
    </x:row>
    <x:row r="227">
      <x:c r="A227" s="7">
        <x:f>IF(B227="","", "T-"&amp;TEXT(ROW()-1,"00000"))</x:f>
      </x:c>
      <x:c r="B227" s="7" t="inlineStr">
        <x:is>
          <x:t xml:space="preserve"/>
        </x:is>
      </x:c>
      <x:c r="C227" s="7" t="inlineStr">
        <x:is>
          <x:t xml:space="preserve"/>
        </x:is>
      </x:c>
      <x:c r="D227" s="7">
        <x:f>IF(B227="","",VALUE(MID(B227,2,4)))</x:f>
      </x:c>
      <x:c r="E227" s="7">
        <x:f>IF(B227="","",MID(B227,6,2))</x:f>
      </x:c>
      <x:c r="F227" s="8" t="inlineStr">
        <x:is>
          <x:t xml:space="preserve"/>
        </x:is>
      </x:c>
      <x:c r="G227" s="6" t="inlineStr">
        <x:is>
          <x:t xml:space="preserve"/>
        </x:is>
      </x:c>
      <x:c r="H227" s="7" t="inlineStr">
        <x:is>
          <x:t xml:space="preserve"/>
        </x:is>
      </x:c>
      <x:c r="I227" s="7" t="inlineStr">
        <x:is>
          <x:t xml:space="preserve"/>
        </x:is>
      </x:c>
      <x:c r="J227" s="7" t="inlineStr">
        <x:is>
          <x:t xml:space="preserve"/>
        </x:is>
      </x:c>
      <x:c r="K227" s="6" t="inlineStr">
        <x:is>
          <x:t xml:space="preserve"/>
        </x:is>
      </x:c>
      <x:c r="L227" s="7" t="inlineStr">
        <x:is>
          <x:t xml:space="preserve"/>
        </x:is>
      </x:c>
      <x:c r="M227" s="6" t="inlineStr">
        <x:is>
          <x:t xml:space="preserve"/>
        </x:is>
      </x:c>
      <x:c r="N227" s="6" t="inlineStr">
        <x:is>
          <x:t xml:space="preserve"/>
        </x:is>
      </x:c>
    </x:row>
    <x:row r="228">
      <x:c r="A228" s="7">
        <x:f>IF(B228="","", "T-"&amp;TEXT(ROW()-1,"00000"))</x:f>
      </x:c>
      <x:c r="B228" s="7" t="inlineStr">
        <x:is>
          <x:t xml:space="preserve"/>
        </x:is>
      </x:c>
      <x:c r="C228" s="7" t="inlineStr">
        <x:is>
          <x:t xml:space="preserve"/>
        </x:is>
      </x:c>
      <x:c r="D228" s="7">
        <x:f>IF(B228="","",VALUE(MID(B228,2,4)))</x:f>
      </x:c>
      <x:c r="E228" s="7">
        <x:f>IF(B228="","",MID(B228,6,2))</x:f>
      </x:c>
      <x:c r="F228" s="8" t="inlineStr">
        <x:is>
          <x:t xml:space="preserve"/>
        </x:is>
      </x:c>
      <x:c r="G228" s="6" t="inlineStr">
        <x:is>
          <x:t xml:space="preserve"/>
        </x:is>
      </x:c>
      <x:c r="H228" s="7" t="inlineStr">
        <x:is>
          <x:t xml:space="preserve"/>
        </x:is>
      </x:c>
      <x:c r="I228" s="7" t="inlineStr">
        <x:is>
          <x:t xml:space="preserve"/>
        </x:is>
      </x:c>
      <x:c r="J228" s="7" t="inlineStr">
        <x:is>
          <x:t xml:space="preserve"/>
        </x:is>
      </x:c>
      <x:c r="K228" s="6" t="inlineStr">
        <x:is>
          <x:t xml:space="preserve"/>
        </x:is>
      </x:c>
      <x:c r="L228" s="7" t="inlineStr">
        <x:is>
          <x:t xml:space="preserve"/>
        </x:is>
      </x:c>
      <x:c r="M228" s="6" t="inlineStr">
        <x:is>
          <x:t xml:space="preserve"/>
        </x:is>
      </x:c>
      <x:c r="N228" s="6" t="inlineStr">
        <x:is>
          <x:t xml:space="preserve"/>
        </x:is>
      </x:c>
    </x:row>
    <x:row r="229">
      <x:c r="A229" s="7">
        <x:f>IF(B229="","", "T-"&amp;TEXT(ROW()-1,"00000"))</x:f>
      </x:c>
      <x:c r="B229" s="7" t="inlineStr">
        <x:is>
          <x:t xml:space="preserve"/>
        </x:is>
      </x:c>
      <x:c r="C229" s="7" t="inlineStr">
        <x:is>
          <x:t xml:space="preserve"/>
        </x:is>
      </x:c>
      <x:c r="D229" s="7">
        <x:f>IF(B229="","",VALUE(MID(B229,2,4)))</x:f>
      </x:c>
      <x:c r="E229" s="7">
        <x:f>IF(B229="","",MID(B229,6,2))</x:f>
      </x:c>
      <x:c r="F229" s="8" t="inlineStr">
        <x:is>
          <x:t xml:space="preserve"/>
        </x:is>
      </x:c>
      <x:c r="G229" s="6" t="inlineStr">
        <x:is>
          <x:t xml:space="preserve"/>
        </x:is>
      </x:c>
      <x:c r="H229" s="7" t="inlineStr">
        <x:is>
          <x:t xml:space="preserve"/>
        </x:is>
      </x:c>
      <x:c r="I229" s="7" t="inlineStr">
        <x:is>
          <x:t xml:space="preserve"/>
        </x:is>
      </x:c>
      <x:c r="J229" s="7" t="inlineStr">
        <x:is>
          <x:t xml:space="preserve"/>
        </x:is>
      </x:c>
      <x:c r="K229" s="6" t="inlineStr">
        <x:is>
          <x:t xml:space="preserve"/>
        </x:is>
      </x:c>
      <x:c r="L229" s="7" t="inlineStr">
        <x:is>
          <x:t xml:space="preserve"/>
        </x:is>
      </x:c>
      <x:c r="M229" s="6" t="inlineStr">
        <x:is>
          <x:t xml:space="preserve"/>
        </x:is>
      </x:c>
      <x:c r="N229" s="6" t="inlineStr">
        <x:is>
          <x:t xml:space="preserve"/>
        </x:is>
      </x:c>
    </x:row>
    <x:row r="230">
      <x:c r="A230" s="7">
        <x:f>IF(B230="","", "T-"&amp;TEXT(ROW()-1,"00000"))</x:f>
      </x:c>
      <x:c r="B230" s="7" t="inlineStr">
        <x:is>
          <x:t xml:space="preserve"/>
        </x:is>
      </x:c>
      <x:c r="C230" s="7" t="inlineStr">
        <x:is>
          <x:t xml:space="preserve"/>
        </x:is>
      </x:c>
      <x:c r="D230" s="7">
        <x:f>IF(B230="","",VALUE(MID(B230,2,4)))</x:f>
      </x:c>
      <x:c r="E230" s="7">
        <x:f>IF(B230="","",MID(B230,6,2))</x:f>
      </x:c>
      <x:c r="F230" s="8" t="inlineStr">
        <x:is>
          <x:t xml:space="preserve"/>
        </x:is>
      </x:c>
      <x:c r="G230" s="6" t="inlineStr">
        <x:is>
          <x:t xml:space="preserve"/>
        </x:is>
      </x:c>
      <x:c r="H230" s="7" t="inlineStr">
        <x:is>
          <x:t xml:space="preserve"/>
        </x:is>
      </x:c>
      <x:c r="I230" s="7" t="inlineStr">
        <x:is>
          <x:t xml:space="preserve"/>
        </x:is>
      </x:c>
      <x:c r="J230" s="7" t="inlineStr">
        <x:is>
          <x:t xml:space="preserve"/>
        </x:is>
      </x:c>
      <x:c r="K230" s="6" t="inlineStr">
        <x:is>
          <x:t xml:space="preserve"/>
        </x:is>
      </x:c>
      <x:c r="L230" s="7" t="inlineStr">
        <x:is>
          <x:t xml:space="preserve"/>
        </x:is>
      </x:c>
      <x:c r="M230" s="6" t="inlineStr">
        <x:is>
          <x:t xml:space="preserve"/>
        </x:is>
      </x:c>
      <x:c r="N230" s="6" t="inlineStr">
        <x:is>
          <x:t xml:space="preserve"/>
        </x:is>
      </x:c>
    </x:row>
    <x:row r="231">
      <x:c r="A231" s="7">
        <x:f>IF(B231="","", "T-"&amp;TEXT(ROW()-1,"00000"))</x:f>
      </x:c>
      <x:c r="B231" s="7" t="inlineStr">
        <x:is>
          <x:t xml:space="preserve"/>
        </x:is>
      </x:c>
      <x:c r="C231" s="7" t="inlineStr">
        <x:is>
          <x:t xml:space="preserve"/>
        </x:is>
      </x:c>
      <x:c r="D231" s="7">
        <x:f>IF(B231="","",VALUE(MID(B231,2,4)))</x:f>
      </x:c>
      <x:c r="E231" s="7">
        <x:f>IF(B231="","",MID(B231,6,2))</x:f>
      </x:c>
      <x:c r="F231" s="8" t="inlineStr">
        <x:is>
          <x:t xml:space="preserve"/>
        </x:is>
      </x:c>
      <x:c r="G231" s="6" t="inlineStr">
        <x:is>
          <x:t xml:space="preserve"/>
        </x:is>
      </x:c>
      <x:c r="H231" s="7" t="inlineStr">
        <x:is>
          <x:t xml:space="preserve"/>
        </x:is>
      </x:c>
      <x:c r="I231" s="7" t="inlineStr">
        <x:is>
          <x:t xml:space="preserve"/>
        </x:is>
      </x:c>
      <x:c r="J231" s="7" t="inlineStr">
        <x:is>
          <x:t xml:space="preserve"/>
        </x:is>
      </x:c>
      <x:c r="K231" s="6" t="inlineStr">
        <x:is>
          <x:t xml:space="preserve"/>
        </x:is>
      </x:c>
      <x:c r="L231" s="7" t="inlineStr">
        <x:is>
          <x:t xml:space="preserve"/>
        </x:is>
      </x:c>
      <x:c r="M231" s="6" t="inlineStr">
        <x:is>
          <x:t xml:space="preserve"/>
        </x:is>
      </x:c>
      <x:c r="N231" s="6" t="inlineStr">
        <x:is>
          <x:t xml:space="preserve"/>
        </x:is>
      </x:c>
    </x:row>
    <x:row r="232">
      <x:c r="A232" s="7">
        <x:f>IF(B232="","", "T-"&amp;TEXT(ROW()-1,"00000"))</x:f>
      </x:c>
      <x:c r="B232" s="7" t="inlineStr">
        <x:is>
          <x:t xml:space="preserve"/>
        </x:is>
      </x:c>
      <x:c r="C232" s="7" t="inlineStr">
        <x:is>
          <x:t xml:space="preserve"/>
        </x:is>
      </x:c>
      <x:c r="D232" s="7">
        <x:f>IF(B232="","",VALUE(MID(B232,2,4)))</x:f>
      </x:c>
      <x:c r="E232" s="7">
        <x:f>IF(B232="","",MID(B232,6,2))</x:f>
      </x:c>
      <x:c r="F232" s="8" t="inlineStr">
        <x:is>
          <x:t xml:space="preserve"/>
        </x:is>
      </x:c>
      <x:c r="G232" s="6" t="inlineStr">
        <x:is>
          <x:t xml:space="preserve"/>
        </x:is>
      </x:c>
      <x:c r="H232" s="7" t="inlineStr">
        <x:is>
          <x:t xml:space="preserve"/>
        </x:is>
      </x:c>
      <x:c r="I232" s="7" t="inlineStr">
        <x:is>
          <x:t xml:space="preserve"/>
        </x:is>
      </x:c>
      <x:c r="J232" s="7" t="inlineStr">
        <x:is>
          <x:t xml:space="preserve"/>
        </x:is>
      </x:c>
      <x:c r="K232" s="6" t="inlineStr">
        <x:is>
          <x:t xml:space="preserve"/>
        </x:is>
      </x:c>
      <x:c r="L232" s="7" t="inlineStr">
        <x:is>
          <x:t xml:space="preserve"/>
        </x:is>
      </x:c>
      <x:c r="M232" s="6" t="inlineStr">
        <x:is>
          <x:t xml:space="preserve"/>
        </x:is>
      </x:c>
      <x:c r="N232" s="6" t="inlineStr">
        <x:is>
          <x:t xml:space="preserve"/>
        </x:is>
      </x:c>
    </x:row>
    <x:row r="233">
      <x:c r="A233" s="7">
        <x:f>IF(B233="","", "T-"&amp;TEXT(ROW()-1,"00000"))</x:f>
      </x:c>
      <x:c r="B233" s="7" t="inlineStr">
        <x:is>
          <x:t xml:space="preserve"/>
        </x:is>
      </x:c>
      <x:c r="C233" s="7" t="inlineStr">
        <x:is>
          <x:t xml:space="preserve"/>
        </x:is>
      </x:c>
      <x:c r="D233" s="7">
        <x:f>IF(B233="","",VALUE(MID(B233,2,4)))</x:f>
      </x:c>
      <x:c r="E233" s="7">
        <x:f>IF(B233="","",MID(B233,6,2))</x:f>
      </x:c>
      <x:c r="F233" s="8" t="inlineStr">
        <x:is>
          <x:t xml:space="preserve"/>
        </x:is>
      </x:c>
      <x:c r="G233" s="6" t="inlineStr">
        <x:is>
          <x:t xml:space="preserve"/>
        </x:is>
      </x:c>
      <x:c r="H233" s="7" t="inlineStr">
        <x:is>
          <x:t xml:space="preserve"/>
        </x:is>
      </x:c>
      <x:c r="I233" s="7" t="inlineStr">
        <x:is>
          <x:t xml:space="preserve"/>
        </x:is>
      </x:c>
      <x:c r="J233" s="7" t="inlineStr">
        <x:is>
          <x:t xml:space="preserve"/>
        </x:is>
      </x:c>
      <x:c r="K233" s="6" t="inlineStr">
        <x:is>
          <x:t xml:space="preserve"/>
        </x:is>
      </x:c>
      <x:c r="L233" s="7" t="inlineStr">
        <x:is>
          <x:t xml:space="preserve"/>
        </x:is>
      </x:c>
      <x:c r="M233" s="6" t="inlineStr">
        <x:is>
          <x:t xml:space="preserve"/>
        </x:is>
      </x:c>
      <x:c r="N233" s="6" t="inlineStr">
        <x:is>
          <x:t xml:space="preserve"/>
        </x:is>
      </x:c>
    </x:row>
    <x:row r="234">
      <x:c r="A234" s="7">
        <x:f>IF(B234="","", "T-"&amp;TEXT(ROW()-1,"00000"))</x:f>
      </x:c>
      <x:c r="B234" s="7" t="inlineStr">
        <x:is>
          <x:t xml:space="preserve"/>
        </x:is>
      </x:c>
      <x:c r="C234" s="7" t="inlineStr">
        <x:is>
          <x:t xml:space="preserve"/>
        </x:is>
      </x:c>
      <x:c r="D234" s="7">
        <x:f>IF(B234="","",VALUE(MID(B234,2,4)))</x:f>
      </x:c>
      <x:c r="E234" s="7">
        <x:f>IF(B234="","",MID(B234,6,2))</x:f>
      </x:c>
      <x:c r="F234" s="8" t="inlineStr">
        <x:is>
          <x:t xml:space="preserve"/>
        </x:is>
      </x:c>
      <x:c r="G234" s="6" t="inlineStr">
        <x:is>
          <x:t xml:space="preserve"/>
        </x:is>
      </x:c>
      <x:c r="H234" s="7" t="inlineStr">
        <x:is>
          <x:t xml:space="preserve"/>
        </x:is>
      </x:c>
      <x:c r="I234" s="7" t="inlineStr">
        <x:is>
          <x:t xml:space="preserve"/>
        </x:is>
      </x:c>
      <x:c r="J234" s="7" t="inlineStr">
        <x:is>
          <x:t xml:space="preserve"/>
        </x:is>
      </x:c>
      <x:c r="K234" s="6" t="inlineStr">
        <x:is>
          <x:t xml:space="preserve"/>
        </x:is>
      </x:c>
      <x:c r="L234" s="7" t="inlineStr">
        <x:is>
          <x:t xml:space="preserve"/>
        </x:is>
      </x:c>
      <x:c r="M234" s="6" t="inlineStr">
        <x:is>
          <x:t xml:space="preserve"/>
        </x:is>
      </x:c>
      <x:c r="N234" s="6" t="inlineStr">
        <x:is>
          <x:t xml:space="preserve"/>
        </x:is>
      </x:c>
    </x:row>
    <x:row r="235">
      <x:c r="A235" s="7">
        <x:f>IF(B235="","", "T-"&amp;TEXT(ROW()-1,"00000"))</x:f>
      </x:c>
      <x:c r="B235" s="7" t="inlineStr">
        <x:is>
          <x:t xml:space="preserve"/>
        </x:is>
      </x:c>
      <x:c r="C235" s="7" t="inlineStr">
        <x:is>
          <x:t xml:space="preserve"/>
        </x:is>
      </x:c>
      <x:c r="D235" s="7">
        <x:f>IF(B235="","",VALUE(MID(B235,2,4)))</x:f>
      </x:c>
      <x:c r="E235" s="7">
        <x:f>IF(B235="","",MID(B235,6,2))</x:f>
      </x:c>
      <x:c r="F235" s="8" t="inlineStr">
        <x:is>
          <x:t xml:space="preserve"/>
        </x:is>
      </x:c>
      <x:c r="G235" s="6" t="inlineStr">
        <x:is>
          <x:t xml:space="preserve"/>
        </x:is>
      </x:c>
      <x:c r="H235" s="7" t="inlineStr">
        <x:is>
          <x:t xml:space="preserve"/>
        </x:is>
      </x:c>
      <x:c r="I235" s="7" t="inlineStr">
        <x:is>
          <x:t xml:space="preserve"/>
        </x:is>
      </x:c>
      <x:c r="J235" s="7" t="inlineStr">
        <x:is>
          <x:t xml:space="preserve"/>
        </x:is>
      </x:c>
      <x:c r="K235" s="6" t="inlineStr">
        <x:is>
          <x:t xml:space="preserve"/>
        </x:is>
      </x:c>
      <x:c r="L235" s="7" t="inlineStr">
        <x:is>
          <x:t xml:space="preserve"/>
        </x:is>
      </x:c>
      <x:c r="M235" s="6" t="inlineStr">
        <x:is>
          <x:t xml:space="preserve"/>
        </x:is>
      </x:c>
      <x:c r="N235" s="6" t="inlineStr">
        <x:is>
          <x:t xml:space="preserve"/>
        </x:is>
      </x:c>
    </x:row>
    <x:row r="236">
      <x:c r="A236" s="7">
        <x:f>IF(B236="","", "T-"&amp;TEXT(ROW()-1,"00000"))</x:f>
      </x:c>
      <x:c r="B236" s="7" t="inlineStr">
        <x:is>
          <x:t xml:space="preserve"/>
        </x:is>
      </x:c>
      <x:c r="C236" s="7" t="inlineStr">
        <x:is>
          <x:t xml:space="preserve"/>
        </x:is>
      </x:c>
      <x:c r="D236" s="7">
        <x:f>IF(B236="","",VALUE(MID(B236,2,4)))</x:f>
      </x:c>
      <x:c r="E236" s="7">
        <x:f>IF(B236="","",MID(B236,6,2))</x:f>
      </x:c>
      <x:c r="F236" s="8" t="inlineStr">
        <x:is>
          <x:t xml:space="preserve"/>
        </x:is>
      </x:c>
      <x:c r="G236" s="6" t="inlineStr">
        <x:is>
          <x:t xml:space="preserve"/>
        </x:is>
      </x:c>
      <x:c r="H236" s="7" t="inlineStr">
        <x:is>
          <x:t xml:space="preserve"/>
        </x:is>
      </x:c>
      <x:c r="I236" s="7" t="inlineStr">
        <x:is>
          <x:t xml:space="preserve"/>
        </x:is>
      </x:c>
      <x:c r="J236" s="7" t="inlineStr">
        <x:is>
          <x:t xml:space="preserve"/>
        </x:is>
      </x:c>
      <x:c r="K236" s="6" t="inlineStr">
        <x:is>
          <x:t xml:space="preserve"/>
        </x:is>
      </x:c>
      <x:c r="L236" s="7" t="inlineStr">
        <x:is>
          <x:t xml:space="preserve"/>
        </x:is>
      </x:c>
      <x:c r="M236" s="6" t="inlineStr">
        <x:is>
          <x:t xml:space="preserve"/>
        </x:is>
      </x:c>
      <x:c r="N236" s="6" t="inlineStr">
        <x:is>
          <x:t xml:space="preserve"/>
        </x:is>
      </x:c>
    </x:row>
    <x:row r="237">
      <x:c r="A237" s="7">
        <x:f>IF(B237="","", "T-"&amp;TEXT(ROW()-1,"00000"))</x:f>
      </x:c>
      <x:c r="B237" s="7" t="inlineStr">
        <x:is>
          <x:t xml:space="preserve"/>
        </x:is>
      </x:c>
      <x:c r="C237" s="7" t="inlineStr">
        <x:is>
          <x:t xml:space="preserve"/>
        </x:is>
      </x:c>
      <x:c r="D237" s="7">
        <x:f>IF(B237="","",VALUE(MID(B237,2,4)))</x:f>
      </x:c>
      <x:c r="E237" s="7">
        <x:f>IF(B237="","",MID(B237,6,2))</x:f>
      </x:c>
      <x:c r="F237" s="8" t="inlineStr">
        <x:is>
          <x:t xml:space="preserve"/>
        </x:is>
      </x:c>
      <x:c r="G237" s="6" t="inlineStr">
        <x:is>
          <x:t xml:space="preserve"/>
        </x:is>
      </x:c>
      <x:c r="H237" s="7" t="inlineStr">
        <x:is>
          <x:t xml:space="preserve"/>
        </x:is>
      </x:c>
      <x:c r="I237" s="7" t="inlineStr">
        <x:is>
          <x:t xml:space="preserve"/>
        </x:is>
      </x:c>
      <x:c r="J237" s="7" t="inlineStr">
        <x:is>
          <x:t xml:space="preserve"/>
        </x:is>
      </x:c>
      <x:c r="K237" s="6" t="inlineStr">
        <x:is>
          <x:t xml:space="preserve"/>
        </x:is>
      </x:c>
      <x:c r="L237" s="7" t="inlineStr">
        <x:is>
          <x:t xml:space="preserve"/>
        </x:is>
      </x:c>
      <x:c r="M237" s="6" t="inlineStr">
        <x:is>
          <x:t xml:space="preserve"/>
        </x:is>
      </x:c>
      <x:c r="N237" s="6" t="inlineStr">
        <x:is>
          <x:t xml:space="preserve"/>
        </x:is>
      </x:c>
    </x:row>
    <x:row r="238">
      <x:c r="A238" s="7">
        <x:f>IF(B238="","", "T-"&amp;TEXT(ROW()-1,"00000"))</x:f>
      </x:c>
      <x:c r="B238" s="7" t="inlineStr">
        <x:is>
          <x:t xml:space="preserve"/>
        </x:is>
      </x:c>
      <x:c r="C238" s="7" t="inlineStr">
        <x:is>
          <x:t xml:space="preserve"/>
        </x:is>
      </x:c>
      <x:c r="D238" s="7">
        <x:f>IF(B238="","",VALUE(MID(B238,2,4)))</x:f>
      </x:c>
      <x:c r="E238" s="7">
        <x:f>IF(B238="","",MID(B238,6,2))</x:f>
      </x:c>
      <x:c r="F238" s="8" t="inlineStr">
        <x:is>
          <x:t xml:space="preserve"/>
        </x:is>
      </x:c>
      <x:c r="G238" s="6" t="inlineStr">
        <x:is>
          <x:t xml:space="preserve"/>
        </x:is>
      </x:c>
      <x:c r="H238" s="7" t="inlineStr">
        <x:is>
          <x:t xml:space="preserve"/>
        </x:is>
      </x:c>
      <x:c r="I238" s="7" t="inlineStr">
        <x:is>
          <x:t xml:space="preserve"/>
        </x:is>
      </x:c>
      <x:c r="J238" s="7" t="inlineStr">
        <x:is>
          <x:t xml:space="preserve"/>
        </x:is>
      </x:c>
      <x:c r="K238" s="6" t="inlineStr">
        <x:is>
          <x:t xml:space="preserve"/>
        </x:is>
      </x:c>
      <x:c r="L238" s="7" t="inlineStr">
        <x:is>
          <x:t xml:space="preserve"/>
        </x:is>
      </x:c>
      <x:c r="M238" s="6" t="inlineStr">
        <x:is>
          <x:t xml:space="preserve"/>
        </x:is>
      </x:c>
      <x:c r="N238" s="6" t="inlineStr">
        <x:is>
          <x:t xml:space="preserve"/>
        </x:is>
      </x:c>
    </x:row>
    <x:row r="239">
      <x:c r="A239" s="7">
        <x:f>IF(B239="","", "T-"&amp;TEXT(ROW()-1,"00000"))</x:f>
      </x:c>
      <x:c r="B239" s="7" t="inlineStr">
        <x:is>
          <x:t xml:space="preserve"/>
        </x:is>
      </x:c>
      <x:c r="C239" s="7" t="inlineStr">
        <x:is>
          <x:t xml:space="preserve"/>
        </x:is>
      </x:c>
      <x:c r="D239" s="7">
        <x:f>IF(B239="","",VALUE(MID(B239,2,4)))</x:f>
      </x:c>
      <x:c r="E239" s="7">
        <x:f>IF(B239="","",MID(B239,6,2))</x:f>
      </x:c>
      <x:c r="F239" s="8" t="inlineStr">
        <x:is>
          <x:t xml:space="preserve"/>
        </x:is>
      </x:c>
      <x:c r="G239" s="6" t="inlineStr">
        <x:is>
          <x:t xml:space="preserve"/>
        </x:is>
      </x:c>
      <x:c r="H239" s="7" t="inlineStr">
        <x:is>
          <x:t xml:space="preserve"/>
        </x:is>
      </x:c>
      <x:c r="I239" s="7" t="inlineStr">
        <x:is>
          <x:t xml:space="preserve"/>
        </x:is>
      </x:c>
      <x:c r="J239" s="7" t="inlineStr">
        <x:is>
          <x:t xml:space="preserve"/>
        </x:is>
      </x:c>
      <x:c r="K239" s="6" t="inlineStr">
        <x:is>
          <x:t xml:space="preserve"/>
        </x:is>
      </x:c>
      <x:c r="L239" s="7" t="inlineStr">
        <x:is>
          <x:t xml:space="preserve"/>
        </x:is>
      </x:c>
      <x:c r="M239" s="6" t="inlineStr">
        <x:is>
          <x:t xml:space="preserve"/>
        </x:is>
      </x:c>
      <x:c r="N239" s="6" t="inlineStr">
        <x:is>
          <x:t xml:space="preserve"/>
        </x:is>
      </x:c>
    </x:row>
    <x:row r="240">
      <x:c r="A240" s="7">
        <x:f>IF(B240="","", "T-"&amp;TEXT(ROW()-1,"00000"))</x:f>
      </x:c>
      <x:c r="B240" s="7" t="inlineStr">
        <x:is>
          <x:t xml:space="preserve"/>
        </x:is>
      </x:c>
      <x:c r="C240" s="7" t="inlineStr">
        <x:is>
          <x:t xml:space="preserve"/>
        </x:is>
      </x:c>
      <x:c r="D240" s="7">
        <x:f>IF(B240="","",VALUE(MID(B240,2,4)))</x:f>
      </x:c>
      <x:c r="E240" s="7">
        <x:f>IF(B240="","",MID(B240,6,2))</x:f>
      </x:c>
      <x:c r="F240" s="8" t="inlineStr">
        <x:is>
          <x:t xml:space="preserve"/>
        </x:is>
      </x:c>
      <x:c r="G240" s="6" t="inlineStr">
        <x:is>
          <x:t xml:space="preserve"/>
        </x:is>
      </x:c>
      <x:c r="H240" s="7" t="inlineStr">
        <x:is>
          <x:t xml:space="preserve"/>
        </x:is>
      </x:c>
      <x:c r="I240" s="7" t="inlineStr">
        <x:is>
          <x:t xml:space="preserve"/>
        </x:is>
      </x:c>
      <x:c r="J240" s="7" t="inlineStr">
        <x:is>
          <x:t xml:space="preserve"/>
        </x:is>
      </x:c>
      <x:c r="K240" s="6" t="inlineStr">
        <x:is>
          <x:t xml:space="preserve"/>
        </x:is>
      </x:c>
      <x:c r="L240" s="7" t="inlineStr">
        <x:is>
          <x:t xml:space="preserve"/>
        </x:is>
      </x:c>
      <x:c r="M240" s="6" t="inlineStr">
        <x:is>
          <x:t xml:space="preserve"/>
        </x:is>
      </x:c>
      <x:c r="N240" s="6" t="inlineStr">
        <x:is>
          <x:t xml:space="preserve"/>
        </x:is>
      </x:c>
    </x:row>
    <x:row r="241">
      <x:c r="A241" s="7">
        <x:f>IF(B241="","", "T-"&amp;TEXT(ROW()-1,"00000"))</x:f>
      </x:c>
      <x:c r="B241" s="7" t="inlineStr">
        <x:is>
          <x:t xml:space="preserve"/>
        </x:is>
      </x:c>
      <x:c r="C241" s="7" t="inlineStr">
        <x:is>
          <x:t xml:space="preserve"/>
        </x:is>
      </x:c>
      <x:c r="D241" s="7">
        <x:f>IF(B241="","",VALUE(MID(B241,2,4)))</x:f>
      </x:c>
      <x:c r="E241" s="7">
        <x:f>IF(B241="","",MID(B241,6,2))</x:f>
      </x:c>
      <x:c r="F241" s="8" t="inlineStr">
        <x:is>
          <x:t xml:space="preserve"/>
        </x:is>
      </x:c>
      <x:c r="G241" s="6" t="inlineStr">
        <x:is>
          <x:t xml:space="preserve"/>
        </x:is>
      </x:c>
      <x:c r="H241" s="7" t="inlineStr">
        <x:is>
          <x:t xml:space="preserve"/>
        </x:is>
      </x:c>
      <x:c r="I241" s="7" t="inlineStr">
        <x:is>
          <x:t xml:space="preserve"/>
        </x:is>
      </x:c>
      <x:c r="J241" s="7" t="inlineStr">
        <x:is>
          <x:t xml:space="preserve"/>
        </x:is>
      </x:c>
      <x:c r="K241" s="6" t="inlineStr">
        <x:is>
          <x:t xml:space="preserve"/>
        </x:is>
      </x:c>
      <x:c r="L241" s="7" t="inlineStr">
        <x:is>
          <x:t xml:space="preserve"/>
        </x:is>
      </x:c>
      <x:c r="M241" s="6" t="inlineStr">
        <x:is>
          <x:t xml:space="preserve"/>
        </x:is>
      </x:c>
      <x:c r="N241" s="6" t="inlineStr">
        <x:is>
          <x:t xml:space="preserve"/>
        </x:is>
      </x:c>
    </x:row>
    <x:row r="242">
      <x:c r="A242" s="7">
        <x:f>IF(B242="","", "T-"&amp;TEXT(ROW()-1,"00000"))</x:f>
      </x:c>
      <x:c r="B242" s="7" t="inlineStr">
        <x:is>
          <x:t xml:space="preserve"/>
        </x:is>
      </x:c>
      <x:c r="C242" s="7" t="inlineStr">
        <x:is>
          <x:t xml:space="preserve"/>
        </x:is>
      </x:c>
      <x:c r="D242" s="7">
        <x:f>IF(B242="","",VALUE(MID(B242,2,4)))</x:f>
      </x:c>
      <x:c r="E242" s="7">
        <x:f>IF(B242="","",MID(B242,6,2))</x:f>
      </x:c>
      <x:c r="F242" s="8" t="inlineStr">
        <x:is>
          <x:t xml:space="preserve"/>
        </x:is>
      </x:c>
      <x:c r="G242" s="6" t="inlineStr">
        <x:is>
          <x:t xml:space="preserve"/>
        </x:is>
      </x:c>
      <x:c r="H242" s="7" t="inlineStr">
        <x:is>
          <x:t xml:space="preserve"/>
        </x:is>
      </x:c>
      <x:c r="I242" s="7" t="inlineStr">
        <x:is>
          <x:t xml:space="preserve"/>
        </x:is>
      </x:c>
      <x:c r="J242" s="7" t="inlineStr">
        <x:is>
          <x:t xml:space="preserve"/>
        </x:is>
      </x:c>
      <x:c r="K242" s="6" t="inlineStr">
        <x:is>
          <x:t xml:space="preserve"/>
        </x:is>
      </x:c>
      <x:c r="L242" s="7" t="inlineStr">
        <x:is>
          <x:t xml:space="preserve"/>
        </x:is>
      </x:c>
      <x:c r="M242" s="6" t="inlineStr">
        <x:is>
          <x:t xml:space="preserve"/>
        </x:is>
      </x:c>
      <x:c r="N242" s="6" t="inlineStr">
        <x:is>
          <x:t xml:space="preserve"/>
        </x:is>
      </x:c>
    </x:row>
    <x:row r="243">
      <x:c r="A243" s="7">
        <x:f>IF(B243="","", "T-"&amp;TEXT(ROW()-1,"00000"))</x:f>
      </x:c>
      <x:c r="B243" s="7" t="inlineStr">
        <x:is>
          <x:t xml:space="preserve"/>
        </x:is>
      </x:c>
      <x:c r="C243" s="7" t="inlineStr">
        <x:is>
          <x:t xml:space="preserve"/>
        </x:is>
      </x:c>
      <x:c r="D243" s="7">
        <x:f>IF(B243="","",VALUE(MID(B243,2,4)))</x:f>
      </x:c>
      <x:c r="E243" s="7">
        <x:f>IF(B243="","",MID(B243,6,2))</x:f>
      </x:c>
      <x:c r="F243" s="8" t="inlineStr">
        <x:is>
          <x:t xml:space="preserve"/>
        </x:is>
      </x:c>
      <x:c r="G243" s="6" t="inlineStr">
        <x:is>
          <x:t xml:space="preserve"/>
        </x:is>
      </x:c>
      <x:c r="H243" s="7" t="inlineStr">
        <x:is>
          <x:t xml:space="preserve"/>
        </x:is>
      </x:c>
      <x:c r="I243" s="7" t="inlineStr">
        <x:is>
          <x:t xml:space="preserve"/>
        </x:is>
      </x:c>
      <x:c r="J243" s="7" t="inlineStr">
        <x:is>
          <x:t xml:space="preserve"/>
        </x:is>
      </x:c>
      <x:c r="K243" s="6" t="inlineStr">
        <x:is>
          <x:t xml:space="preserve"/>
        </x:is>
      </x:c>
      <x:c r="L243" s="7" t="inlineStr">
        <x:is>
          <x:t xml:space="preserve"/>
        </x:is>
      </x:c>
      <x:c r="M243" s="6" t="inlineStr">
        <x:is>
          <x:t xml:space="preserve"/>
        </x:is>
      </x:c>
      <x:c r="N243" s="6" t="inlineStr">
        <x:is>
          <x:t xml:space="preserve"/>
        </x:is>
      </x:c>
    </x:row>
    <x:row r="244">
      <x:c r="A244" s="7">
        <x:f>IF(B244="","", "T-"&amp;TEXT(ROW()-1,"00000"))</x:f>
      </x:c>
      <x:c r="B244" s="7" t="inlineStr">
        <x:is>
          <x:t xml:space="preserve"/>
        </x:is>
      </x:c>
      <x:c r="C244" s="7" t="inlineStr">
        <x:is>
          <x:t xml:space="preserve"/>
        </x:is>
      </x:c>
      <x:c r="D244" s="7">
        <x:f>IF(B244="","",VALUE(MID(B244,2,4)))</x:f>
      </x:c>
      <x:c r="E244" s="7">
        <x:f>IF(B244="","",MID(B244,6,2))</x:f>
      </x:c>
      <x:c r="F244" s="8" t="inlineStr">
        <x:is>
          <x:t xml:space="preserve"/>
        </x:is>
      </x:c>
      <x:c r="G244" s="6" t="inlineStr">
        <x:is>
          <x:t xml:space="preserve"/>
        </x:is>
      </x:c>
      <x:c r="H244" s="7" t="inlineStr">
        <x:is>
          <x:t xml:space="preserve"/>
        </x:is>
      </x:c>
      <x:c r="I244" s="7" t="inlineStr">
        <x:is>
          <x:t xml:space="preserve"/>
        </x:is>
      </x:c>
      <x:c r="J244" s="7" t="inlineStr">
        <x:is>
          <x:t xml:space="preserve"/>
        </x:is>
      </x:c>
      <x:c r="K244" s="6" t="inlineStr">
        <x:is>
          <x:t xml:space="preserve"/>
        </x:is>
      </x:c>
      <x:c r="L244" s="7" t="inlineStr">
        <x:is>
          <x:t xml:space="preserve"/>
        </x:is>
      </x:c>
      <x:c r="M244" s="6" t="inlineStr">
        <x:is>
          <x:t xml:space="preserve"/>
        </x:is>
      </x:c>
      <x:c r="N244" s="6" t="inlineStr">
        <x:is>
          <x:t xml:space="preserve"/>
        </x:is>
      </x:c>
    </x:row>
    <x:row r="245">
      <x:c r="A245" s="7">
        <x:f>IF(B245="","", "T-"&amp;TEXT(ROW()-1,"00000"))</x:f>
      </x:c>
      <x:c r="B245" s="7" t="inlineStr">
        <x:is>
          <x:t xml:space="preserve"/>
        </x:is>
      </x:c>
      <x:c r="C245" s="7" t="inlineStr">
        <x:is>
          <x:t xml:space="preserve"/>
        </x:is>
      </x:c>
      <x:c r="D245" s="7">
        <x:f>IF(B245="","",VALUE(MID(B245,2,4)))</x:f>
      </x:c>
      <x:c r="E245" s="7">
        <x:f>IF(B245="","",MID(B245,6,2))</x:f>
      </x:c>
      <x:c r="F245" s="8" t="inlineStr">
        <x:is>
          <x:t xml:space="preserve"/>
        </x:is>
      </x:c>
      <x:c r="G245" s="6" t="inlineStr">
        <x:is>
          <x:t xml:space="preserve"/>
        </x:is>
      </x:c>
      <x:c r="H245" s="7" t="inlineStr">
        <x:is>
          <x:t xml:space="preserve"/>
        </x:is>
      </x:c>
      <x:c r="I245" s="7" t="inlineStr">
        <x:is>
          <x:t xml:space="preserve"/>
        </x:is>
      </x:c>
      <x:c r="J245" s="7" t="inlineStr">
        <x:is>
          <x:t xml:space="preserve"/>
        </x:is>
      </x:c>
      <x:c r="K245" s="6" t="inlineStr">
        <x:is>
          <x:t xml:space="preserve"/>
        </x:is>
      </x:c>
      <x:c r="L245" s="7" t="inlineStr">
        <x:is>
          <x:t xml:space="preserve"/>
        </x:is>
      </x:c>
      <x:c r="M245" s="6" t="inlineStr">
        <x:is>
          <x:t xml:space="preserve"/>
        </x:is>
      </x:c>
      <x:c r="N245" s="6" t="inlineStr">
        <x:is>
          <x:t xml:space="preserve"/>
        </x:is>
      </x:c>
    </x:row>
    <x:row r="246">
      <x:c r="A246" s="7">
        <x:f>IF(B246="","", "T-"&amp;TEXT(ROW()-1,"00000"))</x:f>
      </x:c>
      <x:c r="B246" s="7" t="inlineStr">
        <x:is>
          <x:t xml:space="preserve"/>
        </x:is>
      </x:c>
      <x:c r="C246" s="7" t="inlineStr">
        <x:is>
          <x:t xml:space="preserve"/>
        </x:is>
      </x:c>
      <x:c r="D246" s="7">
        <x:f>IF(B246="","",VALUE(MID(B246,2,4)))</x:f>
      </x:c>
      <x:c r="E246" s="7">
        <x:f>IF(B246="","",MID(B246,6,2))</x:f>
      </x:c>
      <x:c r="F246" s="8" t="inlineStr">
        <x:is>
          <x:t xml:space="preserve"/>
        </x:is>
      </x:c>
      <x:c r="G246" s="6" t="inlineStr">
        <x:is>
          <x:t xml:space="preserve"/>
        </x:is>
      </x:c>
      <x:c r="H246" s="7" t="inlineStr">
        <x:is>
          <x:t xml:space="preserve"/>
        </x:is>
      </x:c>
      <x:c r="I246" s="7" t="inlineStr">
        <x:is>
          <x:t xml:space="preserve"/>
        </x:is>
      </x:c>
      <x:c r="J246" s="7" t="inlineStr">
        <x:is>
          <x:t xml:space="preserve"/>
        </x:is>
      </x:c>
      <x:c r="K246" s="6" t="inlineStr">
        <x:is>
          <x:t xml:space="preserve"/>
        </x:is>
      </x:c>
      <x:c r="L246" s="7" t="inlineStr">
        <x:is>
          <x:t xml:space="preserve"/>
        </x:is>
      </x:c>
      <x:c r="M246" s="6" t="inlineStr">
        <x:is>
          <x:t xml:space="preserve"/>
        </x:is>
      </x:c>
      <x:c r="N246" s="6" t="inlineStr">
        <x:is>
          <x:t xml:space="preserve"/>
        </x:is>
      </x:c>
    </x:row>
    <x:row r="247">
      <x:c r="A247" s="7">
        <x:f>IF(B247="","", "T-"&amp;TEXT(ROW()-1,"00000"))</x:f>
      </x:c>
      <x:c r="B247" s="7" t="inlineStr">
        <x:is>
          <x:t xml:space="preserve"/>
        </x:is>
      </x:c>
      <x:c r="C247" s="7" t="inlineStr">
        <x:is>
          <x:t xml:space="preserve"/>
        </x:is>
      </x:c>
      <x:c r="D247" s="7">
        <x:f>IF(B247="","",VALUE(MID(B247,2,4)))</x:f>
      </x:c>
      <x:c r="E247" s="7">
        <x:f>IF(B247="","",MID(B247,6,2))</x:f>
      </x:c>
      <x:c r="F247" s="8" t="inlineStr">
        <x:is>
          <x:t xml:space="preserve"/>
        </x:is>
      </x:c>
      <x:c r="G247" s="6" t="inlineStr">
        <x:is>
          <x:t xml:space="preserve"/>
        </x:is>
      </x:c>
      <x:c r="H247" s="7" t="inlineStr">
        <x:is>
          <x:t xml:space="preserve"/>
        </x:is>
      </x:c>
      <x:c r="I247" s="7" t="inlineStr">
        <x:is>
          <x:t xml:space="preserve"/>
        </x:is>
      </x:c>
      <x:c r="J247" s="7" t="inlineStr">
        <x:is>
          <x:t xml:space="preserve"/>
        </x:is>
      </x:c>
      <x:c r="K247" s="6" t="inlineStr">
        <x:is>
          <x:t xml:space="preserve"/>
        </x:is>
      </x:c>
      <x:c r="L247" s="7" t="inlineStr">
        <x:is>
          <x:t xml:space="preserve"/>
        </x:is>
      </x:c>
      <x:c r="M247" s="6" t="inlineStr">
        <x:is>
          <x:t xml:space="preserve"/>
        </x:is>
      </x:c>
      <x:c r="N247" s="6" t="inlineStr">
        <x:is>
          <x:t xml:space="preserve"/>
        </x:is>
      </x:c>
    </x:row>
    <x:row r="248">
      <x:c r="A248" s="7">
        <x:f>IF(B248="","", "T-"&amp;TEXT(ROW()-1,"00000"))</x:f>
      </x:c>
      <x:c r="B248" s="7" t="inlineStr">
        <x:is>
          <x:t xml:space="preserve"/>
        </x:is>
      </x:c>
      <x:c r="C248" s="7" t="inlineStr">
        <x:is>
          <x:t xml:space="preserve"/>
        </x:is>
      </x:c>
      <x:c r="D248" s="7">
        <x:f>IF(B248="","",VALUE(MID(B248,2,4)))</x:f>
      </x:c>
      <x:c r="E248" s="7">
        <x:f>IF(B248="","",MID(B248,6,2))</x:f>
      </x:c>
      <x:c r="F248" s="8" t="inlineStr">
        <x:is>
          <x:t xml:space="preserve"/>
        </x:is>
      </x:c>
      <x:c r="G248" s="6" t="inlineStr">
        <x:is>
          <x:t xml:space="preserve"/>
        </x:is>
      </x:c>
      <x:c r="H248" s="7" t="inlineStr">
        <x:is>
          <x:t xml:space="preserve"/>
        </x:is>
      </x:c>
      <x:c r="I248" s="7" t="inlineStr">
        <x:is>
          <x:t xml:space="preserve"/>
        </x:is>
      </x:c>
      <x:c r="J248" s="7" t="inlineStr">
        <x:is>
          <x:t xml:space="preserve"/>
        </x:is>
      </x:c>
      <x:c r="K248" s="6" t="inlineStr">
        <x:is>
          <x:t xml:space="preserve"/>
        </x:is>
      </x:c>
      <x:c r="L248" s="7" t="inlineStr">
        <x:is>
          <x:t xml:space="preserve"/>
        </x:is>
      </x:c>
      <x:c r="M248" s="6" t="inlineStr">
        <x:is>
          <x:t xml:space="preserve"/>
        </x:is>
      </x:c>
      <x:c r="N248" s="6" t="inlineStr">
        <x:is>
          <x:t xml:space="preserve"/>
        </x:is>
      </x:c>
    </x:row>
    <x:row r="249">
      <x:c r="A249" s="7">
        <x:f>IF(B249="","", "T-"&amp;TEXT(ROW()-1,"00000"))</x:f>
      </x:c>
      <x:c r="B249" s="7" t="inlineStr">
        <x:is>
          <x:t xml:space="preserve"/>
        </x:is>
      </x:c>
      <x:c r="C249" s="7" t="inlineStr">
        <x:is>
          <x:t xml:space="preserve"/>
        </x:is>
      </x:c>
      <x:c r="D249" s="7">
        <x:f>IF(B249="","",VALUE(MID(B249,2,4)))</x:f>
      </x:c>
      <x:c r="E249" s="7">
        <x:f>IF(B249="","",MID(B249,6,2))</x:f>
      </x:c>
      <x:c r="F249" s="8" t="inlineStr">
        <x:is>
          <x:t xml:space="preserve"/>
        </x:is>
      </x:c>
      <x:c r="G249" s="6" t="inlineStr">
        <x:is>
          <x:t xml:space="preserve"/>
        </x:is>
      </x:c>
      <x:c r="H249" s="7" t="inlineStr">
        <x:is>
          <x:t xml:space="preserve"/>
        </x:is>
      </x:c>
      <x:c r="I249" s="7" t="inlineStr">
        <x:is>
          <x:t xml:space="preserve"/>
        </x:is>
      </x:c>
      <x:c r="J249" s="7" t="inlineStr">
        <x:is>
          <x:t xml:space="preserve"/>
        </x:is>
      </x:c>
      <x:c r="K249" s="6" t="inlineStr">
        <x:is>
          <x:t xml:space="preserve"/>
        </x:is>
      </x:c>
      <x:c r="L249" s="7" t="inlineStr">
        <x:is>
          <x:t xml:space="preserve"/>
        </x:is>
      </x:c>
      <x:c r="M249" s="6" t="inlineStr">
        <x:is>
          <x:t xml:space="preserve"/>
        </x:is>
      </x:c>
      <x:c r="N249" s="6" t="inlineStr">
        <x:is>
          <x:t xml:space="preserve"/>
        </x:is>
      </x:c>
    </x:row>
    <x:row r="250">
      <x:c r="A250" s="7">
        <x:f>IF(B250="","", "T-"&amp;TEXT(ROW()-1,"00000"))</x:f>
      </x:c>
      <x:c r="B250" s="7" t="inlineStr">
        <x:is>
          <x:t xml:space="preserve"/>
        </x:is>
      </x:c>
      <x:c r="C250" s="7" t="inlineStr">
        <x:is>
          <x:t xml:space="preserve"/>
        </x:is>
      </x:c>
      <x:c r="D250" s="7">
        <x:f>IF(B250="","",VALUE(MID(B250,2,4)))</x:f>
      </x:c>
      <x:c r="E250" s="7">
        <x:f>IF(B250="","",MID(B250,6,2))</x:f>
      </x:c>
      <x:c r="F250" s="8" t="inlineStr">
        <x:is>
          <x:t xml:space="preserve"/>
        </x:is>
      </x:c>
      <x:c r="G250" s="6" t="inlineStr">
        <x:is>
          <x:t xml:space="preserve"/>
        </x:is>
      </x:c>
      <x:c r="H250" s="7" t="inlineStr">
        <x:is>
          <x:t xml:space="preserve"/>
        </x:is>
      </x:c>
      <x:c r="I250" s="7" t="inlineStr">
        <x:is>
          <x:t xml:space="preserve"/>
        </x:is>
      </x:c>
      <x:c r="J250" s="7" t="inlineStr">
        <x:is>
          <x:t xml:space="preserve"/>
        </x:is>
      </x:c>
      <x:c r="K250" s="6" t="inlineStr">
        <x:is>
          <x:t xml:space="preserve"/>
        </x:is>
      </x:c>
      <x:c r="L250" s="7" t="inlineStr">
        <x:is>
          <x:t xml:space="preserve"/>
        </x:is>
      </x:c>
      <x:c r="M250" s="6" t="inlineStr">
        <x:is>
          <x:t xml:space="preserve"/>
        </x:is>
      </x:c>
      <x:c r="N250" s="6" t="inlineStr">
        <x:is>
          <x:t xml:space="preserve"/>
        </x:is>
      </x:c>
    </x:row>
    <x:row r="251">
      <x:c r="A251" s="7">
        <x:f>IF(B251="","", "T-"&amp;TEXT(ROW()-1,"00000"))</x:f>
      </x:c>
      <x:c r="B251" s="7" t="inlineStr">
        <x:is>
          <x:t xml:space="preserve"/>
        </x:is>
      </x:c>
      <x:c r="C251" s="7" t="inlineStr">
        <x:is>
          <x:t xml:space="preserve"/>
        </x:is>
      </x:c>
      <x:c r="D251" s="7">
        <x:f>IF(B251="","",VALUE(MID(B251,2,4)))</x:f>
      </x:c>
      <x:c r="E251" s="7">
        <x:f>IF(B251="","",MID(B251,6,2))</x:f>
      </x:c>
      <x:c r="F251" s="8" t="inlineStr">
        <x:is>
          <x:t xml:space="preserve"/>
        </x:is>
      </x:c>
      <x:c r="G251" s="6" t="inlineStr">
        <x:is>
          <x:t xml:space="preserve"/>
        </x:is>
      </x:c>
      <x:c r="H251" s="7" t="inlineStr">
        <x:is>
          <x:t xml:space="preserve"/>
        </x:is>
      </x:c>
      <x:c r="I251" s="7" t="inlineStr">
        <x:is>
          <x:t xml:space="preserve"/>
        </x:is>
      </x:c>
      <x:c r="J251" s="7" t="inlineStr">
        <x:is>
          <x:t xml:space="preserve"/>
        </x:is>
      </x:c>
      <x:c r="K251" s="6" t="inlineStr">
        <x:is>
          <x:t xml:space="preserve"/>
        </x:is>
      </x:c>
      <x:c r="L251" s="7" t="inlineStr">
        <x:is>
          <x:t xml:space="preserve"/>
        </x:is>
      </x:c>
      <x:c r="M251" s="6" t="inlineStr">
        <x:is>
          <x:t xml:space="preserve"/>
        </x:is>
      </x:c>
      <x:c r="N251" s="6" t="inlineStr">
        <x:is>
          <x:t xml:space="preserve"/>
        </x:is>
      </x:c>
    </x:row>
    <x:row r="252">
      <x:c r="A252" s="7">
        <x:f>IF(B252="","", "T-"&amp;TEXT(ROW()-1,"00000"))</x:f>
      </x:c>
      <x:c r="B252" s="7" t="inlineStr">
        <x:is>
          <x:t xml:space="preserve"/>
        </x:is>
      </x:c>
      <x:c r="C252" s="7" t="inlineStr">
        <x:is>
          <x:t xml:space="preserve"/>
        </x:is>
      </x:c>
      <x:c r="D252" s="7">
        <x:f>IF(B252="","",VALUE(MID(B252,2,4)))</x:f>
      </x:c>
      <x:c r="E252" s="7">
        <x:f>IF(B252="","",MID(B252,6,2))</x:f>
      </x:c>
      <x:c r="F252" s="8" t="inlineStr">
        <x:is>
          <x:t xml:space="preserve"/>
        </x:is>
      </x:c>
      <x:c r="G252" s="6" t="inlineStr">
        <x:is>
          <x:t xml:space="preserve"/>
        </x:is>
      </x:c>
      <x:c r="H252" s="7" t="inlineStr">
        <x:is>
          <x:t xml:space="preserve"/>
        </x:is>
      </x:c>
      <x:c r="I252" s="7" t="inlineStr">
        <x:is>
          <x:t xml:space="preserve"/>
        </x:is>
      </x:c>
      <x:c r="J252" s="7" t="inlineStr">
        <x:is>
          <x:t xml:space="preserve"/>
        </x:is>
      </x:c>
      <x:c r="K252" s="6" t="inlineStr">
        <x:is>
          <x:t xml:space="preserve"/>
        </x:is>
      </x:c>
      <x:c r="L252" s="7" t="inlineStr">
        <x:is>
          <x:t xml:space="preserve"/>
        </x:is>
      </x:c>
      <x:c r="M252" s="6" t="inlineStr">
        <x:is>
          <x:t xml:space="preserve"/>
        </x:is>
      </x:c>
      <x:c r="N252" s="6" t="inlineStr">
        <x:is>
          <x:t xml:space="preserve"/>
        </x:is>
      </x:c>
    </x:row>
    <x:row r="253">
      <x:c r="A253" s="7">
        <x:f>IF(B253="","", "T-"&amp;TEXT(ROW()-1,"00000"))</x:f>
      </x:c>
      <x:c r="B253" s="7" t="inlineStr">
        <x:is>
          <x:t xml:space="preserve"/>
        </x:is>
      </x:c>
      <x:c r="C253" s="7" t="inlineStr">
        <x:is>
          <x:t xml:space="preserve"/>
        </x:is>
      </x:c>
      <x:c r="D253" s="7">
        <x:f>IF(B253="","",VALUE(MID(B253,2,4)))</x:f>
      </x:c>
      <x:c r="E253" s="7">
        <x:f>IF(B253="","",MID(B253,6,2))</x:f>
      </x:c>
      <x:c r="F253" s="8" t="inlineStr">
        <x:is>
          <x:t xml:space="preserve"/>
        </x:is>
      </x:c>
      <x:c r="G253" s="6" t="inlineStr">
        <x:is>
          <x:t xml:space="preserve"/>
        </x:is>
      </x:c>
      <x:c r="H253" s="7" t="inlineStr">
        <x:is>
          <x:t xml:space="preserve"/>
        </x:is>
      </x:c>
      <x:c r="I253" s="7" t="inlineStr">
        <x:is>
          <x:t xml:space="preserve"/>
        </x:is>
      </x:c>
      <x:c r="J253" s="7" t="inlineStr">
        <x:is>
          <x:t xml:space="preserve"/>
        </x:is>
      </x:c>
      <x:c r="K253" s="6" t="inlineStr">
        <x:is>
          <x:t xml:space="preserve"/>
        </x:is>
      </x:c>
      <x:c r="L253" s="7" t="inlineStr">
        <x:is>
          <x:t xml:space="preserve"/>
        </x:is>
      </x:c>
      <x:c r="M253" s="6" t="inlineStr">
        <x:is>
          <x:t xml:space="preserve"/>
        </x:is>
      </x:c>
      <x:c r="N253" s="6" t="inlineStr">
        <x:is>
          <x:t xml:space="preserve"/>
        </x:is>
      </x:c>
    </x:row>
    <x:row r="254">
      <x:c r="A254" s="7">
        <x:f>IF(B254="","", "T-"&amp;TEXT(ROW()-1,"00000"))</x:f>
      </x:c>
      <x:c r="B254" s="7" t="inlineStr">
        <x:is>
          <x:t xml:space="preserve"/>
        </x:is>
      </x:c>
      <x:c r="C254" s="7" t="inlineStr">
        <x:is>
          <x:t xml:space="preserve"/>
        </x:is>
      </x:c>
      <x:c r="D254" s="7">
        <x:f>IF(B254="","",VALUE(MID(B254,2,4)))</x:f>
      </x:c>
      <x:c r="E254" s="7">
        <x:f>IF(B254="","",MID(B254,6,2))</x:f>
      </x:c>
      <x:c r="F254" s="8" t="inlineStr">
        <x:is>
          <x:t xml:space="preserve"/>
        </x:is>
      </x:c>
      <x:c r="G254" s="6" t="inlineStr">
        <x:is>
          <x:t xml:space="preserve"/>
        </x:is>
      </x:c>
      <x:c r="H254" s="7" t="inlineStr">
        <x:is>
          <x:t xml:space="preserve"/>
        </x:is>
      </x:c>
      <x:c r="I254" s="7" t="inlineStr">
        <x:is>
          <x:t xml:space="preserve"/>
        </x:is>
      </x:c>
      <x:c r="J254" s="7" t="inlineStr">
        <x:is>
          <x:t xml:space="preserve"/>
        </x:is>
      </x:c>
      <x:c r="K254" s="6" t="inlineStr">
        <x:is>
          <x:t xml:space="preserve"/>
        </x:is>
      </x:c>
      <x:c r="L254" s="7" t="inlineStr">
        <x:is>
          <x:t xml:space="preserve"/>
        </x:is>
      </x:c>
      <x:c r="M254" s="6" t="inlineStr">
        <x:is>
          <x:t xml:space="preserve"/>
        </x:is>
      </x:c>
      <x:c r="N254" s="6" t="inlineStr">
        <x:is>
          <x:t xml:space="preserve"/>
        </x:is>
      </x:c>
    </x:row>
    <x:row r="255">
      <x:c r="A255" s="7">
        <x:f>IF(B255="","", "T-"&amp;TEXT(ROW()-1,"00000"))</x:f>
      </x:c>
      <x:c r="B255" s="7" t="inlineStr">
        <x:is>
          <x:t xml:space="preserve"/>
        </x:is>
      </x:c>
      <x:c r="C255" s="7" t="inlineStr">
        <x:is>
          <x:t xml:space="preserve"/>
        </x:is>
      </x:c>
      <x:c r="D255" s="7">
        <x:f>IF(B255="","",VALUE(MID(B255,2,4)))</x:f>
      </x:c>
      <x:c r="E255" s="7">
        <x:f>IF(B255="","",MID(B255,6,2))</x:f>
      </x:c>
      <x:c r="F255" s="8" t="inlineStr">
        <x:is>
          <x:t xml:space="preserve"/>
        </x:is>
      </x:c>
      <x:c r="G255" s="6" t="inlineStr">
        <x:is>
          <x:t xml:space="preserve"/>
        </x:is>
      </x:c>
      <x:c r="H255" s="7" t="inlineStr">
        <x:is>
          <x:t xml:space="preserve"/>
        </x:is>
      </x:c>
      <x:c r="I255" s="7" t="inlineStr">
        <x:is>
          <x:t xml:space="preserve"/>
        </x:is>
      </x:c>
      <x:c r="J255" s="7" t="inlineStr">
        <x:is>
          <x:t xml:space="preserve"/>
        </x:is>
      </x:c>
      <x:c r="K255" s="6" t="inlineStr">
        <x:is>
          <x:t xml:space="preserve"/>
        </x:is>
      </x:c>
      <x:c r="L255" s="7" t="inlineStr">
        <x:is>
          <x:t xml:space="preserve"/>
        </x:is>
      </x:c>
      <x:c r="M255" s="6" t="inlineStr">
        <x:is>
          <x:t xml:space="preserve"/>
        </x:is>
      </x:c>
      <x:c r="N255" s="6" t="inlineStr">
        <x:is>
          <x:t xml:space="preserve"/>
        </x:is>
      </x:c>
    </x:row>
    <x:row r="256">
      <x:c r="A256" s="7">
        <x:f>IF(B256="","", "T-"&amp;TEXT(ROW()-1,"00000"))</x:f>
      </x:c>
      <x:c r="B256" s="7" t="inlineStr">
        <x:is>
          <x:t xml:space="preserve"/>
        </x:is>
      </x:c>
      <x:c r="C256" s="7" t="inlineStr">
        <x:is>
          <x:t xml:space="preserve"/>
        </x:is>
      </x:c>
      <x:c r="D256" s="7">
        <x:f>IF(B256="","",VALUE(MID(B256,2,4)))</x:f>
      </x:c>
      <x:c r="E256" s="7">
        <x:f>IF(B256="","",MID(B256,6,2))</x:f>
      </x:c>
      <x:c r="F256" s="8" t="inlineStr">
        <x:is>
          <x:t xml:space="preserve"/>
        </x:is>
      </x:c>
      <x:c r="G256" s="6" t="inlineStr">
        <x:is>
          <x:t xml:space="preserve"/>
        </x:is>
      </x:c>
      <x:c r="H256" s="7" t="inlineStr">
        <x:is>
          <x:t xml:space="preserve"/>
        </x:is>
      </x:c>
      <x:c r="I256" s="7" t="inlineStr">
        <x:is>
          <x:t xml:space="preserve"/>
        </x:is>
      </x:c>
      <x:c r="J256" s="7" t="inlineStr">
        <x:is>
          <x:t xml:space="preserve"/>
        </x:is>
      </x:c>
      <x:c r="K256" s="6" t="inlineStr">
        <x:is>
          <x:t xml:space="preserve"/>
        </x:is>
      </x:c>
      <x:c r="L256" s="7" t="inlineStr">
        <x:is>
          <x:t xml:space="preserve"/>
        </x:is>
      </x:c>
      <x:c r="M256" s="6" t="inlineStr">
        <x:is>
          <x:t xml:space="preserve"/>
        </x:is>
      </x:c>
      <x:c r="N256" s="6" t="inlineStr">
        <x:is>
          <x:t xml:space="preserve"/>
        </x:is>
      </x:c>
    </x:row>
    <x:row r="257">
      <x:c r="A257" s="7">
        <x:f>IF(B257="","", "T-"&amp;TEXT(ROW()-1,"00000"))</x:f>
      </x:c>
      <x:c r="B257" s="7" t="inlineStr">
        <x:is>
          <x:t xml:space="preserve"/>
        </x:is>
      </x:c>
      <x:c r="C257" s="7" t="inlineStr">
        <x:is>
          <x:t xml:space="preserve"/>
        </x:is>
      </x:c>
      <x:c r="D257" s="7">
        <x:f>IF(B257="","",VALUE(MID(B257,2,4)))</x:f>
      </x:c>
      <x:c r="E257" s="7">
        <x:f>IF(B257="","",MID(B257,6,2))</x:f>
      </x:c>
      <x:c r="F257" s="8" t="inlineStr">
        <x:is>
          <x:t xml:space="preserve"/>
        </x:is>
      </x:c>
      <x:c r="G257" s="6" t="inlineStr">
        <x:is>
          <x:t xml:space="preserve"/>
        </x:is>
      </x:c>
      <x:c r="H257" s="7" t="inlineStr">
        <x:is>
          <x:t xml:space="preserve"/>
        </x:is>
      </x:c>
      <x:c r="I257" s="7" t="inlineStr">
        <x:is>
          <x:t xml:space="preserve"/>
        </x:is>
      </x:c>
      <x:c r="J257" s="7" t="inlineStr">
        <x:is>
          <x:t xml:space="preserve"/>
        </x:is>
      </x:c>
      <x:c r="K257" s="6" t="inlineStr">
        <x:is>
          <x:t xml:space="preserve"/>
        </x:is>
      </x:c>
      <x:c r="L257" s="7" t="inlineStr">
        <x:is>
          <x:t xml:space="preserve"/>
        </x:is>
      </x:c>
      <x:c r="M257" s="6" t="inlineStr">
        <x:is>
          <x:t xml:space="preserve"/>
        </x:is>
      </x:c>
      <x:c r="N257" s="6" t="inlineStr">
        <x:is>
          <x:t xml:space="preserve"/>
        </x:is>
      </x:c>
    </x:row>
    <x:row r="258">
      <x:c r="A258" s="7">
        <x:f>IF(B258="","", "T-"&amp;TEXT(ROW()-1,"00000"))</x:f>
      </x:c>
      <x:c r="B258" s="7" t="inlineStr">
        <x:is>
          <x:t xml:space="preserve"/>
        </x:is>
      </x:c>
      <x:c r="C258" s="7" t="inlineStr">
        <x:is>
          <x:t xml:space="preserve"/>
        </x:is>
      </x:c>
      <x:c r="D258" s="7">
        <x:f>IF(B258="","",VALUE(MID(B258,2,4)))</x:f>
      </x:c>
      <x:c r="E258" s="7">
        <x:f>IF(B258="","",MID(B258,6,2))</x:f>
      </x:c>
      <x:c r="F258" s="8" t="inlineStr">
        <x:is>
          <x:t xml:space="preserve"/>
        </x:is>
      </x:c>
      <x:c r="G258" s="6" t="inlineStr">
        <x:is>
          <x:t xml:space="preserve"/>
        </x:is>
      </x:c>
      <x:c r="H258" s="7" t="inlineStr">
        <x:is>
          <x:t xml:space="preserve"/>
        </x:is>
      </x:c>
      <x:c r="I258" s="7" t="inlineStr">
        <x:is>
          <x:t xml:space="preserve"/>
        </x:is>
      </x:c>
      <x:c r="J258" s="7" t="inlineStr">
        <x:is>
          <x:t xml:space="preserve"/>
        </x:is>
      </x:c>
      <x:c r="K258" s="6" t="inlineStr">
        <x:is>
          <x:t xml:space="preserve"/>
        </x:is>
      </x:c>
      <x:c r="L258" s="7" t="inlineStr">
        <x:is>
          <x:t xml:space="preserve"/>
        </x:is>
      </x:c>
      <x:c r="M258" s="6" t="inlineStr">
        <x:is>
          <x:t xml:space="preserve"/>
        </x:is>
      </x:c>
      <x:c r="N258" s="6" t="inlineStr">
        <x:is>
          <x:t xml:space="preserve"/>
        </x:is>
      </x:c>
    </x:row>
    <x:row r="259">
      <x:c r="A259" s="7">
        <x:f>IF(B259="","", "T-"&amp;TEXT(ROW()-1,"00000"))</x:f>
      </x:c>
      <x:c r="B259" s="7" t="inlineStr">
        <x:is>
          <x:t xml:space="preserve"/>
        </x:is>
      </x:c>
      <x:c r="C259" s="7" t="inlineStr">
        <x:is>
          <x:t xml:space="preserve"/>
        </x:is>
      </x:c>
      <x:c r="D259" s="7">
        <x:f>IF(B259="","",VALUE(MID(B259,2,4)))</x:f>
      </x:c>
      <x:c r="E259" s="7">
        <x:f>IF(B259="","",MID(B259,6,2))</x:f>
      </x:c>
      <x:c r="F259" s="8" t="inlineStr">
        <x:is>
          <x:t xml:space="preserve"/>
        </x:is>
      </x:c>
      <x:c r="G259" s="6" t="inlineStr">
        <x:is>
          <x:t xml:space="preserve"/>
        </x:is>
      </x:c>
      <x:c r="H259" s="7" t="inlineStr">
        <x:is>
          <x:t xml:space="preserve"/>
        </x:is>
      </x:c>
      <x:c r="I259" s="7" t="inlineStr">
        <x:is>
          <x:t xml:space="preserve"/>
        </x:is>
      </x:c>
      <x:c r="J259" s="7" t="inlineStr">
        <x:is>
          <x:t xml:space="preserve"/>
        </x:is>
      </x:c>
      <x:c r="K259" s="6" t="inlineStr">
        <x:is>
          <x:t xml:space="preserve"/>
        </x:is>
      </x:c>
      <x:c r="L259" s="7" t="inlineStr">
        <x:is>
          <x:t xml:space="preserve"/>
        </x:is>
      </x:c>
      <x:c r="M259" s="6" t="inlineStr">
        <x:is>
          <x:t xml:space="preserve"/>
        </x:is>
      </x:c>
      <x:c r="N259" s="6" t="inlineStr">
        <x:is>
          <x:t xml:space="preserve"/>
        </x:is>
      </x:c>
    </x:row>
    <x:row r="260">
      <x:c r="A260" s="7">
        <x:f>IF(B260="","", "T-"&amp;TEXT(ROW()-1,"00000"))</x:f>
      </x:c>
      <x:c r="B260" s="7" t="inlineStr">
        <x:is>
          <x:t xml:space="preserve"/>
        </x:is>
      </x:c>
      <x:c r="C260" s="7" t="inlineStr">
        <x:is>
          <x:t xml:space="preserve"/>
        </x:is>
      </x:c>
      <x:c r="D260" s="7">
        <x:f>IF(B260="","",VALUE(MID(B260,2,4)))</x:f>
      </x:c>
      <x:c r="E260" s="7">
        <x:f>IF(B260="","",MID(B260,6,2))</x:f>
      </x:c>
      <x:c r="F260" s="8" t="inlineStr">
        <x:is>
          <x:t xml:space="preserve"/>
        </x:is>
      </x:c>
      <x:c r="G260" s="6" t="inlineStr">
        <x:is>
          <x:t xml:space="preserve"/>
        </x:is>
      </x:c>
      <x:c r="H260" s="7" t="inlineStr">
        <x:is>
          <x:t xml:space="preserve"/>
        </x:is>
      </x:c>
      <x:c r="I260" s="7" t="inlineStr">
        <x:is>
          <x:t xml:space="preserve"/>
        </x:is>
      </x:c>
      <x:c r="J260" s="7" t="inlineStr">
        <x:is>
          <x:t xml:space="preserve"/>
        </x:is>
      </x:c>
      <x:c r="K260" s="6" t="inlineStr">
        <x:is>
          <x:t xml:space="preserve"/>
        </x:is>
      </x:c>
      <x:c r="L260" s="7" t="inlineStr">
        <x:is>
          <x:t xml:space="preserve"/>
        </x:is>
      </x:c>
      <x:c r="M260" s="6" t="inlineStr">
        <x:is>
          <x:t xml:space="preserve"/>
        </x:is>
      </x:c>
      <x:c r="N260" s="6" t="inlineStr">
        <x:is>
          <x:t xml:space="preserve"/>
        </x:is>
      </x:c>
    </x:row>
    <x:row r="261">
      <x:c r="A261" s="7">
        <x:f>IF(B261="","", "T-"&amp;TEXT(ROW()-1,"00000"))</x:f>
      </x:c>
      <x:c r="B261" s="7" t="inlineStr">
        <x:is>
          <x:t xml:space="preserve"/>
        </x:is>
      </x:c>
      <x:c r="C261" s="7" t="inlineStr">
        <x:is>
          <x:t xml:space="preserve"/>
        </x:is>
      </x:c>
      <x:c r="D261" s="7">
        <x:f>IF(B261="","",VALUE(MID(B261,2,4)))</x:f>
      </x:c>
      <x:c r="E261" s="7">
        <x:f>IF(B261="","",MID(B261,6,2))</x:f>
      </x:c>
      <x:c r="F261" s="8" t="inlineStr">
        <x:is>
          <x:t xml:space="preserve"/>
        </x:is>
      </x:c>
      <x:c r="G261" s="6" t="inlineStr">
        <x:is>
          <x:t xml:space="preserve"/>
        </x:is>
      </x:c>
      <x:c r="H261" s="7" t="inlineStr">
        <x:is>
          <x:t xml:space="preserve"/>
        </x:is>
      </x:c>
      <x:c r="I261" s="7" t="inlineStr">
        <x:is>
          <x:t xml:space="preserve"/>
        </x:is>
      </x:c>
      <x:c r="J261" s="7" t="inlineStr">
        <x:is>
          <x:t xml:space="preserve"/>
        </x:is>
      </x:c>
      <x:c r="K261" s="6" t="inlineStr">
        <x:is>
          <x:t xml:space="preserve"/>
        </x:is>
      </x:c>
      <x:c r="L261" s="7" t="inlineStr">
        <x:is>
          <x:t xml:space="preserve"/>
        </x:is>
      </x:c>
      <x:c r="M261" s="6" t="inlineStr">
        <x:is>
          <x:t xml:space="preserve"/>
        </x:is>
      </x:c>
      <x:c r="N261" s="6" t="inlineStr">
        <x:is>
          <x:t xml:space="preserve"/>
        </x:is>
      </x:c>
    </x:row>
    <x:row r="262">
      <x:c r="A262" s="7">
        <x:f>IF(B262="","", "T-"&amp;TEXT(ROW()-1,"00000"))</x:f>
      </x:c>
      <x:c r="B262" s="7" t="inlineStr">
        <x:is>
          <x:t xml:space="preserve"/>
        </x:is>
      </x:c>
      <x:c r="C262" s="7" t="inlineStr">
        <x:is>
          <x:t xml:space="preserve"/>
        </x:is>
      </x:c>
      <x:c r="D262" s="7">
        <x:f>IF(B262="","",VALUE(MID(B262,2,4)))</x:f>
      </x:c>
      <x:c r="E262" s="7">
        <x:f>IF(B262="","",MID(B262,6,2))</x:f>
      </x:c>
      <x:c r="F262" s="8" t="inlineStr">
        <x:is>
          <x:t xml:space="preserve"/>
        </x:is>
      </x:c>
      <x:c r="G262" s="6" t="inlineStr">
        <x:is>
          <x:t xml:space="preserve"/>
        </x:is>
      </x:c>
      <x:c r="H262" s="7" t="inlineStr">
        <x:is>
          <x:t xml:space="preserve"/>
        </x:is>
      </x:c>
      <x:c r="I262" s="7" t="inlineStr">
        <x:is>
          <x:t xml:space="preserve"/>
        </x:is>
      </x:c>
      <x:c r="J262" s="7" t="inlineStr">
        <x:is>
          <x:t xml:space="preserve"/>
        </x:is>
      </x:c>
      <x:c r="K262" s="6" t="inlineStr">
        <x:is>
          <x:t xml:space="preserve"/>
        </x:is>
      </x:c>
      <x:c r="L262" s="7" t="inlineStr">
        <x:is>
          <x:t xml:space="preserve"/>
        </x:is>
      </x:c>
      <x:c r="M262" s="6" t="inlineStr">
        <x:is>
          <x:t xml:space="preserve"/>
        </x:is>
      </x:c>
      <x:c r="N262" s="6" t="inlineStr">
        <x:is>
          <x:t xml:space="preserve"/>
        </x:is>
      </x:c>
    </x:row>
    <x:row r="263">
      <x:c r="A263" s="7">
        <x:f>IF(B263="","", "T-"&amp;TEXT(ROW()-1,"00000"))</x:f>
      </x:c>
      <x:c r="B263" s="7" t="inlineStr">
        <x:is>
          <x:t xml:space="preserve"/>
        </x:is>
      </x:c>
      <x:c r="C263" s="7" t="inlineStr">
        <x:is>
          <x:t xml:space="preserve"/>
        </x:is>
      </x:c>
      <x:c r="D263" s="7">
        <x:f>IF(B263="","",VALUE(MID(B263,2,4)))</x:f>
      </x:c>
      <x:c r="E263" s="7">
        <x:f>IF(B263="","",MID(B263,6,2))</x:f>
      </x:c>
      <x:c r="F263" s="8" t="inlineStr">
        <x:is>
          <x:t xml:space="preserve"/>
        </x:is>
      </x:c>
      <x:c r="G263" s="6" t="inlineStr">
        <x:is>
          <x:t xml:space="preserve"/>
        </x:is>
      </x:c>
      <x:c r="H263" s="7" t="inlineStr">
        <x:is>
          <x:t xml:space="preserve"/>
        </x:is>
      </x:c>
      <x:c r="I263" s="7" t="inlineStr">
        <x:is>
          <x:t xml:space="preserve"/>
        </x:is>
      </x:c>
      <x:c r="J263" s="7" t="inlineStr">
        <x:is>
          <x:t xml:space="preserve"/>
        </x:is>
      </x:c>
      <x:c r="K263" s="6" t="inlineStr">
        <x:is>
          <x:t xml:space="preserve"/>
        </x:is>
      </x:c>
      <x:c r="L263" s="7" t="inlineStr">
        <x:is>
          <x:t xml:space="preserve"/>
        </x:is>
      </x:c>
      <x:c r="M263" s="6" t="inlineStr">
        <x:is>
          <x:t xml:space="preserve"/>
        </x:is>
      </x:c>
      <x:c r="N263" s="6" t="inlineStr">
        <x:is>
          <x:t xml:space="preserve"/>
        </x:is>
      </x:c>
    </x:row>
    <x:row r="264">
      <x:c r="A264" s="7">
        <x:f>IF(B264="","", "T-"&amp;TEXT(ROW()-1,"00000"))</x:f>
      </x:c>
      <x:c r="B264" s="7" t="inlineStr">
        <x:is>
          <x:t xml:space="preserve"/>
        </x:is>
      </x:c>
      <x:c r="C264" s="7" t="inlineStr">
        <x:is>
          <x:t xml:space="preserve"/>
        </x:is>
      </x:c>
      <x:c r="D264" s="7">
        <x:f>IF(B264="","",VALUE(MID(B264,2,4)))</x:f>
      </x:c>
      <x:c r="E264" s="7">
        <x:f>IF(B264="","",MID(B264,6,2))</x:f>
      </x:c>
      <x:c r="F264" s="8" t="inlineStr">
        <x:is>
          <x:t xml:space="preserve"/>
        </x:is>
      </x:c>
      <x:c r="G264" s="6" t="inlineStr">
        <x:is>
          <x:t xml:space="preserve"/>
        </x:is>
      </x:c>
      <x:c r="H264" s="7" t="inlineStr">
        <x:is>
          <x:t xml:space="preserve"/>
        </x:is>
      </x:c>
      <x:c r="I264" s="7" t="inlineStr">
        <x:is>
          <x:t xml:space="preserve"/>
        </x:is>
      </x:c>
      <x:c r="J264" s="7" t="inlineStr">
        <x:is>
          <x:t xml:space="preserve"/>
        </x:is>
      </x:c>
      <x:c r="K264" s="6" t="inlineStr">
        <x:is>
          <x:t xml:space="preserve"/>
        </x:is>
      </x:c>
      <x:c r="L264" s="7" t="inlineStr">
        <x:is>
          <x:t xml:space="preserve"/>
        </x:is>
      </x:c>
      <x:c r="M264" s="6" t="inlineStr">
        <x:is>
          <x:t xml:space="preserve"/>
        </x:is>
      </x:c>
      <x:c r="N264" s="6" t="inlineStr">
        <x:is>
          <x:t xml:space="preserve"/>
        </x:is>
      </x:c>
    </x:row>
    <x:row r="265">
      <x:c r="A265" s="7">
        <x:f>IF(B265="","", "T-"&amp;TEXT(ROW()-1,"00000"))</x:f>
      </x:c>
      <x:c r="B265" s="7" t="inlineStr">
        <x:is>
          <x:t xml:space="preserve"/>
        </x:is>
      </x:c>
      <x:c r="C265" s="7" t="inlineStr">
        <x:is>
          <x:t xml:space="preserve"/>
        </x:is>
      </x:c>
      <x:c r="D265" s="7">
        <x:f>IF(B265="","",VALUE(MID(B265,2,4)))</x:f>
      </x:c>
      <x:c r="E265" s="7">
        <x:f>IF(B265="","",MID(B265,6,2))</x:f>
      </x:c>
      <x:c r="F265" s="8" t="inlineStr">
        <x:is>
          <x:t xml:space="preserve"/>
        </x:is>
      </x:c>
      <x:c r="G265" s="6" t="inlineStr">
        <x:is>
          <x:t xml:space="preserve"/>
        </x:is>
      </x:c>
      <x:c r="H265" s="7" t="inlineStr">
        <x:is>
          <x:t xml:space="preserve"/>
        </x:is>
      </x:c>
      <x:c r="I265" s="7" t="inlineStr">
        <x:is>
          <x:t xml:space="preserve"/>
        </x:is>
      </x:c>
      <x:c r="J265" s="7" t="inlineStr">
        <x:is>
          <x:t xml:space="preserve"/>
        </x:is>
      </x:c>
      <x:c r="K265" s="6" t="inlineStr">
        <x:is>
          <x:t xml:space="preserve"/>
        </x:is>
      </x:c>
      <x:c r="L265" s="7" t="inlineStr">
        <x:is>
          <x:t xml:space="preserve"/>
        </x:is>
      </x:c>
      <x:c r="M265" s="6" t="inlineStr">
        <x:is>
          <x:t xml:space="preserve"/>
        </x:is>
      </x:c>
      <x:c r="N265" s="6" t="inlineStr">
        <x:is>
          <x:t xml:space="preserve"/>
        </x:is>
      </x:c>
    </x:row>
    <x:row r="266">
      <x:c r="A266" s="7">
        <x:f>IF(B266="","", "T-"&amp;TEXT(ROW()-1,"00000"))</x:f>
      </x:c>
      <x:c r="B266" s="7" t="inlineStr">
        <x:is>
          <x:t xml:space="preserve"/>
        </x:is>
      </x:c>
      <x:c r="C266" s="7" t="inlineStr">
        <x:is>
          <x:t xml:space="preserve"/>
        </x:is>
      </x:c>
      <x:c r="D266" s="7">
        <x:f>IF(B266="","",VALUE(MID(B266,2,4)))</x:f>
      </x:c>
      <x:c r="E266" s="7">
        <x:f>IF(B266="","",MID(B266,6,2))</x:f>
      </x:c>
      <x:c r="F266" s="8" t="inlineStr">
        <x:is>
          <x:t xml:space="preserve"/>
        </x:is>
      </x:c>
      <x:c r="G266" s="6" t="inlineStr">
        <x:is>
          <x:t xml:space="preserve"/>
        </x:is>
      </x:c>
      <x:c r="H266" s="7" t="inlineStr">
        <x:is>
          <x:t xml:space="preserve"/>
        </x:is>
      </x:c>
      <x:c r="I266" s="7" t="inlineStr">
        <x:is>
          <x:t xml:space="preserve"/>
        </x:is>
      </x:c>
      <x:c r="J266" s="7" t="inlineStr">
        <x:is>
          <x:t xml:space="preserve"/>
        </x:is>
      </x:c>
      <x:c r="K266" s="6" t="inlineStr">
        <x:is>
          <x:t xml:space="preserve"/>
        </x:is>
      </x:c>
      <x:c r="L266" s="7" t="inlineStr">
        <x:is>
          <x:t xml:space="preserve"/>
        </x:is>
      </x:c>
      <x:c r="M266" s="6" t="inlineStr">
        <x:is>
          <x:t xml:space="preserve"/>
        </x:is>
      </x:c>
      <x:c r="N266" s="6" t="inlineStr">
        <x:is>
          <x:t xml:space="preserve"/>
        </x:is>
      </x:c>
    </x:row>
    <x:row r="267">
      <x:c r="A267" s="7">
        <x:f>IF(B267="","", "T-"&amp;TEXT(ROW()-1,"00000"))</x:f>
      </x:c>
      <x:c r="B267" s="7" t="inlineStr">
        <x:is>
          <x:t xml:space="preserve"/>
        </x:is>
      </x:c>
      <x:c r="C267" s="7" t="inlineStr">
        <x:is>
          <x:t xml:space="preserve"/>
        </x:is>
      </x:c>
      <x:c r="D267" s="7">
        <x:f>IF(B267="","",VALUE(MID(B267,2,4)))</x:f>
      </x:c>
      <x:c r="E267" s="7">
        <x:f>IF(B267="","",MID(B267,6,2))</x:f>
      </x:c>
      <x:c r="F267" s="8" t="inlineStr">
        <x:is>
          <x:t xml:space="preserve"/>
        </x:is>
      </x:c>
      <x:c r="G267" s="6" t="inlineStr">
        <x:is>
          <x:t xml:space="preserve"/>
        </x:is>
      </x:c>
      <x:c r="H267" s="7" t="inlineStr">
        <x:is>
          <x:t xml:space="preserve"/>
        </x:is>
      </x:c>
      <x:c r="I267" s="7" t="inlineStr">
        <x:is>
          <x:t xml:space="preserve"/>
        </x:is>
      </x:c>
      <x:c r="J267" s="7" t="inlineStr">
        <x:is>
          <x:t xml:space="preserve"/>
        </x:is>
      </x:c>
      <x:c r="K267" s="6" t="inlineStr">
        <x:is>
          <x:t xml:space="preserve"/>
        </x:is>
      </x:c>
      <x:c r="L267" s="7" t="inlineStr">
        <x:is>
          <x:t xml:space="preserve"/>
        </x:is>
      </x:c>
      <x:c r="M267" s="6" t="inlineStr">
        <x:is>
          <x:t xml:space="preserve"/>
        </x:is>
      </x:c>
      <x:c r="N267" s="6" t="inlineStr">
        <x:is>
          <x:t xml:space="preserve"/>
        </x:is>
      </x:c>
    </x:row>
    <x:row r="268">
      <x:c r="A268" s="7">
        <x:f>IF(B268="","", "T-"&amp;TEXT(ROW()-1,"00000"))</x:f>
      </x:c>
      <x:c r="B268" s="7" t="inlineStr">
        <x:is>
          <x:t xml:space="preserve"/>
        </x:is>
      </x:c>
      <x:c r="C268" s="7" t="inlineStr">
        <x:is>
          <x:t xml:space="preserve"/>
        </x:is>
      </x:c>
      <x:c r="D268" s="7">
        <x:f>IF(B268="","",VALUE(MID(B268,2,4)))</x:f>
      </x:c>
      <x:c r="E268" s="7">
        <x:f>IF(B268="","",MID(B268,6,2))</x:f>
      </x:c>
      <x:c r="F268" s="8" t="inlineStr">
        <x:is>
          <x:t xml:space="preserve"/>
        </x:is>
      </x:c>
      <x:c r="G268" s="6" t="inlineStr">
        <x:is>
          <x:t xml:space="preserve"/>
        </x:is>
      </x:c>
      <x:c r="H268" s="7" t="inlineStr">
        <x:is>
          <x:t xml:space="preserve"/>
        </x:is>
      </x:c>
      <x:c r="I268" s="7" t="inlineStr">
        <x:is>
          <x:t xml:space="preserve"/>
        </x:is>
      </x:c>
      <x:c r="J268" s="7" t="inlineStr">
        <x:is>
          <x:t xml:space="preserve"/>
        </x:is>
      </x:c>
      <x:c r="K268" s="6" t="inlineStr">
        <x:is>
          <x:t xml:space="preserve"/>
        </x:is>
      </x:c>
      <x:c r="L268" s="7" t="inlineStr">
        <x:is>
          <x:t xml:space="preserve"/>
        </x:is>
      </x:c>
      <x:c r="M268" s="6" t="inlineStr">
        <x:is>
          <x:t xml:space="preserve"/>
        </x:is>
      </x:c>
      <x:c r="N268" s="6" t="inlineStr">
        <x:is>
          <x:t xml:space="preserve"/>
        </x:is>
      </x:c>
    </x:row>
    <x:row r="269">
      <x:c r="A269" s="7">
        <x:f>IF(B269="","", "T-"&amp;TEXT(ROW()-1,"00000"))</x:f>
      </x:c>
      <x:c r="B269" s="7" t="inlineStr">
        <x:is>
          <x:t xml:space="preserve"/>
        </x:is>
      </x:c>
      <x:c r="C269" s="7" t="inlineStr">
        <x:is>
          <x:t xml:space="preserve"/>
        </x:is>
      </x:c>
      <x:c r="D269" s="7">
        <x:f>IF(B269="","",VALUE(MID(B269,2,4)))</x:f>
      </x:c>
      <x:c r="E269" s="7">
        <x:f>IF(B269="","",MID(B269,6,2))</x:f>
      </x:c>
      <x:c r="F269" s="8" t="inlineStr">
        <x:is>
          <x:t xml:space="preserve"/>
        </x:is>
      </x:c>
      <x:c r="G269" s="6" t="inlineStr">
        <x:is>
          <x:t xml:space="preserve"/>
        </x:is>
      </x:c>
      <x:c r="H269" s="7" t="inlineStr">
        <x:is>
          <x:t xml:space="preserve"/>
        </x:is>
      </x:c>
      <x:c r="I269" s="7" t="inlineStr">
        <x:is>
          <x:t xml:space="preserve"/>
        </x:is>
      </x:c>
      <x:c r="J269" s="7" t="inlineStr">
        <x:is>
          <x:t xml:space="preserve"/>
        </x:is>
      </x:c>
      <x:c r="K269" s="6" t="inlineStr">
        <x:is>
          <x:t xml:space="preserve"/>
        </x:is>
      </x:c>
      <x:c r="L269" s="7" t="inlineStr">
        <x:is>
          <x:t xml:space="preserve"/>
        </x:is>
      </x:c>
      <x:c r="M269" s="6" t="inlineStr">
        <x:is>
          <x:t xml:space="preserve"/>
        </x:is>
      </x:c>
      <x:c r="N269" s="6" t="inlineStr">
        <x:is>
          <x:t xml:space="preserve"/>
        </x:is>
      </x:c>
    </x:row>
    <x:row r="270">
      <x:c r="A270" s="7">
        <x:f>IF(B270="","", "T-"&amp;TEXT(ROW()-1,"00000"))</x:f>
      </x:c>
      <x:c r="B270" s="7" t="inlineStr">
        <x:is>
          <x:t xml:space="preserve"/>
        </x:is>
      </x:c>
      <x:c r="C270" s="7" t="inlineStr">
        <x:is>
          <x:t xml:space="preserve"/>
        </x:is>
      </x:c>
      <x:c r="D270" s="7">
        <x:f>IF(B270="","",VALUE(MID(B270,2,4)))</x:f>
      </x:c>
      <x:c r="E270" s="7">
        <x:f>IF(B270="","",MID(B270,6,2))</x:f>
      </x:c>
      <x:c r="F270" s="8" t="inlineStr">
        <x:is>
          <x:t xml:space="preserve"/>
        </x:is>
      </x:c>
      <x:c r="G270" s="6" t="inlineStr">
        <x:is>
          <x:t xml:space="preserve"/>
        </x:is>
      </x:c>
      <x:c r="H270" s="7" t="inlineStr">
        <x:is>
          <x:t xml:space="preserve"/>
        </x:is>
      </x:c>
      <x:c r="I270" s="7" t="inlineStr">
        <x:is>
          <x:t xml:space="preserve"/>
        </x:is>
      </x:c>
      <x:c r="J270" s="7" t="inlineStr">
        <x:is>
          <x:t xml:space="preserve"/>
        </x:is>
      </x:c>
      <x:c r="K270" s="6" t="inlineStr">
        <x:is>
          <x:t xml:space="preserve"/>
        </x:is>
      </x:c>
      <x:c r="L270" s="7" t="inlineStr">
        <x:is>
          <x:t xml:space="preserve"/>
        </x:is>
      </x:c>
      <x:c r="M270" s="6" t="inlineStr">
        <x:is>
          <x:t xml:space="preserve"/>
        </x:is>
      </x:c>
      <x:c r="N270" s="6" t="inlineStr">
        <x:is>
          <x:t xml:space="preserve"/>
        </x:is>
      </x:c>
    </x:row>
    <x:row r="271">
      <x:c r="A271" s="7">
        <x:f>IF(B271="","", "T-"&amp;TEXT(ROW()-1,"00000"))</x:f>
      </x:c>
      <x:c r="B271" s="7" t="inlineStr">
        <x:is>
          <x:t xml:space="preserve"/>
        </x:is>
      </x:c>
      <x:c r="C271" s="7" t="inlineStr">
        <x:is>
          <x:t xml:space="preserve"/>
        </x:is>
      </x:c>
      <x:c r="D271" s="7">
        <x:f>IF(B271="","",VALUE(MID(B271,2,4)))</x:f>
      </x:c>
      <x:c r="E271" s="7">
        <x:f>IF(B271="","",MID(B271,6,2))</x:f>
      </x:c>
      <x:c r="F271" s="8" t="inlineStr">
        <x:is>
          <x:t xml:space="preserve"/>
        </x:is>
      </x:c>
      <x:c r="G271" s="6" t="inlineStr">
        <x:is>
          <x:t xml:space="preserve"/>
        </x:is>
      </x:c>
      <x:c r="H271" s="7" t="inlineStr">
        <x:is>
          <x:t xml:space="preserve"/>
        </x:is>
      </x:c>
      <x:c r="I271" s="7" t="inlineStr">
        <x:is>
          <x:t xml:space="preserve"/>
        </x:is>
      </x:c>
      <x:c r="J271" s="7" t="inlineStr">
        <x:is>
          <x:t xml:space="preserve"/>
        </x:is>
      </x:c>
      <x:c r="K271" s="6" t="inlineStr">
        <x:is>
          <x:t xml:space="preserve"/>
        </x:is>
      </x:c>
      <x:c r="L271" s="7" t="inlineStr">
        <x:is>
          <x:t xml:space="preserve"/>
        </x:is>
      </x:c>
      <x:c r="M271" s="6" t="inlineStr">
        <x:is>
          <x:t xml:space="preserve"/>
        </x:is>
      </x:c>
      <x:c r="N271" s="6" t="inlineStr">
        <x:is>
          <x:t xml:space="preserve"/>
        </x:is>
      </x:c>
    </x:row>
    <x:row r="272">
      <x:c r="A272" s="7">
        <x:f>IF(B272="","", "T-"&amp;TEXT(ROW()-1,"00000"))</x:f>
      </x:c>
      <x:c r="B272" s="7" t="inlineStr">
        <x:is>
          <x:t xml:space="preserve"/>
        </x:is>
      </x:c>
      <x:c r="C272" s="7" t="inlineStr">
        <x:is>
          <x:t xml:space="preserve"/>
        </x:is>
      </x:c>
      <x:c r="D272" s="7">
        <x:f>IF(B272="","",VALUE(MID(B272,2,4)))</x:f>
      </x:c>
      <x:c r="E272" s="7">
        <x:f>IF(B272="","",MID(B272,6,2))</x:f>
      </x:c>
      <x:c r="F272" s="8" t="inlineStr">
        <x:is>
          <x:t xml:space="preserve"/>
        </x:is>
      </x:c>
      <x:c r="G272" s="6" t="inlineStr">
        <x:is>
          <x:t xml:space="preserve"/>
        </x:is>
      </x:c>
      <x:c r="H272" s="7" t="inlineStr">
        <x:is>
          <x:t xml:space="preserve"/>
        </x:is>
      </x:c>
      <x:c r="I272" s="7" t="inlineStr">
        <x:is>
          <x:t xml:space="preserve"/>
        </x:is>
      </x:c>
      <x:c r="J272" s="7" t="inlineStr">
        <x:is>
          <x:t xml:space="preserve"/>
        </x:is>
      </x:c>
      <x:c r="K272" s="6" t="inlineStr">
        <x:is>
          <x:t xml:space="preserve"/>
        </x:is>
      </x:c>
      <x:c r="L272" s="7" t="inlineStr">
        <x:is>
          <x:t xml:space="preserve"/>
        </x:is>
      </x:c>
      <x:c r="M272" s="6" t="inlineStr">
        <x:is>
          <x:t xml:space="preserve"/>
        </x:is>
      </x:c>
      <x:c r="N272" s="6" t="inlineStr">
        <x:is>
          <x:t xml:space="preserve"/>
        </x:is>
      </x:c>
    </x:row>
    <x:row r="273">
      <x:c r="A273" s="7">
        <x:f>IF(B273="","", "T-"&amp;TEXT(ROW()-1,"00000"))</x:f>
      </x:c>
      <x:c r="B273" s="7" t="inlineStr">
        <x:is>
          <x:t xml:space="preserve"/>
        </x:is>
      </x:c>
      <x:c r="C273" s="7" t="inlineStr">
        <x:is>
          <x:t xml:space="preserve"/>
        </x:is>
      </x:c>
      <x:c r="D273" s="7">
        <x:f>IF(B273="","",VALUE(MID(B273,2,4)))</x:f>
      </x:c>
      <x:c r="E273" s="7">
        <x:f>IF(B273="","",MID(B273,6,2))</x:f>
      </x:c>
      <x:c r="F273" s="8" t="inlineStr">
        <x:is>
          <x:t xml:space="preserve"/>
        </x:is>
      </x:c>
      <x:c r="G273" s="6" t="inlineStr">
        <x:is>
          <x:t xml:space="preserve"/>
        </x:is>
      </x:c>
      <x:c r="H273" s="7" t="inlineStr">
        <x:is>
          <x:t xml:space="preserve"/>
        </x:is>
      </x:c>
      <x:c r="I273" s="7" t="inlineStr">
        <x:is>
          <x:t xml:space="preserve"/>
        </x:is>
      </x:c>
      <x:c r="J273" s="7" t="inlineStr">
        <x:is>
          <x:t xml:space="preserve"/>
        </x:is>
      </x:c>
      <x:c r="K273" s="6" t="inlineStr">
        <x:is>
          <x:t xml:space="preserve"/>
        </x:is>
      </x:c>
      <x:c r="L273" s="7" t="inlineStr">
        <x:is>
          <x:t xml:space="preserve"/>
        </x:is>
      </x:c>
      <x:c r="M273" s="6" t="inlineStr">
        <x:is>
          <x:t xml:space="preserve"/>
        </x:is>
      </x:c>
      <x:c r="N273" s="6" t="inlineStr">
        <x:is>
          <x:t xml:space="preserve"/>
        </x:is>
      </x:c>
    </x:row>
    <x:row r="274">
      <x:c r="A274" s="7">
        <x:f>IF(B274="","", "T-"&amp;TEXT(ROW()-1,"00000"))</x:f>
      </x:c>
      <x:c r="B274" s="7" t="inlineStr">
        <x:is>
          <x:t xml:space="preserve"/>
        </x:is>
      </x:c>
      <x:c r="C274" s="7" t="inlineStr">
        <x:is>
          <x:t xml:space="preserve"/>
        </x:is>
      </x:c>
      <x:c r="D274" s="7">
        <x:f>IF(B274="","",VALUE(MID(B274,2,4)))</x:f>
      </x:c>
      <x:c r="E274" s="7">
        <x:f>IF(B274="","",MID(B274,6,2))</x:f>
      </x:c>
      <x:c r="F274" s="8" t="inlineStr">
        <x:is>
          <x:t xml:space="preserve"/>
        </x:is>
      </x:c>
      <x:c r="G274" s="6" t="inlineStr">
        <x:is>
          <x:t xml:space="preserve"/>
        </x:is>
      </x:c>
      <x:c r="H274" s="7" t="inlineStr">
        <x:is>
          <x:t xml:space="preserve"/>
        </x:is>
      </x:c>
      <x:c r="I274" s="7" t="inlineStr">
        <x:is>
          <x:t xml:space="preserve"/>
        </x:is>
      </x:c>
      <x:c r="J274" s="7" t="inlineStr">
        <x:is>
          <x:t xml:space="preserve"/>
        </x:is>
      </x:c>
      <x:c r="K274" s="6" t="inlineStr">
        <x:is>
          <x:t xml:space="preserve"/>
        </x:is>
      </x:c>
      <x:c r="L274" s="7" t="inlineStr">
        <x:is>
          <x:t xml:space="preserve"/>
        </x:is>
      </x:c>
      <x:c r="M274" s="6" t="inlineStr">
        <x:is>
          <x:t xml:space="preserve"/>
        </x:is>
      </x:c>
      <x:c r="N274" s="6" t="inlineStr">
        <x:is>
          <x:t xml:space="preserve"/>
        </x:is>
      </x:c>
    </x:row>
    <x:row r="275">
      <x:c r="A275" s="7">
        <x:f>IF(B275="","", "T-"&amp;TEXT(ROW()-1,"00000"))</x:f>
      </x:c>
      <x:c r="B275" s="7" t="inlineStr">
        <x:is>
          <x:t xml:space="preserve"/>
        </x:is>
      </x:c>
      <x:c r="C275" s="7" t="inlineStr">
        <x:is>
          <x:t xml:space="preserve"/>
        </x:is>
      </x:c>
      <x:c r="D275" s="7">
        <x:f>IF(B275="","",VALUE(MID(B275,2,4)))</x:f>
      </x:c>
      <x:c r="E275" s="7">
        <x:f>IF(B275="","",MID(B275,6,2))</x:f>
      </x:c>
      <x:c r="F275" s="8" t="inlineStr">
        <x:is>
          <x:t xml:space="preserve"/>
        </x:is>
      </x:c>
      <x:c r="G275" s="6" t="inlineStr">
        <x:is>
          <x:t xml:space="preserve"/>
        </x:is>
      </x:c>
      <x:c r="H275" s="7" t="inlineStr">
        <x:is>
          <x:t xml:space="preserve"/>
        </x:is>
      </x:c>
      <x:c r="I275" s="7" t="inlineStr">
        <x:is>
          <x:t xml:space="preserve"/>
        </x:is>
      </x:c>
      <x:c r="J275" s="7" t="inlineStr">
        <x:is>
          <x:t xml:space="preserve"/>
        </x:is>
      </x:c>
      <x:c r="K275" s="6" t="inlineStr">
        <x:is>
          <x:t xml:space="preserve"/>
        </x:is>
      </x:c>
      <x:c r="L275" s="7" t="inlineStr">
        <x:is>
          <x:t xml:space="preserve"/>
        </x:is>
      </x:c>
      <x:c r="M275" s="6" t="inlineStr">
        <x:is>
          <x:t xml:space="preserve"/>
        </x:is>
      </x:c>
      <x:c r="N275" s="6" t="inlineStr">
        <x:is>
          <x:t xml:space="preserve"/>
        </x:is>
      </x:c>
    </x:row>
    <x:row r="276">
      <x:c r="A276" s="7">
        <x:f>IF(B276="","", "T-"&amp;TEXT(ROW()-1,"00000"))</x:f>
      </x:c>
      <x:c r="B276" s="7" t="inlineStr">
        <x:is>
          <x:t xml:space="preserve"/>
        </x:is>
      </x:c>
      <x:c r="C276" s="7" t="inlineStr">
        <x:is>
          <x:t xml:space="preserve"/>
        </x:is>
      </x:c>
      <x:c r="D276" s="7">
        <x:f>IF(B276="","",VALUE(MID(B276,2,4)))</x:f>
      </x:c>
      <x:c r="E276" s="7">
        <x:f>IF(B276="","",MID(B276,6,2))</x:f>
      </x:c>
      <x:c r="F276" s="8" t="inlineStr">
        <x:is>
          <x:t xml:space="preserve"/>
        </x:is>
      </x:c>
      <x:c r="G276" s="6" t="inlineStr">
        <x:is>
          <x:t xml:space="preserve"/>
        </x:is>
      </x:c>
      <x:c r="H276" s="7" t="inlineStr">
        <x:is>
          <x:t xml:space="preserve"/>
        </x:is>
      </x:c>
      <x:c r="I276" s="7" t="inlineStr">
        <x:is>
          <x:t xml:space="preserve"/>
        </x:is>
      </x:c>
      <x:c r="J276" s="7" t="inlineStr">
        <x:is>
          <x:t xml:space="preserve"/>
        </x:is>
      </x:c>
      <x:c r="K276" s="6" t="inlineStr">
        <x:is>
          <x:t xml:space="preserve"/>
        </x:is>
      </x:c>
      <x:c r="L276" s="7" t="inlineStr">
        <x:is>
          <x:t xml:space="preserve"/>
        </x:is>
      </x:c>
      <x:c r="M276" s="6" t="inlineStr">
        <x:is>
          <x:t xml:space="preserve"/>
        </x:is>
      </x:c>
      <x:c r="N276" s="6" t="inlineStr">
        <x:is>
          <x:t xml:space="preserve"/>
        </x:is>
      </x:c>
    </x:row>
    <x:row r="277">
      <x:c r="A277" s="7">
        <x:f>IF(B277="","", "T-"&amp;TEXT(ROW()-1,"00000"))</x:f>
      </x:c>
      <x:c r="B277" s="7" t="inlineStr">
        <x:is>
          <x:t xml:space="preserve"/>
        </x:is>
      </x:c>
      <x:c r="C277" s="7" t="inlineStr">
        <x:is>
          <x:t xml:space="preserve"/>
        </x:is>
      </x:c>
      <x:c r="D277" s="7">
        <x:f>IF(B277="","",VALUE(MID(B277,2,4)))</x:f>
      </x:c>
      <x:c r="E277" s="7">
        <x:f>IF(B277="","",MID(B277,6,2))</x:f>
      </x:c>
      <x:c r="F277" s="8" t="inlineStr">
        <x:is>
          <x:t xml:space="preserve"/>
        </x:is>
      </x:c>
      <x:c r="G277" s="6" t="inlineStr">
        <x:is>
          <x:t xml:space="preserve"/>
        </x:is>
      </x:c>
      <x:c r="H277" s="7" t="inlineStr">
        <x:is>
          <x:t xml:space="preserve"/>
        </x:is>
      </x:c>
      <x:c r="I277" s="7" t="inlineStr">
        <x:is>
          <x:t xml:space="preserve"/>
        </x:is>
      </x:c>
      <x:c r="J277" s="7" t="inlineStr">
        <x:is>
          <x:t xml:space="preserve"/>
        </x:is>
      </x:c>
      <x:c r="K277" s="6" t="inlineStr">
        <x:is>
          <x:t xml:space="preserve"/>
        </x:is>
      </x:c>
      <x:c r="L277" s="7" t="inlineStr">
        <x:is>
          <x:t xml:space="preserve"/>
        </x:is>
      </x:c>
      <x:c r="M277" s="6" t="inlineStr">
        <x:is>
          <x:t xml:space="preserve"/>
        </x:is>
      </x:c>
      <x:c r="N277" s="6" t="inlineStr">
        <x:is>
          <x:t xml:space="preserve"/>
        </x:is>
      </x:c>
    </x:row>
    <x:row r="278">
      <x:c r="A278" s="7">
        <x:f>IF(B278="","", "T-"&amp;TEXT(ROW()-1,"00000"))</x:f>
      </x:c>
      <x:c r="B278" s="7" t="inlineStr">
        <x:is>
          <x:t xml:space="preserve"/>
        </x:is>
      </x:c>
      <x:c r="C278" s="7" t="inlineStr">
        <x:is>
          <x:t xml:space="preserve"/>
        </x:is>
      </x:c>
      <x:c r="D278" s="7">
        <x:f>IF(B278="","",VALUE(MID(B278,2,4)))</x:f>
      </x:c>
      <x:c r="E278" s="7">
        <x:f>IF(B278="","",MID(B278,6,2))</x:f>
      </x:c>
      <x:c r="F278" s="8" t="inlineStr">
        <x:is>
          <x:t xml:space="preserve"/>
        </x:is>
      </x:c>
      <x:c r="G278" s="6" t="inlineStr">
        <x:is>
          <x:t xml:space="preserve"/>
        </x:is>
      </x:c>
      <x:c r="H278" s="7" t="inlineStr">
        <x:is>
          <x:t xml:space="preserve"/>
        </x:is>
      </x:c>
      <x:c r="I278" s="7" t="inlineStr">
        <x:is>
          <x:t xml:space="preserve"/>
        </x:is>
      </x:c>
      <x:c r="J278" s="7" t="inlineStr">
        <x:is>
          <x:t xml:space="preserve"/>
        </x:is>
      </x:c>
      <x:c r="K278" s="6" t="inlineStr">
        <x:is>
          <x:t xml:space="preserve"/>
        </x:is>
      </x:c>
      <x:c r="L278" s="7" t="inlineStr">
        <x:is>
          <x:t xml:space="preserve"/>
        </x:is>
      </x:c>
      <x:c r="M278" s="6" t="inlineStr">
        <x:is>
          <x:t xml:space="preserve"/>
        </x:is>
      </x:c>
      <x:c r="N278" s="6" t="inlineStr">
        <x:is>
          <x:t xml:space="preserve"/>
        </x:is>
      </x:c>
    </x:row>
    <x:row r="279">
      <x:c r="A279" s="7">
        <x:f>IF(B279="","", "T-"&amp;TEXT(ROW()-1,"00000"))</x:f>
      </x:c>
      <x:c r="B279" s="7" t="inlineStr">
        <x:is>
          <x:t xml:space="preserve"/>
        </x:is>
      </x:c>
      <x:c r="C279" s="7" t="inlineStr">
        <x:is>
          <x:t xml:space="preserve"/>
        </x:is>
      </x:c>
      <x:c r="D279" s="7">
        <x:f>IF(B279="","",VALUE(MID(B279,2,4)))</x:f>
      </x:c>
      <x:c r="E279" s="7">
        <x:f>IF(B279="","",MID(B279,6,2))</x:f>
      </x:c>
      <x:c r="F279" s="8" t="inlineStr">
        <x:is>
          <x:t xml:space="preserve"/>
        </x:is>
      </x:c>
      <x:c r="G279" s="6" t="inlineStr">
        <x:is>
          <x:t xml:space="preserve"/>
        </x:is>
      </x:c>
      <x:c r="H279" s="7" t="inlineStr">
        <x:is>
          <x:t xml:space="preserve"/>
        </x:is>
      </x:c>
      <x:c r="I279" s="7" t="inlineStr">
        <x:is>
          <x:t xml:space="preserve"/>
        </x:is>
      </x:c>
      <x:c r="J279" s="7" t="inlineStr">
        <x:is>
          <x:t xml:space="preserve"/>
        </x:is>
      </x:c>
      <x:c r="K279" s="6" t="inlineStr">
        <x:is>
          <x:t xml:space="preserve"/>
        </x:is>
      </x:c>
      <x:c r="L279" s="7" t="inlineStr">
        <x:is>
          <x:t xml:space="preserve"/>
        </x:is>
      </x:c>
      <x:c r="M279" s="6" t="inlineStr">
        <x:is>
          <x:t xml:space="preserve"/>
        </x:is>
      </x:c>
      <x:c r="N279" s="6" t="inlineStr">
        <x:is>
          <x:t xml:space="preserve"/>
        </x:is>
      </x:c>
    </x:row>
    <x:row r="280">
      <x:c r="A280" s="7">
        <x:f>IF(B280="","", "T-"&amp;TEXT(ROW()-1,"00000"))</x:f>
      </x:c>
      <x:c r="B280" s="7" t="inlineStr">
        <x:is>
          <x:t xml:space="preserve"/>
        </x:is>
      </x:c>
      <x:c r="C280" s="7" t="inlineStr">
        <x:is>
          <x:t xml:space="preserve"/>
        </x:is>
      </x:c>
      <x:c r="D280" s="7">
        <x:f>IF(B280="","",VALUE(MID(B280,2,4)))</x:f>
      </x:c>
      <x:c r="E280" s="7">
        <x:f>IF(B280="","",MID(B280,6,2))</x:f>
      </x:c>
      <x:c r="F280" s="8" t="inlineStr">
        <x:is>
          <x:t xml:space="preserve"/>
        </x:is>
      </x:c>
      <x:c r="G280" s="6" t="inlineStr">
        <x:is>
          <x:t xml:space="preserve"/>
        </x:is>
      </x:c>
      <x:c r="H280" s="7" t="inlineStr">
        <x:is>
          <x:t xml:space="preserve"/>
        </x:is>
      </x:c>
      <x:c r="I280" s="7" t="inlineStr">
        <x:is>
          <x:t xml:space="preserve"/>
        </x:is>
      </x:c>
      <x:c r="J280" s="7" t="inlineStr">
        <x:is>
          <x:t xml:space="preserve"/>
        </x:is>
      </x:c>
      <x:c r="K280" s="6" t="inlineStr">
        <x:is>
          <x:t xml:space="preserve"/>
        </x:is>
      </x:c>
      <x:c r="L280" s="7" t="inlineStr">
        <x:is>
          <x:t xml:space="preserve"/>
        </x:is>
      </x:c>
      <x:c r="M280" s="6" t="inlineStr">
        <x:is>
          <x:t xml:space="preserve"/>
        </x:is>
      </x:c>
      <x:c r="N280" s="6" t="inlineStr">
        <x:is>
          <x:t xml:space="preserve"/>
        </x:is>
      </x:c>
    </x:row>
    <x:row r="281">
      <x:c r="A281" s="7">
        <x:f>IF(B281="","", "T-"&amp;TEXT(ROW()-1,"00000"))</x:f>
      </x:c>
      <x:c r="B281" s="7" t="inlineStr">
        <x:is>
          <x:t xml:space="preserve"/>
        </x:is>
      </x:c>
      <x:c r="C281" s="7" t="inlineStr">
        <x:is>
          <x:t xml:space="preserve"/>
        </x:is>
      </x:c>
      <x:c r="D281" s="7">
        <x:f>IF(B281="","",VALUE(MID(B281,2,4)))</x:f>
      </x:c>
      <x:c r="E281" s="7">
        <x:f>IF(B281="","",MID(B281,6,2))</x:f>
      </x:c>
      <x:c r="F281" s="8" t="inlineStr">
        <x:is>
          <x:t xml:space="preserve"/>
        </x:is>
      </x:c>
      <x:c r="G281" s="6" t="inlineStr">
        <x:is>
          <x:t xml:space="preserve"/>
        </x:is>
      </x:c>
      <x:c r="H281" s="7" t="inlineStr">
        <x:is>
          <x:t xml:space="preserve"/>
        </x:is>
      </x:c>
      <x:c r="I281" s="7" t="inlineStr">
        <x:is>
          <x:t xml:space="preserve"/>
        </x:is>
      </x:c>
      <x:c r="J281" s="7" t="inlineStr">
        <x:is>
          <x:t xml:space="preserve"/>
        </x:is>
      </x:c>
      <x:c r="K281" s="6" t="inlineStr">
        <x:is>
          <x:t xml:space="preserve"/>
        </x:is>
      </x:c>
      <x:c r="L281" s="7" t="inlineStr">
        <x:is>
          <x:t xml:space="preserve"/>
        </x:is>
      </x:c>
      <x:c r="M281" s="6" t="inlineStr">
        <x:is>
          <x:t xml:space="preserve"/>
        </x:is>
      </x:c>
      <x:c r="N281" s="6" t="inlineStr">
        <x:is>
          <x:t xml:space="preserve"/>
        </x:is>
      </x:c>
    </x:row>
    <x:row r="282">
      <x:c r="A282" s="7">
        <x:f>IF(B282="","", "T-"&amp;TEXT(ROW()-1,"00000"))</x:f>
      </x:c>
      <x:c r="B282" s="7" t="inlineStr">
        <x:is>
          <x:t xml:space="preserve"/>
        </x:is>
      </x:c>
      <x:c r="C282" s="7" t="inlineStr">
        <x:is>
          <x:t xml:space="preserve"/>
        </x:is>
      </x:c>
      <x:c r="D282" s="7">
        <x:f>IF(B282="","",VALUE(MID(B282,2,4)))</x:f>
      </x:c>
      <x:c r="E282" s="7">
        <x:f>IF(B282="","",MID(B282,6,2))</x:f>
      </x:c>
      <x:c r="F282" s="8" t="inlineStr">
        <x:is>
          <x:t xml:space="preserve"/>
        </x:is>
      </x:c>
      <x:c r="G282" s="6" t="inlineStr">
        <x:is>
          <x:t xml:space="preserve"/>
        </x:is>
      </x:c>
      <x:c r="H282" s="7" t="inlineStr">
        <x:is>
          <x:t xml:space="preserve"/>
        </x:is>
      </x:c>
      <x:c r="I282" s="7" t="inlineStr">
        <x:is>
          <x:t xml:space="preserve"/>
        </x:is>
      </x:c>
      <x:c r="J282" s="7" t="inlineStr">
        <x:is>
          <x:t xml:space="preserve"/>
        </x:is>
      </x:c>
      <x:c r="K282" s="6" t="inlineStr">
        <x:is>
          <x:t xml:space="preserve"/>
        </x:is>
      </x:c>
      <x:c r="L282" s="7" t="inlineStr">
        <x:is>
          <x:t xml:space="preserve"/>
        </x:is>
      </x:c>
      <x:c r="M282" s="6" t="inlineStr">
        <x:is>
          <x:t xml:space="preserve"/>
        </x:is>
      </x:c>
      <x:c r="N282" s="6" t="inlineStr">
        <x:is>
          <x:t xml:space="preserve"/>
        </x:is>
      </x:c>
    </x:row>
    <x:row r="283">
      <x:c r="A283" s="7">
        <x:f>IF(B283="","", "T-"&amp;TEXT(ROW()-1,"00000"))</x:f>
      </x:c>
      <x:c r="B283" s="7" t="inlineStr">
        <x:is>
          <x:t xml:space="preserve"/>
        </x:is>
      </x:c>
      <x:c r="C283" s="7" t="inlineStr">
        <x:is>
          <x:t xml:space="preserve"/>
        </x:is>
      </x:c>
      <x:c r="D283" s="7">
        <x:f>IF(B283="","",VALUE(MID(B283,2,4)))</x:f>
      </x:c>
      <x:c r="E283" s="7">
        <x:f>IF(B283="","",MID(B283,6,2))</x:f>
      </x:c>
      <x:c r="F283" s="8" t="inlineStr">
        <x:is>
          <x:t xml:space="preserve"/>
        </x:is>
      </x:c>
      <x:c r="G283" s="6" t="inlineStr">
        <x:is>
          <x:t xml:space="preserve"/>
        </x:is>
      </x:c>
      <x:c r="H283" s="7" t="inlineStr">
        <x:is>
          <x:t xml:space="preserve"/>
        </x:is>
      </x:c>
      <x:c r="I283" s="7" t="inlineStr">
        <x:is>
          <x:t xml:space="preserve"/>
        </x:is>
      </x:c>
      <x:c r="J283" s="7" t="inlineStr">
        <x:is>
          <x:t xml:space="preserve"/>
        </x:is>
      </x:c>
      <x:c r="K283" s="6" t="inlineStr">
        <x:is>
          <x:t xml:space="preserve"/>
        </x:is>
      </x:c>
      <x:c r="L283" s="7" t="inlineStr">
        <x:is>
          <x:t xml:space="preserve"/>
        </x:is>
      </x:c>
      <x:c r="M283" s="6" t="inlineStr">
        <x:is>
          <x:t xml:space="preserve"/>
        </x:is>
      </x:c>
      <x:c r="N283" s="6" t="inlineStr">
        <x:is>
          <x:t xml:space="preserve"/>
        </x:is>
      </x:c>
    </x:row>
    <x:row r="284">
      <x:c r="A284" s="7">
        <x:f>IF(B284="","", "T-"&amp;TEXT(ROW()-1,"00000"))</x:f>
      </x:c>
      <x:c r="B284" s="7" t="inlineStr">
        <x:is>
          <x:t xml:space="preserve"/>
        </x:is>
      </x:c>
      <x:c r="C284" s="7" t="inlineStr">
        <x:is>
          <x:t xml:space="preserve"/>
        </x:is>
      </x:c>
      <x:c r="D284" s="7">
        <x:f>IF(B284="","",VALUE(MID(B284,2,4)))</x:f>
      </x:c>
      <x:c r="E284" s="7">
        <x:f>IF(B284="","",MID(B284,6,2))</x:f>
      </x:c>
      <x:c r="F284" s="8" t="inlineStr">
        <x:is>
          <x:t xml:space="preserve"/>
        </x:is>
      </x:c>
      <x:c r="G284" s="6" t="inlineStr">
        <x:is>
          <x:t xml:space="preserve"/>
        </x:is>
      </x:c>
      <x:c r="H284" s="7" t="inlineStr">
        <x:is>
          <x:t xml:space="preserve"/>
        </x:is>
      </x:c>
      <x:c r="I284" s="7" t="inlineStr">
        <x:is>
          <x:t xml:space="preserve"/>
        </x:is>
      </x:c>
      <x:c r="J284" s="7" t="inlineStr">
        <x:is>
          <x:t xml:space="preserve"/>
        </x:is>
      </x:c>
      <x:c r="K284" s="6" t="inlineStr">
        <x:is>
          <x:t xml:space="preserve"/>
        </x:is>
      </x:c>
      <x:c r="L284" s="7" t="inlineStr">
        <x:is>
          <x:t xml:space="preserve"/>
        </x:is>
      </x:c>
      <x:c r="M284" s="6" t="inlineStr">
        <x:is>
          <x:t xml:space="preserve"/>
        </x:is>
      </x:c>
      <x:c r="N284" s="6" t="inlineStr">
        <x:is>
          <x:t xml:space="preserve"/>
        </x:is>
      </x:c>
    </x:row>
    <x:row r="285">
      <x:c r="A285" s="7">
        <x:f>IF(B285="","", "T-"&amp;TEXT(ROW()-1,"00000"))</x:f>
      </x:c>
      <x:c r="B285" s="7" t="inlineStr">
        <x:is>
          <x:t xml:space="preserve"/>
        </x:is>
      </x:c>
      <x:c r="C285" s="7" t="inlineStr">
        <x:is>
          <x:t xml:space="preserve"/>
        </x:is>
      </x:c>
      <x:c r="D285" s="7">
        <x:f>IF(B285="","",VALUE(MID(B285,2,4)))</x:f>
      </x:c>
      <x:c r="E285" s="7">
        <x:f>IF(B285="","",MID(B285,6,2))</x:f>
      </x:c>
      <x:c r="F285" s="8" t="inlineStr">
        <x:is>
          <x:t xml:space="preserve"/>
        </x:is>
      </x:c>
      <x:c r="G285" s="6" t="inlineStr">
        <x:is>
          <x:t xml:space="preserve"/>
        </x:is>
      </x:c>
      <x:c r="H285" s="7" t="inlineStr">
        <x:is>
          <x:t xml:space="preserve"/>
        </x:is>
      </x:c>
      <x:c r="I285" s="7" t="inlineStr">
        <x:is>
          <x:t xml:space="preserve"/>
        </x:is>
      </x:c>
      <x:c r="J285" s="7" t="inlineStr">
        <x:is>
          <x:t xml:space="preserve"/>
        </x:is>
      </x:c>
      <x:c r="K285" s="6" t="inlineStr">
        <x:is>
          <x:t xml:space="preserve"/>
        </x:is>
      </x:c>
      <x:c r="L285" s="7" t="inlineStr">
        <x:is>
          <x:t xml:space="preserve"/>
        </x:is>
      </x:c>
      <x:c r="M285" s="6" t="inlineStr">
        <x:is>
          <x:t xml:space="preserve"/>
        </x:is>
      </x:c>
      <x:c r="N285" s="6" t="inlineStr">
        <x:is>
          <x:t xml:space="preserve"/>
        </x:is>
      </x:c>
    </x:row>
    <x:row r="286">
      <x:c r="A286" s="7">
        <x:f>IF(B286="","", "T-"&amp;TEXT(ROW()-1,"00000"))</x:f>
      </x:c>
      <x:c r="B286" s="7" t="inlineStr">
        <x:is>
          <x:t xml:space="preserve"/>
        </x:is>
      </x:c>
      <x:c r="C286" s="7" t="inlineStr">
        <x:is>
          <x:t xml:space="preserve"/>
        </x:is>
      </x:c>
      <x:c r="D286" s="7">
        <x:f>IF(B286="","",VALUE(MID(B286,2,4)))</x:f>
      </x:c>
      <x:c r="E286" s="7">
        <x:f>IF(B286="","",MID(B286,6,2))</x:f>
      </x:c>
      <x:c r="F286" s="8" t="inlineStr">
        <x:is>
          <x:t xml:space="preserve"/>
        </x:is>
      </x:c>
      <x:c r="G286" s="6" t="inlineStr">
        <x:is>
          <x:t xml:space="preserve"/>
        </x:is>
      </x:c>
      <x:c r="H286" s="7" t="inlineStr">
        <x:is>
          <x:t xml:space="preserve"/>
        </x:is>
      </x:c>
      <x:c r="I286" s="7" t="inlineStr">
        <x:is>
          <x:t xml:space="preserve"/>
        </x:is>
      </x:c>
      <x:c r="J286" s="7" t="inlineStr">
        <x:is>
          <x:t xml:space="preserve"/>
        </x:is>
      </x:c>
      <x:c r="K286" s="6" t="inlineStr">
        <x:is>
          <x:t xml:space="preserve"/>
        </x:is>
      </x:c>
      <x:c r="L286" s="7" t="inlineStr">
        <x:is>
          <x:t xml:space="preserve"/>
        </x:is>
      </x:c>
      <x:c r="M286" s="6" t="inlineStr">
        <x:is>
          <x:t xml:space="preserve"/>
        </x:is>
      </x:c>
      <x:c r="N286" s="6" t="inlineStr">
        <x:is>
          <x:t xml:space="preserve"/>
        </x:is>
      </x:c>
    </x:row>
    <x:row r="287">
      <x:c r="A287" s="7">
        <x:f>IF(B287="","", "T-"&amp;TEXT(ROW()-1,"00000"))</x:f>
      </x:c>
      <x:c r="B287" s="7" t="inlineStr">
        <x:is>
          <x:t xml:space="preserve"/>
        </x:is>
      </x:c>
      <x:c r="C287" s="7" t="inlineStr">
        <x:is>
          <x:t xml:space="preserve"/>
        </x:is>
      </x:c>
      <x:c r="D287" s="7">
        <x:f>IF(B287="","",VALUE(MID(B287,2,4)))</x:f>
      </x:c>
      <x:c r="E287" s="7">
        <x:f>IF(B287="","",MID(B287,6,2))</x:f>
      </x:c>
      <x:c r="F287" s="8" t="inlineStr">
        <x:is>
          <x:t xml:space="preserve"/>
        </x:is>
      </x:c>
      <x:c r="G287" s="6" t="inlineStr">
        <x:is>
          <x:t xml:space="preserve"/>
        </x:is>
      </x:c>
      <x:c r="H287" s="7" t="inlineStr">
        <x:is>
          <x:t xml:space="preserve"/>
        </x:is>
      </x:c>
      <x:c r="I287" s="7" t="inlineStr">
        <x:is>
          <x:t xml:space="preserve"/>
        </x:is>
      </x:c>
      <x:c r="J287" s="7" t="inlineStr">
        <x:is>
          <x:t xml:space="preserve"/>
        </x:is>
      </x:c>
      <x:c r="K287" s="6" t="inlineStr">
        <x:is>
          <x:t xml:space="preserve"/>
        </x:is>
      </x:c>
      <x:c r="L287" s="7" t="inlineStr">
        <x:is>
          <x:t xml:space="preserve"/>
        </x:is>
      </x:c>
      <x:c r="M287" s="6" t="inlineStr">
        <x:is>
          <x:t xml:space="preserve"/>
        </x:is>
      </x:c>
      <x:c r="N287" s="6" t="inlineStr">
        <x:is>
          <x:t xml:space="preserve"/>
        </x:is>
      </x:c>
    </x:row>
    <x:row r="288">
      <x:c r="A288" s="7">
        <x:f>IF(B288="","", "T-"&amp;TEXT(ROW()-1,"00000"))</x:f>
      </x:c>
      <x:c r="B288" s="7" t="inlineStr">
        <x:is>
          <x:t xml:space="preserve"/>
        </x:is>
      </x:c>
      <x:c r="C288" s="7" t="inlineStr">
        <x:is>
          <x:t xml:space="preserve"/>
        </x:is>
      </x:c>
      <x:c r="D288" s="7">
        <x:f>IF(B288="","",VALUE(MID(B288,2,4)))</x:f>
      </x:c>
      <x:c r="E288" s="7">
        <x:f>IF(B288="","",MID(B288,6,2))</x:f>
      </x:c>
      <x:c r="F288" s="8" t="inlineStr">
        <x:is>
          <x:t xml:space="preserve"/>
        </x:is>
      </x:c>
      <x:c r="G288" s="6" t="inlineStr">
        <x:is>
          <x:t xml:space="preserve"/>
        </x:is>
      </x:c>
      <x:c r="H288" s="7" t="inlineStr">
        <x:is>
          <x:t xml:space="preserve"/>
        </x:is>
      </x:c>
      <x:c r="I288" s="7" t="inlineStr">
        <x:is>
          <x:t xml:space="preserve"/>
        </x:is>
      </x:c>
      <x:c r="J288" s="7" t="inlineStr">
        <x:is>
          <x:t xml:space="preserve"/>
        </x:is>
      </x:c>
      <x:c r="K288" s="6" t="inlineStr">
        <x:is>
          <x:t xml:space="preserve"/>
        </x:is>
      </x:c>
      <x:c r="L288" s="7" t="inlineStr">
        <x:is>
          <x:t xml:space="preserve"/>
        </x:is>
      </x:c>
      <x:c r="M288" s="6" t="inlineStr">
        <x:is>
          <x:t xml:space="preserve"/>
        </x:is>
      </x:c>
      <x:c r="N288" s="6" t="inlineStr">
        <x:is>
          <x:t xml:space="preserve"/>
        </x:is>
      </x:c>
    </x:row>
    <x:row r="289">
      <x:c r="A289" s="7">
        <x:f>IF(B289="","", "T-"&amp;TEXT(ROW()-1,"00000"))</x:f>
      </x:c>
      <x:c r="B289" s="7" t="inlineStr">
        <x:is>
          <x:t xml:space="preserve"/>
        </x:is>
      </x:c>
      <x:c r="C289" s="7" t="inlineStr">
        <x:is>
          <x:t xml:space="preserve"/>
        </x:is>
      </x:c>
      <x:c r="D289" s="7">
        <x:f>IF(B289="","",VALUE(MID(B289,2,4)))</x:f>
      </x:c>
      <x:c r="E289" s="7">
        <x:f>IF(B289="","",MID(B289,6,2))</x:f>
      </x:c>
      <x:c r="F289" s="8" t="inlineStr">
        <x:is>
          <x:t xml:space="preserve"/>
        </x:is>
      </x:c>
      <x:c r="G289" s="6" t="inlineStr">
        <x:is>
          <x:t xml:space="preserve"/>
        </x:is>
      </x:c>
      <x:c r="H289" s="7" t="inlineStr">
        <x:is>
          <x:t xml:space="preserve"/>
        </x:is>
      </x:c>
      <x:c r="I289" s="7" t="inlineStr">
        <x:is>
          <x:t xml:space="preserve"/>
        </x:is>
      </x:c>
      <x:c r="J289" s="7" t="inlineStr">
        <x:is>
          <x:t xml:space="preserve"/>
        </x:is>
      </x:c>
      <x:c r="K289" s="6" t="inlineStr">
        <x:is>
          <x:t xml:space="preserve"/>
        </x:is>
      </x:c>
      <x:c r="L289" s="7" t="inlineStr">
        <x:is>
          <x:t xml:space="preserve"/>
        </x:is>
      </x:c>
      <x:c r="M289" s="6" t="inlineStr">
        <x:is>
          <x:t xml:space="preserve"/>
        </x:is>
      </x:c>
      <x:c r="N289" s="6" t="inlineStr">
        <x:is>
          <x:t xml:space="preserve"/>
        </x:is>
      </x:c>
    </x:row>
    <x:row r="290">
      <x:c r="A290" s="7">
        <x:f>IF(B290="","", "T-"&amp;TEXT(ROW()-1,"00000"))</x:f>
      </x:c>
      <x:c r="B290" s="7" t="inlineStr">
        <x:is>
          <x:t xml:space="preserve"/>
        </x:is>
      </x:c>
      <x:c r="C290" s="7" t="inlineStr">
        <x:is>
          <x:t xml:space="preserve"/>
        </x:is>
      </x:c>
      <x:c r="D290" s="7">
        <x:f>IF(B290="","",VALUE(MID(B290,2,4)))</x:f>
      </x:c>
      <x:c r="E290" s="7">
        <x:f>IF(B290="","",MID(B290,6,2))</x:f>
      </x:c>
      <x:c r="F290" s="8" t="inlineStr">
        <x:is>
          <x:t xml:space="preserve"/>
        </x:is>
      </x:c>
      <x:c r="G290" s="6" t="inlineStr">
        <x:is>
          <x:t xml:space="preserve"/>
        </x:is>
      </x:c>
      <x:c r="H290" s="7" t="inlineStr">
        <x:is>
          <x:t xml:space="preserve"/>
        </x:is>
      </x:c>
      <x:c r="I290" s="7" t="inlineStr">
        <x:is>
          <x:t xml:space="preserve"/>
        </x:is>
      </x:c>
      <x:c r="J290" s="7" t="inlineStr">
        <x:is>
          <x:t xml:space="preserve"/>
        </x:is>
      </x:c>
      <x:c r="K290" s="6" t="inlineStr">
        <x:is>
          <x:t xml:space="preserve"/>
        </x:is>
      </x:c>
      <x:c r="L290" s="7" t="inlineStr">
        <x:is>
          <x:t xml:space="preserve"/>
        </x:is>
      </x:c>
      <x:c r="M290" s="6" t="inlineStr">
        <x:is>
          <x:t xml:space="preserve"/>
        </x:is>
      </x:c>
      <x:c r="N290" s="6" t="inlineStr">
        <x:is>
          <x:t xml:space="preserve"/>
        </x:is>
      </x:c>
    </x:row>
    <x:row r="291">
      <x:c r="A291" s="7">
        <x:f>IF(B291="","", "T-"&amp;TEXT(ROW()-1,"00000"))</x:f>
      </x:c>
      <x:c r="B291" s="7" t="inlineStr">
        <x:is>
          <x:t xml:space="preserve"/>
        </x:is>
      </x:c>
      <x:c r="C291" s="7" t="inlineStr">
        <x:is>
          <x:t xml:space="preserve"/>
        </x:is>
      </x:c>
      <x:c r="D291" s="7">
        <x:f>IF(B291="","",VALUE(MID(B291,2,4)))</x:f>
      </x:c>
      <x:c r="E291" s="7">
        <x:f>IF(B291="","",MID(B291,6,2))</x:f>
      </x:c>
      <x:c r="F291" s="8" t="inlineStr">
        <x:is>
          <x:t xml:space="preserve"/>
        </x:is>
      </x:c>
      <x:c r="G291" s="6" t="inlineStr">
        <x:is>
          <x:t xml:space="preserve"/>
        </x:is>
      </x:c>
      <x:c r="H291" s="7" t="inlineStr">
        <x:is>
          <x:t xml:space="preserve"/>
        </x:is>
      </x:c>
      <x:c r="I291" s="7" t="inlineStr">
        <x:is>
          <x:t xml:space="preserve"/>
        </x:is>
      </x:c>
      <x:c r="J291" s="7" t="inlineStr">
        <x:is>
          <x:t xml:space="preserve"/>
        </x:is>
      </x:c>
      <x:c r="K291" s="6" t="inlineStr">
        <x:is>
          <x:t xml:space="preserve"/>
        </x:is>
      </x:c>
      <x:c r="L291" s="7" t="inlineStr">
        <x:is>
          <x:t xml:space="preserve"/>
        </x:is>
      </x:c>
      <x:c r="M291" s="6" t="inlineStr">
        <x:is>
          <x:t xml:space="preserve"/>
        </x:is>
      </x:c>
      <x:c r="N291" s="6" t="inlineStr">
        <x:is>
          <x:t xml:space="preserve"/>
        </x:is>
      </x:c>
    </x:row>
    <x:row r="292">
      <x:c r="A292" s="7">
        <x:f>IF(B292="","", "T-"&amp;TEXT(ROW()-1,"00000"))</x:f>
      </x:c>
      <x:c r="B292" s="7" t="inlineStr">
        <x:is>
          <x:t xml:space="preserve"/>
        </x:is>
      </x:c>
      <x:c r="C292" s="7" t="inlineStr">
        <x:is>
          <x:t xml:space="preserve"/>
        </x:is>
      </x:c>
      <x:c r="D292" s="7">
        <x:f>IF(B292="","",VALUE(MID(B292,2,4)))</x:f>
      </x:c>
      <x:c r="E292" s="7">
        <x:f>IF(B292="","",MID(B292,6,2))</x:f>
      </x:c>
      <x:c r="F292" s="8" t="inlineStr">
        <x:is>
          <x:t xml:space="preserve"/>
        </x:is>
      </x:c>
      <x:c r="G292" s="6" t="inlineStr">
        <x:is>
          <x:t xml:space="preserve"/>
        </x:is>
      </x:c>
      <x:c r="H292" s="7" t="inlineStr">
        <x:is>
          <x:t xml:space="preserve"/>
        </x:is>
      </x:c>
      <x:c r="I292" s="7" t="inlineStr">
        <x:is>
          <x:t xml:space="preserve"/>
        </x:is>
      </x:c>
      <x:c r="J292" s="7" t="inlineStr">
        <x:is>
          <x:t xml:space="preserve"/>
        </x:is>
      </x:c>
      <x:c r="K292" s="6" t="inlineStr">
        <x:is>
          <x:t xml:space="preserve"/>
        </x:is>
      </x:c>
      <x:c r="L292" s="7" t="inlineStr">
        <x:is>
          <x:t xml:space="preserve"/>
        </x:is>
      </x:c>
      <x:c r="M292" s="6" t="inlineStr">
        <x:is>
          <x:t xml:space="preserve"/>
        </x:is>
      </x:c>
      <x:c r="N292" s="6" t="inlineStr">
        <x:is>
          <x:t xml:space="preserve"/>
        </x:is>
      </x:c>
    </x:row>
    <x:row r="293">
      <x:c r="A293" s="7">
        <x:f>IF(B293="","", "T-"&amp;TEXT(ROW()-1,"00000"))</x:f>
      </x:c>
      <x:c r="B293" s="7" t="inlineStr">
        <x:is>
          <x:t xml:space="preserve"/>
        </x:is>
      </x:c>
      <x:c r="C293" s="7" t="inlineStr">
        <x:is>
          <x:t xml:space="preserve"/>
        </x:is>
      </x:c>
      <x:c r="D293" s="7">
        <x:f>IF(B293="","",VALUE(MID(B293,2,4)))</x:f>
      </x:c>
      <x:c r="E293" s="7">
        <x:f>IF(B293="","",MID(B293,6,2))</x:f>
      </x:c>
      <x:c r="F293" s="8" t="inlineStr">
        <x:is>
          <x:t xml:space="preserve"/>
        </x:is>
      </x:c>
      <x:c r="G293" s="6" t="inlineStr">
        <x:is>
          <x:t xml:space="preserve"/>
        </x:is>
      </x:c>
      <x:c r="H293" s="7" t="inlineStr">
        <x:is>
          <x:t xml:space="preserve"/>
        </x:is>
      </x:c>
      <x:c r="I293" s="7" t="inlineStr">
        <x:is>
          <x:t xml:space="preserve"/>
        </x:is>
      </x:c>
      <x:c r="J293" s="7" t="inlineStr">
        <x:is>
          <x:t xml:space="preserve"/>
        </x:is>
      </x:c>
      <x:c r="K293" s="6" t="inlineStr">
        <x:is>
          <x:t xml:space="preserve"/>
        </x:is>
      </x:c>
      <x:c r="L293" s="7" t="inlineStr">
        <x:is>
          <x:t xml:space="preserve"/>
        </x:is>
      </x:c>
      <x:c r="M293" s="6" t="inlineStr">
        <x:is>
          <x:t xml:space="preserve"/>
        </x:is>
      </x:c>
      <x:c r="N293" s="6" t="inlineStr">
        <x:is>
          <x:t xml:space="preserve"/>
        </x:is>
      </x:c>
    </x:row>
    <x:row r="294">
      <x:c r="A294" s="7">
        <x:f>IF(B294="","", "T-"&amp;TEXT(ROW()-1,"00000"))</x:f>
      </x:c>
      <x:c r="B294" s="7" t="inlineStr">
        <x:is>
          <x:t xml:space="preserve"/>
        </x:is>
      </x:c>
      <x:c r="C294" s="7" t="inlineStr">
        <x:is>
          <x:t xml:space="preserve"/>
        </x:is>
      </x:c>
      <x:c r="D294" s="7">
        <x:f>IF(B294="","",VALUE(MID(B294,2,4)))</x:f>
      </x:c>
      <x:c r="E294" s="7">
        <x:f>IF(B294="","",MID(B294,6,2))</x:f>
      </x:c>
      <x:c r="F294" s="8" t="inlineStr">
        <x:is>
          <x:t xml:space="preserve"/>
        </x:is>
      </x:c>
      <x:c r="G294" s="6" t="inlineStr">
        <x:is>
          <x:t xml:space="preserve"/>
        </x:is>
      </x:c>
      <x:c r="H294" s="7" t="inlineStr">
        <x:is>
          <x:t xml:space="preserve"/>
        </x:is>
      </x:c>
      <x:c r="I294" s="7" t="inlineStr">
        <x:is>
          <x:t xml:space="preserve"/>
        </x:is>
      </x:c>
      <x:c r="J294" s="7" t="inlineStr">
        <x:is>
          <x:t xml:space="preserve"/>
        </x:is>
      </x:c>
      <x:c r="K294" s="6" t="inlineStr">
        <x:is>
          <x:t xml:space="preserve"/>
        </x:is>
      </x:c>
      <x:c r="L294" s="7" t="inlineStr">
        <x:is>
          <x:t xml:space="preserve"/>
        </x:is>
      </x:c>
      <x:c r="M294" s="6" t="inlineStr">
        <x:is>
          <x:t xml:space="preserve"/>
        </x:is>
      </x:c>
      <x:c r="N294" s="6" t="inlineStr">
        <x:is>
          <x:t xml:space="preserve"/>
        </x:is>
      </x:c>
    </x:row>
    <x:row r="295">
      <x:c r="A295" s="7">
        <x:f>IF(B295="","", "T-"&amp;TEXT(ROW()-1,"00000"))</x:f>
      </x:c>
      <x:c r="B295" s="7" t="inlineStr">
        <x:is>
          <x:t xml:space="preserve"/>
        </x:is>
      </x:c>
      <x:c r="C295" s="7" t="inlineStr">
        <x:is>
          <x:t xml:space="preserve"/>
        </x:is>
      </x:c>
      <x:c r="D295" s="7">
        <x:f>IF(B295="","",VALUE(MID(B295,2,4)))</x:f>
      </x:c>
      <x:c r="E295" s="7">
        <x:f>IF(B295="","",MID(B295,6,2))</x:f>
      </x:c>
      <x:c r="F295" s="8" t="inlineStr">
        <x:is>
          <x:t xml:space="preserve"/>
        </x:is>
      </x:c>
      <x:c r="G295" s="6" t="inlineStr">
        <x:is>
          <x:t xml:space="preserve"/>
        </x:is>
      </x:c>
      <x:c r="H295" s="7" t="inlineStr">
        <x:is>
          <x:t xml:space="preserve"/>
        </x:is>
      </x:c>
      <x:c r="I295" s="7" t="inlineStr">
        <x:is>
          <x:t xml:space="preserve"/>
        </x:is>
      </x:c>
      <x:c r="J295" s="7" t="inlineStr">
        <x:is>
          <x:t xml:space="preserve"/>
        </x:is>
      </x:c>
      <x:c r="K295" s="6" t="inlineStr">
        <x:is>
          <x:t xml:space="preserve"/>
        </x:is>
      </x:c>
      <x:c r="L295" s="7" t="inlineStr">
        <x:is>
          <x:t xml:space="preserve"/>
        </x:is>
      </x:c>
      <x:c r="M295" s="6" t="inlineStr">
        <x:is>
          <x:t xml:space="preserve"/>
        </x:is>
      </x:c>
      <x:c r="N295" s="6" t="inlineStr">
        <x:is>
          <x:t xml:space="preserve"/>
        </x:is>
      </x:c>
    </x:row>
    <x:row r="296">
      <x:c r="A296" s="7">
        <x:f>IF(B296="","", "T-"&amp;TEXT(ROW()-1,"00000"))</x:f>
      </x:c>
      <x:c r="B296" s="7" t="inlineStr">
        <x:is>
          <x:t xml:space="preserve"/>
        </x:is>
      </x:c>
      <x:c r="C296" s="7" t="inlineStr">
        <x:is>
          <x:t xml:space="preserve"/>
        </x:is>
      </x:c>
      <x:c r="D296" s="7">
        <x:f>IF(B296="","",VALUE(MID(B296,2,4)))</x:f>
      </x:c>
      <x:c r="E296" s="7">
        <x:f>IF(B296="","",MID(B296,6,2))</x:f>
      </x:c>
      <x:c r="F296" s="8" t="inlineStr">
        <x:is>
          <x:t xml:space="preserve"/>
        </x:is>
      </x:c>
      <x:c r="G296" s="6" t="inlineStr">
        <x:is>
          <x:t xml:space="preserve"/>
        </x:is>
      </x:c>
      <x:c r="H296" s="7" t="inlineStr">
        <x:is>
          <x:t xml:space="preserve"/>
        </x:is>
      </x:c>
      <x:c r="I296" s="7" t="inlineStr">
        <x:is>
          <x:t xml:space="preserve"/>
        </x:is>
      </x:c>
      <x:c r="J296" s="7" t="inlineStr">
        <x:is>
          <x:t xml:space="preserve"/>
        </x:is>
      </x:c>
      <x:c r="K296" s="6" t="inlineStr">
        <x:is>
          <x:t xml:space="preserve"/>
        </x:is>
      </x:c>
      <x:c r="L296" s="7" t="inlineStr">
        <x:is>
          <x:t xml:space="preserve"/>
        </x:is>
      </x:c>
      <x:c r="M296" s="6" t="inlineStr">
        <x:is>
          <x:t xml:space="preserve"/>
        </x:is>
      </x:c>
      <x:c r="N296" s="6" t="inlineStr">
        <x:is>
          <x:t xml:space="preserve"/>
        </x:is>
      </x:c>
    </x:row>
    <x:row r="297">
      <x:c r="A297" s="7">
        <x:f>IF(B297="","", "T-"&amp;TEXT(ROW()-1,"00000"))</x:f>
      </x:c>
      <x:c r="B297" s="7" t="inlineStr">
        <x:is>
          <x:t xml:space="preserve"/>
        </x:is>
      </x:c>
      <x:c r="C297" s="7" t="inlineStr">
        <x:is>
          <x:t xml:space="preserve"/>
        </x:is>
      </x:c>
      <x:c r="D297" s="7">
        <x:f>IF(B297="","",VALUE(MID(B297,2,4)))</x:f>
      </x:c>
      <x:c r="E297" s="7">
        <x:f>IF(B297="","",MID(B297,6,2))</x:f>
      </x:c>
      <x:c r="F297" s="8" t="inlineStr">
        <x:is>
          <x:t xml:space="preserve"/>
        </x:is>
      </x:c>
      <x:c r="G297" s="6" t="inlineStr">
        <x:is>
          <x:t xml:space="preserve"/>
        </x:is>
      </x:c>
      <x:c r="H297" s="7" t="inlineStr">
        <x:is>
          <x:t xml:space="preserve"/>
        </x:is>
      </x:c>
      <x:c r="I297" s="7" t="inlineStr">
        <x:is>
          <x:t xml:space="preserve"/>
        </x:is>
      </x:c>
      <x:c r="J297" s="7" t="inlineStr">
        <x:is>
          <x:t xml:space="preserve"/>
        </x:is>
      </x:c>
      <x:c r="K297" s="6" t="inlineStr">
        <x:is>
          <x:t xml:space="preserve"/>
        </x:is>
      </x:c>
      <x:c r="L297" s="7" t="inlineStr">
        <x:is>
          <x:t xml:space="preserve"/>
        </x:is>
      </x:c>
      <x:c r="M297" s="6" t="inlineStr">
        <x:is>
          <x:t xml:space="preserve"/>
        </x:is>
      </x:c>
      <x:c r="N297" s="6" t="inlineStr">
        <x:is>
          <x:t xml:space="preserve"/>
        </x:is>
      </x:c>
    </x:row>
    <x:row r="298">
      <x:c r="A298" s="7">
        <x:f>IF(B298="","", "T-"&amp;TEXT(ROW()-1,"00000"))</x:f>
      </x:c>
      <x:c r="B298" s="7" t="inlineStr">
        <x:is>
          <x:t xml:space="preserve"/>
        </x:is>
      </x:c>
      <x:c r="C298" s="7" t="inlineStr">
        <x:is>
          <x:t xml:space="preserve"/>
        </x:is>
      </x:c>
      <x:c r="D298" s="7">
        <x:f>IF(B298="","",VALUE(MID(B298,2,4)))</x:f>
      </x:c>
      <x:c r="E298" s="7">
        <x:f>IF(B298="","",MID(B298,6,2))</x:f>
      </x:c>
      <x:c r="F298" s="8" t="inlineStr">
        <x:is>
          <x:t xml:space="preserve"/>
        </x:is>
      </x:c>
      <x:c r="G298" s="6" t="inlineStr">
        <x:is>
          <x:t xml:space="preserve"/>
        </x:is>
      </x:c>
      <x:c r="H298" s="7" t="inlineStr">
        <x:is>
          <x:t xml:space="preserve"/>
        </x:is>
      </x:c>
      <x:c r="I298" s="7" t="inlineStr">
        <x:is>
          <x:t xml:space="preserve"/>
        </x:is>
      </x:c>
      <x:c r="J298" s="7" t="inlineStr">
        <x:is>
          <x:t xml:space="preserve"/>
        </x:is>
      </x:c>
      <x:c r="K298" s="6" t="inlineStr">
        <x:is>
          <x:t xml:space="preserve"/>
        </x:is>
      </x:c>
      <x:c r="L298" s="7" t="inlineStr">
        <x:is>
          <x:t xml:space="preserve"/>
        </x:is>
      </x:c>
      <x:c r="M298" s="6" t="inlineStr">
        <x:is>
          <x:t xml:space="preserve"/>
        </x:is>
      </x:c>
      <x:c r="N298" s="6" t="inlineStr">
        <x:is>
          <x:t xml:space="preserve"/>
        </x:is>
      </x:c>
    </x:row>
    <x:row r="299">
      <x:c r="A299" s="7">
        <x:f>IF(B299="","", "T-"&amp;TEXT(ROW()-1,"00000"))</x:f>
      </x:c>
      <x:c r="B299" s="7" t="inlineStr">
        <x:is>
          <x:t xml:space="preserve"/>
        </x:is>
      </x:c>
      <x:c r="C299" s="7" t="inlineStr">
        <x:is>
          <x:t xml:space="preserve"/>
        </x:is>
      </x:c>
      <x:c r="D299" s="7">
        <x:f>IF(B299="","",VALUE(MID(B299,2,4)))</x:f>
      </x:c>
      <x:c r="E299" s="7">
        <x:f>IF(B299="","",MID(B299,6,2))</x:f>
      </x:c>
      <x:c r="F299" s="8" t="inlineStr">
        <x:is>
          <x:t xml:space="preserve"/>
        </x:is>
      </x:c>
      <x:c r="G299" s="6" t="inlineStr">
        <x:is>
          <x:t xml:space="preserve"/>
        </x:is>
      </x:c>
      <x:c r="H299" s="7" t="inlineStr">
        <x:is>
          <x:t xml:space="preserve"/>
        </x:is>
      </x:c>
      <x:c r="I299" s="7" t="inlineStr">
        <x:is>
          <x:t xml:space="preserve"/>
        </x:is>
      </x:c>
      <x:c r="J299" s="7" t="inlineStr">
        <x:is>
          <x:t xml:space="preserve"/>
        </x:is>
      </x:c>
      <x:c r="K299" s="6" t="inlineStr">
        <x:is>
          <x:t xml:space="preserve"/>
        </x:is>
      </x:c>
      <x:c r="L299" s="7" t="inlineStr">
        <x:is>
          <x:t xml:space="preserve"/>
        </x:is>
      </x:c>
      <x:c r="M299" s="6" t="inlineStr">
        <x:is>
          <x:t xml:space="preserve"/>
        </x:is>
      </x:c>
      <x:c r="N299" s="6" t="inlineStr">
        <x:is>
          <x:t xml:space="preserve"/>
        </x:is>
      </x:c>
    </x:row>
    <x:row r="300">
      <x:c r="A300" s="7">
        <x:f>IF(B300="","", "T-"&amp;TEXT(ROW()-1,"00000"))</x:f>
      </x:c>
      <x:c r="B300" s="7" t="inlineStr">
        <x:is>
          <x:t xml:space="preserve"/>
        </x:is>
      </x:c>
      <x:c r="C300" s="7" t="inlineStr">
        <x:is>
          <x:t xml:space="preserve"/>
        </x:is>
      </x:c>
      <x:c r="D300" s="7">
        <x:f>IF(B300="","",VALUE(MID(B300,2,4)))</x:f>
      </x:c>
      <x:c r="E300" s="7">
        <x:f>IF(B300="","",MID(B300,6,2))</x:f>
      </x:c>
      <x:c r="F300" s="8" t="inlineStr">
        <x:is>
          <x:t xml:space="preserve"/>
        </x:is>
      </x:c>
      <x:c r="G300" s="6" t="inlineStr">
        <x:is>
          <x:t xml:space="preserve"/>
        </x:is>
      </x:c>
      <x:c r="H300" s="7" t="inlineStr">
        <x:is>
          <x:t xml:space="preserve"/>
        </x:is>
      </x:c>
      <x:c r="I300" s="7" t="inlineStr">
        <x:is>
          <x:t xml:space="preserve"/>
        </x:is>
      </x:c>
      <x:c r="J300" s="7" t="inlineStr">
        <x:is>
          <x:t xml:space="preserve"/>
        </x:is>
      </x:c>
      <x:c r="K300" s="6" t="inlineStr">
        <x:is>
          <x:t xml:space="preserve"/>
        </x:is>
      </x:c>
      <x:c r="L300" s="7" t="inlineStr">
        <x:is>
          <x:t xml:space="preserve"/>
        </x:is>
      </x:c>
      <x:c r="M300" s="6" t="inlineStr">
        <x:is>
          <x:t xml:space="preserve"/>
        </x:is>
      </x:c>
      <x:c r="N300" s="6" t="inlineStr">
        <x:is>
          <x:t xml:space="preserve"/>
        </x:is>
      </x:c>
    </x:row>
    <x:row r="301">
      <x:c r="A301" s="7">
        <x:f>IF(B301="","", "T-"&amp;TEXT(ROW()-1,"00000"))</x:f>
      </x:c>
      <x:c r="B301" s="7" t="inlineStr">
        <x:is>
          <x:t xml:space="preserve"/>
        </x:is>
      </x:c>
      <x:c r="C301" s="7" t="inlineStr">
        <x:is>
          <x:t xml:space="preserve"/>
        </x:is>
      </x:c>
      <x:c r="D301" s="7">
        <x:f>IF(B301="","",VALUE(MID(B301,2,4)))</x:f>
      </x:c>
      <x:c r="E301" s="7">
        <x:f>IF(B301="","",MID(B301,6,2))</x:f>
      </x:c>
      <x:c r="F301" s="8" t="inlineStr">
        <x:is>
          <x:t xml:space="preserve"/>
        </x:is>
      </x:c>
      <x:c r="G301" s="6" t="inlineStr">
        <x:is>
          <x:t xml:space="preserve"/>
        </x:is>
      </x:c>
      <x:c r="H301" s="7" t="inlineStr">
        <x:is>
          <x:t xml:space="preserve"/>
        </x:is>
      </x:c>
      <x:c r="I301" s="7" t="inlineStr">
        <x:is>
          <x:t xml:space="preserve"/>
        </x:is>
      </x:c>
      <x:c r="J301" s="7" t="inlineStr">
        <x:is>
          <x:t xml:space="preserve"/>
        </x:is>
      </x:c>
      <x:c r="K301" s="6" t="inlineStr">
        <x:is>
          <x:t xml:space="preserve"/>
        </x:is>
      </x:c>
      <x:c r="L301" s="7" t="inlineStr">
        <x:is>
          <x:t xml:space="preserve"/>
        </x:is>
      </x:c>
      <x:c r="M301" s="6" t="inlineStr">
        <x:is>
          <x:t xml:space="preserve"/>
        </x:is>
      </x:c>
      <x:c r="N301" s="6" t="inlineStr">
        <x:is>
          <x:t xml:space="preserve"/>
        </x:is>
      </x:c>
    </x:row>
    <x:row r="302">
      <x:c r="A302" s="7">
        <x:f>IF(B302="","", "T-"&amp;TEXT(ROW()-1,"00000"))</x:f>
      </x:c>
      <x:c r="B302" s="7" t="inlineStr">
        <x:is>
          <x:t xml:space="preserve"/>
        </x:is>
      </x:c>
      <x:c r="C302" s="7" t="inlineStr">
        <x:is>
          <x:t xml:space="preserve"/>
        </x:is>
      </x:c>
      <x:c r="D302" s="7">
        <x:f>IF(B302="","",VALUE(MID(B302,2,4)))</x:f>
      </x:c>
      <x:c r="E302" s="7">
        <x:f>IF(B302="","",MID(B302,6,2))</x:f>
      </x:c>
      <x:c r="F302" s="8" t="inlineStr">
        <x:is>
          <x:t xml:space="preserve"/>
        </x:is>
      </x:c>
      <x:c r="G302" s="6" t="inlineStr">
        <x:is>
          <x:t xml:space="preserve"/>
        </x:is>
      </x:c>
      <x:c r="H302" s="7" t="inlineStr">
        <x:is>
          <x:t xml:space="preserve"/>
        </x:is>
      </x:c>
      <x:c r="I302" s="7" t="inlineStr">
        <x:is>
          <x:t xml:space="preserve"/>
        </x:is>
      </x:c>
      <x:c r="J302" s="7" t="inlineStr">
        <x:is>
          <x:t xml:space="preserve"/>
        </x:is>
      </x:c>
      <x:c r="K302" s="6" t="inlineStr">
        <x:is>
          <x:t xml:space="preserve"/>
        </x:is>
      </x:c>
      <x:c r="L302" s="7" t="inlineStr">
        <x:is>
          <x:t xml:space="preserve"/>
        </x:is>
      </x:c>
      <x:c r="M302" s="6" t="inlineStr">
        <x:is>
          <x:t xml:space="preserve"/>
        </x:is>
      </x:c>
      <x:c r="N302" s="6" t="inlineStr">
        <x:is>
          <x:t xml:space="preserve"/>
        </x:is>
      </x:c>
    </x:row>
    <x:row r="303">
      <x:c r="A303" s="7">
        <x:f>IF(B303="","", "T-"&amp;TEXT(ROW()-1,"00000"))</x:f>
      </x:c>
      <x:c r="B303" s="7" t="inlineStr">
        <x:is>
          <x:t xml:space="preserve"/>
        </x:is>
      </x:c>
      <x:c r="C303" s="7" t="inlineStr">
        <x:is>
          <x:t xml:space="preserve"/>
        </x:is>
      </x:c>
      <x:c r="D303" s="7">
        <x:f>IF(B303="","",VALUE(MID(B303,2,4)))</x:f>
      </x:c>
      <x:c r="E303" s="7">
        <x:f>IF(B303="","",MID(B303,6,2))</x:f>
      </x:c>
      <x:c r="F303" s="8" t="inlineStr">
        <x:is>
          <x:t xml:space="preserve"/>
        </x:is>
      </x:c>
      <x:c r="G303" s="6" t="inlineStr">
        <x:is>
          <x:t xml:space="preserve"/>
        </x:is>
      </x:c>
      <x:c r="H303" s="7" t="inlineStr">
        <x:is>
          <x:t xml:space="preserve"/>
        </x:is>
      </x:c>
      <x:c r="I303" s="7" t="inlineStr">
        <x:is>
          <x:t xml:space="preserve"/>
        </x:is>
      </x:c>
      <x:c r="J303" s="7" t="inlineStr">
        <x:is>
          <x:t xml:space="preserve"/>
        </x:is>
      </x:c>
      <x:c r="K303" s="6" t="inlineStr">
        <x:is>
          <x:t xml:space="preserve"/>
        </x:is>
      </x:c>
      <x:c r="L303" s="7" t="inlineStr">
        <x:is>
          <x:t xml:space="preserve"/>
        </x:is>
      </x:c>
      <x:c r="M303" s="6" t="inlineStr">
        <x:is>
          <x:t xml:space="preserve"/>
        </x:is>
      </x:c>
      <x:c r="N303" s="6" t="inlineStr">
        <x:is>
          <x:t xml:space="preserve"/>
        </x:is>
      </x:c>
    </x:row>
    <x:row r="304">
      <x:c r="A304" s="7">
        <x:f>IF(B304="","", "T-"&amp;TEXT(ROW()-1,"00000"))</x:f>
      </x:c>
      <x:c r="B304" s="7" t="inlineStr">
        <x:is>
          <x:t xml:space="preserve"/>
        </x:is>
      </x:c>
      <x:c r="C304" s="7" t="inlineStr">
        <x:is>
          <x:t xml:space="preserve"/>
        </x:is>
      </x:c>
      <x:c r="D304" s="7">
        <x:f>IF(B304="","",VALUE(MID(B304,2,4)))</x:f>
      </x:c>
      <x:c r="E304" s="7">
        <x:f>IF(B304="","",MID(B304,6,2))</x:f>
      </x:c>
      <x:c r="F304" s="8" t="inlineStr">
        <x:is>
          <x:t xml:space="preserve"/>
        </x:is>
      </x:c>
      <x:c r="G304" s="6" t="inlineStr">
        <x:is>
          <x:t xml:space="preserve"/>
        </x:is>
      </x:c>
      <x:c r="H304" s="7" t="inlineStr">
        <x:is>
          <x:t xml:space="preserve"/>
        </x:is>
      </x:c>
      <x:c r="I304" s="7" t="inlineStr">
        <x:is>
          <x:t xml:space="preserve"/>
        </x:is>
      </x:c>
      <x:c r="J304" s="7" t="inlineStr">
        <x:is>
          <x:t xml:space="preserve"/>
        </x:is>
      </x:c>
      <x:c r="K304" s="6" t="inlineStr">
        <x:is>
          <x:t xml:space="preserve"/>
        </x:is>
      </x:c>
      <x:c r="L304" s="7" t="inlineStr">
        <x:is>
          <x:t xml:space="preserve"/>
        </x:is>
      </x:c>
      <x:c r="M304" s="6" t="inlineStr">
        <x:is>
          <x:t xml:space="preserve"/>
        </x:is>
      </x:c>
      <x:c r="N304" s="6" t="inlineStr">
        <x:is>
          <x:t xml:space="preserve"/>
        </x:is>
      </x:c>
    </x:row>
    <x:row r="305">
      <x:c r="A305" s="7">
        <x:f>IF(B305="","", "T-"&amp;TEXT(ROW()-1,"00000"))</x:f>
      </x:c>
      <x:c r="B305" s="7" t="inlineStr">
        <x:is>
          <x:t xml:space="preserve"/>
        </x:is>
      </x:c>
      <x:c r="C305" s="7" t="inlineStr">
        <x:is>
          <x:t xml:space="preserve"/>
        </x:is>
      </x:c>
      <x:c r="D305" s="7">
        <x:f>IF(B305="","",VALUE(MID(B305,2,4)))</x:f>
      </x:c>
      <x:c r="E305" s="7">
        <x:f>IF(B305="","",MID(B305,6,2))</x:f>
      </x:c>
      <x:c r="F305" s="8" t="inlineStr">
        <x:is>
          <x:t xml:space="preserve"/>
        </x:is>
      </x:c>
      <x:c r="G305" s="6" t="inlineStr">
        <x:is>
          <x:t xml:space="preserve"/>
        </x:is>
      </x:c>
      <x:c r="H305" s="7" t="inlineStr">
        <x:is>
          <x:t xml:space="preserve"/>
        </x:is>
      </x:c>
      <x:c r="I305" s="7" t="inlineStr">
        <x:is>
          <x:t xml:space="preserve"/>
        </x:is>
      </x:c>
      <x:c r="J305" s="7" t="inlineStr">
        <x:is>
          <x:t xml:space="preserve"/>
        </x:is>
      </x:c>
      <x:c r="K305" s="6" t="inlineStr">
        <x:is>
          <x:t xml:space="preserve"/>
        </x:is>
      </x:c>
      <x:c r="L305" s="7" t="inlineStr">
        <x:is>
          <x:t xml:space="preserve"/>
        </x:is>
      </x:c>
      <x:c r="M305" s="6" t="inlineStr">
        <x:is>
          <x:t xml:space="preserve"/>
        </x:is>
      </x:c>
      <x:c r="N305" s="6" t="inlineStr">
        <x:is>
          <x:t xml:space="preserve"/>
        </x:is>
      </x:c>
    </x:row>
    <x:row r="306">
      <x:c r="A306" s="7">
        <x:f>IF(B306="","", "T-"&amp;TEXT(ROW()-1,"00000"))</x:f>
      </x:c>
      <x:c r="B306" s="7" t="inlineStr">
        <x:is>
          <x:t xml:space="preserve"/>
        </x:is>
      </x:c>
      <x:c r="C306" s="7" t="inlineStr">
        <x:is>
          <x:t xml:space="preserve"/>
        </x:is>
      </x:c>
      <x:c r="D306" s="7">
        <x:f>IF(B306="","",VALUE(MID(B306,2,4)))</x:f>
      </x:c>
      <x:c r="E306" s="7">
        <x:f>IF(B306="","",MID(B306,6,2))</x:f>
      </x:c>
      <x:c r="F306" s="8" t="inlineStr">
        <x:is>
          <x:t xml:space="preserve"/>
        </x:is>
      </x:c>
      <x:c r="G306" s="6" t="inlineStr">
        <x:is>
          <x:t xml:space="preserve"/>
        </x:is>
      </x:c>
      <x:c r="H306" s="7" t="inlineStr">
        <x:is>
          <x:t xml:space="preserve"/>
        </x:is>
      </x:c>
      <x:c r="I306" s="7" t="inlineStr">
        <x:is>
          <x:t xml:space="preserve"/>
        </x:is>
      </x:c>
      <x:c r="J306" s="7" t="inlineStr">
        <x:is>
          <x:t xml:space="preserve"/>
        </x:is>
      </x:c>
      <x:c r="K306" s="6" t="inlineStr">
        <x:is>
          <x:t xml:space="preserve"/>
        </x:is>
      </x:c>
      <x:c r="L306" s="7" t="inlineStr">
        <x:is>
          <x:t xml:space="preserve"/>
        </x:is>
      </x:c>
      <x:c r="M306" s="6" t="inlineStr">
        <x:is>
          <x:t xml:space="preserve"/>
        </x:is>
      </x:c>
      <x:c r="N306" s="6" t="inlineStr">
        <x:is>
          <x:t xml:space="preserve"/>
        </x:is>
      </x:c>
    </x:row>
    <x:row r="307">
      <x:c r="A307" s="7">
        <x:f>IF(B307="","", "T-"&amp;TEXT(ROW()-1,"00000"))</x:f>
      </x:c>
      <x:c r="B307" s="7" t="inlineStr">
        <x:is>
          <x:t xml:space="preserve"/>
        </x:is>
      </x:c>
      <x:c r="C307" s="7" t="inlineStr">
        <x:is>
          <x:t xml:space="preserve"/>
        </x:is>
      </x:c>
      <x:c r="D307" s="7">
        <x:f>IF(B307="","",VALUE(MID(B307,2,4)))</x:f>
      </x:c>
      <x:c r="E307" s="7">
        <x:f>IF(B307="","",MID(B307,6,2))</x:f>
      </x:c>
      <x:c r="F307" s="8" t="inlineStr">
        <x:is>
          <x:t xml:space="preserve"/>
        </x:is>
      </x:c>
      <x:c r="G307" s="6" t="inlineStr">
        <x:is>
          <x:t xml:space="preserve"/>
        </x:is>
      </x:c>
      <x:c r="H307" s="7" t="inlineStr">
        <x:is>
          <x:t xml:space="preserve"/>
        </x:is>
      </x:c>
      <x:c r="I307" s="7" t="inlineStr">
        <x:is>
          <x:t xml:space="preserve"/>
        </x:is>
      </x:c>
      <x:c r="J307" s="7" t="inlineStr">
        <x:is>
          <x:t xml:space="preserve"/>
        </x:is>
      </x:c>
      <x:c r="K307" s="6" t="inlineStr">
        <x:is>
          <x:t xml:space="preserve"/>
        </x:is>
      </x:c>
      <x:c r="L307" s="7" t="inlineStr">
        <x:is>
          <x:t xml:space="preserve"/>
        </x:is>
      </x:c>
      <x:c r="M307" s="6" t="inlineStr">
        <x:is>
          <x:t xml:space="preserve"/>
        </x:is>
      </x:c>
      <x:c r="N307" s="6" t="inlineStr">
        <x:is>
          <x:t xml:space="preserve"/>
        </x:is>
      </x:c>
    </x:row>
    <x:row r="308">
      <x:c r="A308" s="7">
        <x:f>IF(B308="","", "T-"&amp;TEXT(ROW()-1,"00000"))</x:f>
      </x:c>
      <x:c r="B308" s="7" t="inlineStr">
        <x:is>
          <x:t xml:space="preserve"/>
        </x:is>
      </x:c>
      <x:c r="C308" s="7" t="inlineStr">
        <x:is>
          <x:t xml:space="preserve"/>
        </x:is>
      </x:c>
      <x:c r="D308" s="7">
        <x:f>IF(B308="","",VALUE(MID(B308,2,4)))</x:f>
      </x:c>
      <x:c r="E308" s="7">
        <x:f>IF(B308="","",MID(B308,6,2))</x:f>
      </x:c>
      <x:c r="F308" s="8" t="inlineStr">
        <x:is>
          <x:t xml:space="preserve"/>
        </x:is>
      </x:c>
      <x:c r="G308" s="6" t="inlineStr">
        <x:is>
          <x:t xml:space="preserve"/>
        </x:is>
      </x:c>
      <x:c r="H308" s="7" t="inlineStr">
        <x:is>
          <x:t xml:space="preserve"/>
        </x:is>
      </x:c>
      <x:c r="I308" s="7" t="inlineStr">
        <x:is>
          <x:t xml:space="preserve"/>
        </x:is>
      </x:c>
      <x:c r="J308" s="7" t="inlineStr">
        <x:is>
          <x:t xml:space="preserve"/>
        </x:is>
      </x:c>
      <x:c r="K308" s="6" t="inlineStr">
        <x:is>
          <x:t xml:space="preserve"/>
        </x:is>
      </x:c>
      <x:c r="L308" s="7" t="inlineStr">
        <x:is>
          <x:t xml:space="preserve"/>
        </x:is>
      </x:c>
      <x:c r="M308" s="6" t="inlineStr">
        <x:is>
          <x:t xml:space="preserve"/>
        </x:is>
      </x:c>
      <x:c r="N308" s="6" t="inlineStr">
        <x:is>
          <x:t xml:space="preserve"/>
        </x:is>
      </x:c>
    </x:row>
    <x:row r="309">
      <x:c r="A309" s="7">
        <x:f>IF(B309="","", "T-"&amp;TEXT(ROW()-1,"00000"))</x:f>
      </x:c>
      <x:c r="B309" s="7" t="inlineStr">
        <x:is>
          <x:t xml:space="preserve"/>
        </x:is>
      </x:c>
      <x:c r="C309" s="7" t="inlineStr">
        <x:is>
          <x:t xml:space="preserve"/>
        </x:is>
      </x:c>
      <x:c r="D309" s="7">
        <x:f>IF(B309="","",VALUE(MID(B309,2,4)))</x:f>
      </x:c>
      <x:c r="E309" s="7">
        <x:f>IF(B309="","",MID(B309,6,2))</x:f>
      </x:c>
      <x:c r="F309" s="8" t="inlineStr">
        <x:is>
          <x:t xml:space="preserve"/>
        </x:is>
      </x:c>
      <x:c r="G309" s="6" t="inlineStr">
        <x:is>
          <x:t xml:space="preserve"/>
        </x:is>
      </x:c>
      <x:c r="H309" s="7" t="inlineStr">
        <x:is>
          <x:t xml:space="preserve"/>
        </x:is>
      </x:c>
      <x:c r="I309" s="7" t="inlineStr">
        <x:is>
          <x:t xml:space="preserve"/>
        </x:is>
      </x:c>
      <x:c r="J309" s="7" t="inlineStr">
        <x:is>
          <x:t xml:space="preserve"/>
        </x:is>
      </x:c>
      <x:c r="K309" s="6" t="inlineStr">
        <x:is>
          <x:t xml:space="preserve"/>
        </x:is>
      </x:c>
      <x:c r="L309" s="7" t="inlineStr">
        <x:is>
          <x:t xml:space="preserve"/>
        </x:is>
      </x:c>
      <x:c r="M309" s="6" t="inlineStr">
        <x:is>
          <x:t xml:space="preserve"/>
        </x:is>
      </x:c>
      <x:c r="N309" s="6" t="inlineStr">
        <x:is>
          <x:t xml:space="preserve"/>
        </x:is>
      </x:c>
    </x:row>
    <x:row r="310">
      <x:c r="A310" s="7">
        <x:f>IF(B310="","", "T-"&amp;TEXT(ROW()-1,"00000"))</x:f>
      </x:c>
      <x:c r="B310" s="7" t="inlineStr">
        <x:is>
          <x:t xml:space="preserve"/>
        </x:is>
      </x:c>
      <x:c r="C310" s="7" t="inlineStr">
        <x:is>
          <x:t xml:space="preserve"/>
        </x:is>
      </x:c>
      <x:c r="D310" s="7">
        <x:f>IF(B310="","",VALUE(MID(B310,2,4)))</x:f>
      </x:c>
      <x:c r="E310" s="7">
        <x:f>IF(B310="","",MID(B310,6,2))</x:f>
      </x:c>
      <x:c r="F310" s="8" t="inlineStr">
        <x:is>
          <x:t xml:space="preserve"/>
        </x:is>
      </x:c>
      <x:c r="G310" s="6" t="inlineStr">
        <x:is>
          <x:t xml:space="preserve"/>
        </x:is>
      </x:c>
      <x:c r="H310" s="7" t="inlineStr">
        <x:is>
          <x:t xml:space="preserve"/>
        </x:is>
      </x:c>
      <x:c r="I310" s="7" t="inlineStr">
        <x:is>
          <x:t xml:space="preserve"/>
        </x:is>
      </x:c>
      <x:c r="J310" s="7" t="inlineStr">
        <x:is>
          <x:t xml:space="preserve"/>
        </x:is>
      </x:c>
      <x:c r="K310" s="6" t="inlineStr">
        <x:is>
          <x:t xml:space="preserve"/>
        </x:is>
      </x:c>
      <x:c r="L310" s="7" t="inlineStr">
        <x:is>
          <x:t xml:space="preserve"/>
        </x:is>
      </x:c>
      <x:c r="M310" s="6" t="inlineStr">
        <x:is>
          <x:t xml:space="preserve"/>
        </x:is>
      </x:c>
      <x:c r="N310" s="6" t="inlineStr">
        <x:is>
          <x:t xml:space="preserve"/>
        </x:is>
      </x:c>
    </x:row>
    <x:row r="311">
      <x:c r="A311" s="7">
        <x:f>IF(B311="","", "T-"&amp;TEXT(ROW()-1,"00000"))</x:f>
      </x:c>
      <x:c r="B311" s="7" t="inlineStr">
        <x:is>
          <x:t xml:space="preserve"/>
        </x:is>
      </x:c>
      <x:c r="C311" s="7" t="inlineStr">
        <x:is>
          <x:t xml:space="preserve"/>
        </x:is>
      </x:c>
      <x:c r="D311" s="7">
        <x:f>IF(B311="","",VALUE(MID(B311,2,4)))</x:f>
      </x:c>
      <x:c r="E311" s="7">
        <x:f>IF(B311="","",MID(B311,6,2))</x:f>
      </x:c>
      <x:c r="F311" s="8" t="inlineStr">
        <x:is>
          <x:t xml:space="preserve"/>
        </x:is>
      </x:c>
      <x:c r="G311" s="6" t="inlineStr">
        <x:is>
          <x:t xml:space="preserve"/>
        </x:is>
      </x:c>
      <x:c r="H311" s="7" t="inlineStr">
        <x:is>
          <x:t xml:space="preserve"/>
        </x:is>
      </x:c>
      <x:c r="I311" s="7" t="inlineStr">
        <x:is>
          <x:t xml:space="preserve"/>
        </x:is>
      </x:c>
      <x:c r="J311" s="7" t="inlineStr">
        <x:is>
          <x:t xml:space="preserve"/>
        </x:is>
      </x:c>
      <x:c r="K311" s="6" t="inlineStr">
        <x:is>
          <x:t xml:space="preserve"/>
        </x:is>
      </x:c>
      <x:c r="L311" s="7" t="inlineStr">
        <x:is>
          <x:t xml:space="preserve"/>
        </x:is>
      </x:c>
      <x:c r="M311" s="6" t="inlineStr">
        <x:is>
          <x:t xml:space="preserve"/>
        </x:is>
      </x:c>
      <x:c r="N311" s="6" t="inlineStr">
        <x:is>
          <x:t xml:space="preserve"/>
        </x:is>
      </x:c>
    </x:row>
    <x:row r="312">
      <x:c r="A312" s="7">
        <x:f>IF(B312="","", "T-"&amp;TEXT(ROW()-1,"00000"))</x:f>
      </x:c>
      <x:c r="B312" s="7" t="inlineStr">
        <x:is>
          <x:t xml:space="preserve"/>
        </x:is>
      </x:c>
      <x:c r="C312" s="7" t="inlineStr">
        <x:is>
          <x:t xml:space="preserve"/>
        </x:is>
      </x:c>
      <x:c r="D312" s="7">
        <x:f>IF(B312="","",VALUE(MID(B312,2,4)))</x:f>
      </x:c>
      <x:c r="E312" s="7">
        <x:f>IF(B312="","",MID(B312,6,2))</x:f>
      </x:c>
      <x:c r="F312" s="8" t="inlineStr">
        <x:is>
          <x:t xml:space="preserve"/>
        </x:is>
      </x:c>
      <x:c r="G312" s="6" t="inlineStr">
        <x:is>
          <x:t xml:space="preserve"/>
        </x:is>
      </x:c>
      <x:c r="H312" s="7" t="inlineStr">
        <x:is>
          <x:t xml:space="preserve"/>
        </x:is>
      </x:c>
      <x:c r="I312" s="7" t="inlineStr">
        <x:is>
          <x:t xml:space="preserve"/>
        </x:is>
      </x:c>
      <x:c r="J312" s="7" t="inlineStr">
        <x:is>
          <x:t xml:space="preserve"/>
        </x:is>
      </x:c>
      <x:c r="K312" s="6" t="inlineStr">
        <x:is>
          <x:t xml:space="preserve"/>
        </x:is>
      </x:c>
      <x:c r="L312" s="7" t="inlineStr">
        <x:is>
          <x:t xml:space="preserve"/>
        </x:is>
      </x:c>
      <x:c r="M312" s="6" t="inlineStr">
        <x:is>
          <x:t xml:space="preserve"/>
        </x:is>
      </x:c>
      <x:c r="N312" s="6" t="inlineStr">
        <x:is>
          <x:t xml:space="preserve"/>
        </x:is>
      </x:c>
    </x:row>
    <x:row r="313">
      <x:c r="A313" s="7">
        <x:f>IF(B313="","", "T-"&amp;TEXT(ROW()-1,"00000"))</x:f>
      </x:c>
      <x:c r="B313" s="7" t="inlineStr">
        <x:is>
          <x:t xml:space="preserve"/>
        </x:is>
      </x:c>
      <x:c r="C313" s="7" t="inlineStr">
        <x:is>
          <x:t xml:space="preserve"/>
        </x:is>
      </x:c>
      <x:c r="D313" s="7">
        <x:f>IF(B313="","",VALUE(MID(B313,2,4)))</x:f>
      </x:c>
      <x:c r="E313" s="7">
        <x:f>IF(B313="","",MID(B313,6,2))</x:f>
      </x:c>
      <x:c r="F313" s="8" t="inlineStr">
        <x:is>
          <x:t xml:space="preserve"/>
        </x:is>
      </x:c>
      <x:c r="G313" s="6" t="inlineStr">
        <x:is>
          <x:t xml:space="preserve"/>
        </x:is>
      </x:c>
      <x:c r="H313" s="7" t="inlineStr">
        <x:is>
          <x:t xml:space="preserve"/>
        </x:is>
      </x:c>
      <x:c r="I313" s="7" t="inlineStr">
        <x:is>
          <x:t xml:space="preserve"/>
        </x:is>
      </x:c>
      <x:c r="J313" s="7" t="inlineStr">
        <x:is>
          <x:t xml:space="preserve"/>
        </x:is>
      </x:c>
      <x:c r="K313" s="6" t="inlineStr">
        <x:is>
          <x:t xml:space="preserve"/>
        </x:is>
      </x:c>
      <x:c r="L313" s="7" t="inlineStr">
        <x:is>
          <x:t xml:space="preserve"/>
        </x:is>
      </x:c>
      <x:c r="M313" s="6" t="inlineStr">
        <x:is>
          <x:t xml:space="preserve"/>
        </x:is>
      </x:c>
      <x:c r="N313" s="6" t="inlineStr">
        <x:is>
          <x:t xml:space="preserve"/>
        </x:is>
      </x:c>
    </x:row>
    <x:row r="314">
      <x:c r="A314" s="7">
        <x:f>IF(B314="","", "T-"&amp;TEXT(ROW()-1,"00000"))</x:f>
      </x:c>
      <x:c r="B314" s="7" t="inlineStr">
        <x:is>
          <x:t xml:space="preserve"/>
        </x:is>
      </x:c>
      <x:c r="C314" s="7" t="inlineStr">
        <x:is>
          <x:t xml:space="preserve"/>
        </x:is>
      </x:c>
      <x:c r="D314" s="7">
        <x:f>IF(B314="","",VALUE(MID(B314,2,4)))</x:f>
      </x:c>
      <x:c r="E314" s="7">
        <x:f>IF(B314="","",MID(B314,6,2))</x:f>
      </x:c>
      <x:c r="F314" s="8" t="inlineStr">
        <x:is>
          <x:t xml:space="preserve"/>
        </x:is>
      </x:c>
      <x:c r="G314" s="6" t="inlineStr">
        <x:is>
          <x:t xml:space="preserve"/>
        </x:is>
      </x:c>
      <x:c r="H314" s="7" t="inlineStr">
        <x:is>
          <x:t xml:space="preserve"/>
        </x:is>
      </x:c>
      <x:c r="I314" s="7" t="inlineStr">
        <x:is>
          <x:t xml:space="preserve"/>
        </x:is>
      </x:c>
      <x:c r="J314" s="7" t="inlineStr">
        <x:is>
          <x:t xml:space="preserve"/>
        </x:is>
      </x:c>
      <x:c r="K314" s="6" t="inlineStr">
        <x:is>
          <x:t xml:space="preserve"/>
        </x:is>
      </x:c>
      <x:c r="L314" s="7" t="inlineStr">
        <x:is>
          <x:t xml:space="preserve"/>
        </x:is>
      </x:c>
      <x:c r="M314" s="6" t="inlineStr">
        <x:is>
          <x:t xml:space="preserve"/>
        </x:is>
      </x:c>
      <x:c r="N314" s="6" t="inlineStr">
        <x:is>
          <x:t xml:space="preserve"/>
        </x:is>
      </x:c>
    </x:row>
    <x:row r="315">
      <x:c r="A315" s="7">
        <x:f>IF(B315="","", "T-"&amp;TEXT(ROW()-1,"00000"))</x:f>
      </x:c>
      <x:c r="B315" s="7" t="inlineStr">
        <x:is>
          <x:t xml:space="preserve"/>
        </x:is>
      </x:c>
      <x:c r="C315" s="7" t="inlineStr">
        <x:is>
          <x:t xml:space="preserve"/>
        </x:is>
      </x:c>
      <x:c r="D315" s="7">
        <x:f>IF(B315="","",VALUE(MID(B315,2,4)))</x:f>
      </x:c>
      <x:c r="E315" s="7">
        <x:f>IF(B315="","",MID(B315,6,2))</x:f>
      </x:c>
      <x:c r="F315" s="8" t="inlineStr">
        <x:is>
          <x:t xml:space="preserve"/>
        </x:is>
      </x:c>
      <x:c r="G315" s="6" t="inlineStr">
        <x:is>
          <x:t xml:space="preserve"/>
        </x:is>
      </x:c>
      <x:c r="H315" s="7" t="inlineStr">
        <x:is>
          <x:t xml:space="preserve"/>
        </x:is>
      </x:c>
      <x:c r="I315" s="7" t="inlineStr">
        <x:is>
          <x:t xml:space="preserve"/>
        </x:is>
      </x:c>
      <x:c r="J315" s="7" t="inlineStr">
        <x:is>
          <x:t xml:space="preserve"/>
        </x:is>
      </x:c>
      <x:c r="K315" s="6" t="inlineStr">
        <x:is>
          <x:t xml:space="preserve"/>
        </x:is>
      </x:c>
      <x:c r="L315" s="7" t="inlineStr">
        <x:is>
          <x:t xml:space="preserve"/>
        </x:is>
      </x:c>
      <x:c r="M315" s="6" t="inlineStr">
        <x:is>
          <x:t xml:space="preserve"/>
        </x:is>
      </x:c>
      <x:c r="N315" s="6" t="inlineStr">
        <x:is>
          <x:t xml:space="preserve"/>
        </x:is>
      </x:c>
    </x:row>
    <x:row r="316">
      <x:c r="A316" s="7">
        <x:f>IF(B316="","", "T-"&amp;TEXT(ROW()-1,"00000"))</x:f>
      </x:c>
      <x:c r="B316" s="7" t="inlineStr">
        <x:is>
          <x:t xml:space="preserve"/>
        </x:is>
      </x:c>
      <x:c r="C316" s="7" t="inlineStr">
        <x:is>
          <x:t xml:space="preserve"/>
        </x:is>
      </x:c>
      <x:c r="D316" s="7">
        <x:f>IF(B316="","",VALUE(MID(B316,2,4)))</x:f>
      </x:c>
      <x:c r="E316" s="7">
        <x:f>IF(B316="","",MID(B316,6,2))</x:f>
      </x:c>
      <x:c r="F316" s="8" t="inlineStr">
        <x:is>
          <x:t xml:space="preserve"/>
        </x:is>
      </x:c>
      <x:c r="G316" s="6" t="inlineStr">
        <x:is>
          <x:t xml:space="preserve"/>
        </x:is>
      </x:c>
      <x:c r="H316" s="7" t="inlineStr">
        <x:is>
          <x:t xml:space="preserve"/>
        </x:is>
      </x:c>
      <x:c r="I316" s="7" t="inlineStr">
        <x:is>
          <x:t xml:space="preserve"/>
        </x:is>
      </x:c>
      <x:c r="J316" s="7" t="inlineStr">
        <x:is>
          <x:t xml:space="preserve"/>
        </x:is>
      </x:c>
      <x:c r="K316" s="6" t="inlineStr">
        <x:is>
          <x:t xml:space="preserve"/>
        </x:is>
      </x:c>
      <x:c r="L316" s="7" t="inlineStr">
        <x:is>
          <x:t xml:space="preserve"/>
        </x:is>
      </x:c>
      <x:c r="M316" s="6" t="inlineStr">
        <x:is>
          <x:t xml:space="preserve"/>
        </x:is>
      </x:c>
      <x:c r="N316" s="6" t="inlineStr">
        <x:is>
          <x:t xml:space="preserve"/>
        </x:is>
      </x:c>
    </x:row>
    <x:row r="317">
      <x:c r="A317" s="7">
        <x:f>IF(B317="","", "T-"&amp;TEXT(ROW()-1,"00000"))</x:f>
      </x:c>
      <x:c r="B317" s="7" t="inlineStr">
        <x:is>
          <x:t xml:space="preserve"/>
        </x:is>
      </x:c>
      <x:c r="C317" s="7" t="inlineStr">
        <x:is>
          <x:t xml:space="preserve"/>
        </x:is>
      </x:c>
      <x:c r="D317" s="7">
        <x:f>IF(B317="","",VALUE(MID(B317,2,4)))</x:f>
      </x:c>
      <x:c r="E317" s="7">
        <x:f>IF(B317="","",MID(B317,6,2))</x:f>
      </x:c>
      <x:c r="F317" s="8" t="inlineStr">
        <x:is>
          <x:t xml:space="preserve"/>
        </x:is>
      </x:c>
      <x:c r="G317" s="6" t="inlineStr">
        <x:is>
          <x:t xml:space="preserve"/>
        </x:is>
      </x:c>
      <x:c r="H317" s="7" t="inlineStr">
        <x:is>
          <x:t xml:space="preserve"/>
        </x:is>
      </x:c>
      <x:c r="I317" s="7" t="inlineStr">
        <x:is>
          <x:t xml:space="preserve"/>
        </x:is>
      </x:c>
      <x:c r="J317" s="7" t="inlineStr">
        <x:is>
          <x:t xml:space="preserve"/>
        </x:is>
      </x:c>
      <x:c r="K317" s="6" t="inlineStr">
        <x:is>
          <x:t xml:space="preserve"/>
        </x:is>
      </x:c>
      <x:c r="L317" s="7" t="inlineStr">
        <x:is>
          <x:t xml:space="preserve"/>
        </x:is>
      </x:c>
      <x:c r="M317" s="6" t="inlineStr">
        <x:is>
          <x:t xml:space="preserve"/>
        </x:is>
      </x:c>
      <x:c r="N317" s="6" t="inlineStr">
        <x:is>
          <x:t xml:space="preserve"/>
        </x:is>
      </x:c>
    </x:row>
    <x:row r="318">
      <x:c r="A318" s="7">
        <x:f>IF(B318="","", "T-"&amp;TEXT(ROW()-1,"00000"))</x:f>
      </x:c>
      <x:c r="B318" s="7" t="inlineStr">
        <x:is>
          <x:t xml:space="preserve"/>
        </x:is>
      </x:c>
      <x:c r="C318" s="7" t="inlineStr">
        <x:is>
          <x:t xml:space="preserve"/>
        </x:is>
      </x:c>
      <x:c r="D318" s="7">
        <x:f>IF(B318="","",VALUE(MID(B318,2,4)))</x:f>
      </x:c>
      <x:c r="E318" s="7">
        <x:f>IF(B318="","",MID(B318,6,2))</x:f>
      </x:c>
      <x:c r="F318" s="8" t="inlineStr">
        <x:is>
          <x:t xml:space="preserve"/>
        </x:is>
      </x:c>
      <x:c r="G318" s="6" t="inlineStr">
        <x:is>
          <x:t xml:space="preserve"/>
        </x:is>
      </x:c>
      <x:c r="H318" s="7" t="inlineStr">
        <x:is>
          <x:t xml:space="preserve"/>
        </x:is>
      </x:c>
      <x:c r="I318" s="7" t="inlineStr">
        <x:is>
          <x:t xml:space="preserve"/>
        </x:is>
      </x:c>
      <x:c r="J318" s="7" t="inlineStr">
        <x:is>
          <x:t xml:space="preserve"/>
        </x:is>
      </x:c>
      <x:c r="K318" s="6" t="inlineStr">
        <x:is>
          <x:t xml:space="preserve"/>
        </x:is>
      </x:c>
      <x:c r="L318" s="7" t="inlineStr">
        <x:is>
          <x:t xml:space="preserve"/>
        </x:is>
      </x:c>
      <x:c r="M318" s="6" t="inlineStr">
        <x:is>
          <x:t xml:space="preserve"/>
        </x:is>
      </x:c>
      <x:c r="N318" s="6" t="inlineStr">
        <x:is>
          <x:t xml:space="preserve"/>
        </x:is>
      </x:c>
    </x:row>
    <x:row r="319">
      <x:c r="A319" s="7">
        <x:f>IF(B319="","", "T-"&amp;TEXT(ROW()-1,"00000"))</x:f>
      </x:c>
      <x:c r="B319" s="7" t="inlineStr">
        <x:is>
          <x:t xml:space="preserve"/>
        </x:is>
      </x:c>
      <x:c r="C319" s="7" t="inlineStr">
        <x:is>
          <x:t xml:space="preserve"/>
        </x:is>
      </x:c>
      <x:c r="D319" s="7">
        <x:f>IF(B319="","",VALUE(MID(B319,2,4)))</x:f>
      </x:c>
      <x:c r="E319" s="7">
        <x:f>IF(B319="","",MID(B319,6,2))</x:f>
      </x:c>
      <x:c r="F319" s="8" t="inlineStr">
        <x:is>
          <x:t xml:space="preserve"/>
        </x:is>
      </x:c>
      <x:c r="G319" s="6" t="inlineStr">
        <x:is>
          <x:t xml:space="preserve"/>
        </x:is>
      </x:c>
      <x:c r="H319" s="7" t="inlineStr">
        <x:is>
          <x:t xml:space="preserve"/>
        </x:is>
      </x:c>
      <x:c r="I319" s="7" t="inlineStr">
        <x:is>
          <x:t xml:space="preserve"/>
        </x:is>
      </x:c>
      <x:c r="J319" s="7" t="inlineStr">
        <x:is>
          <x:t xml:space="preserve"/>
        </x:is>
      </x:c>
      <x:c r="K319" s="6" t="inlineStr">
        <x:is>
          <x:t xml:space="preserve"/>
        </x:is>
      </x:c>
      <x:c r="L319" s="7" t="inlineStr">
        <x:is>
          <x:t xml:space="preserve"/>
        </x:is>
      </x:c>
      <x:c r="M319" s="6" t="inlineStr">
        <x:is>
          <x:t xml:space="preserve"/>
        </x:is>
      </x:c>
      <x:c r="N319" s="6" t="inlineStr">
        <x:is>
          <x:t xml:space="preserve"/>
        </x:is>
      </x:c>
    </x:row>
    <x:row r="320">
      <x:c r="A320" s="7">
        <x:f>IF(B320="","", "T-"&amp;TEXT(ROW()-1,"00000"))</x:f>
      </x:c>
      <x:c r="B320" s="7" t="inlineStr">
        <x:is>
          <x:t xml:space="preserve"/>
        </x:is>
      </x:c>
      <x:c r="C320" s="7" t="inlineStr">
        <x:is>
          <x:t xml:space="preserve"/>
        </x:is>
      </x:c>
      <x:c r="D320" s="7">
        <x:f>IF(B320="","",VALUE(MID(B320,2,4)))</x:f>
      </x:c>
      <x:c r="E320" s="7">
        <x:f>IF(B320="","",MID(B320,6,2))</x:f>
      </x:c>
      <x:c r="F320" s="8" t="inlineStr">
        <x:is>
          <x:t xml:space="preserve"/>
        </x:is>
      </x:c>
      <x:c r="G320" s="6" t="inlineStr">
        <x:is>
          <x:t xml:space="preserve"/>
        </x:is>
      </x:c>
      <x:c r="H320" s="7" t="inlineStr">
        <x:is>
          <x:t xml:space="preserve"/>
        </x:is>
      </x:c>
      <x:c r="I320" s="7" t="inlineStr">
        <x:is>
          <x:t xml:space="preserve"/>
        </x:is>
      </x:c>
      <x:c r="J320" s="7" t="inlineStr">
        <x:is>
          <x:t xml:space="preserve"/>
        </x:is>
      </x:c>
      <x:c r="K320" s="6" t="inlineStr">
        <x:is>
          <x:t xml:space="preserve"/>
        </x:is>
      </x:c>
      <x:c r="L320" s="7" t="inlineStr">
        <x:is>
          <x:t xml:space="preserve"/>
        </x:is>
      </x:c>
      <x:c r="M320" s="6" t="inlineStr">
        <x:is>
          <x:t xml:space="preserve"/>
        </x:is>
      </x:c>
      <x:c r="N320" s="6" t="inlineStr">
        <x:is>
          <x:t xml:space="preserve"/>
        </x:is>
      </x:c>
    </x:row>
    <x:row r="321">
      <x:c r="A321" s="7">
        <x:f>IF(B321="","", "T-"&amp;TEXT(ROW()-1,"00000"))</x:f>
      </x:c>
      <x:c r="B321" s="7" t="inlineStr">
        <x:is>
          <x:t xml:space="preserve"/>
        </x:is>
      </x:c>
      <x:c r="C321" s="7" t="inlineStr">
        <x:is>
          <x:t xml:space="preserve"/>
        </x:is>
      </x:c>
      <x:c r="D321" s="7">
        <x:f>IF(B321="","",VALUE(MID(B321,2,4)))</x:f>
      </x:c>
      <x:c r="E321" s="7">
        <x:f>IF(B321="","",MID(B321,6,2))</x:f>
      </x:c>
      <x:c r="F321" s="8" t="inlineStr">
        <x:is>
          <x:t xml:space="preserve"/>
        </x:is>
      </x:c>
      <x:c r="G321" s="6" t="inlineStr">
        <x:is>
          <x:t xml:space="preserve"/>
        </x:is>
      </x:c>
      <x:c r="H321" s="7" t="inlineStr">
        <x:is>
          <x:t xml:space="preserve"/>
        </x:is>
      </x:c>
      <x:c r="I321" s="7" t="inlineStr">
        <x:is>
          <x:t xml:space="preserve"/>
        </x:is>
      </x:c>
      <x:c r="J321" s="7" t="inlineStr">
        <x:is>
          <x:t xml:space="preserve"/>
        </x:is>
      </x:c>
      <x:c r="K321" s="6" t="inlineStr">
        <x:is>
          <x:t xml:space="preserve"/>
        </x:is>
      </x:c>
      <x:c r="L321" s="7" t="inlineStr">
        <x:is>
          <x:t xml:space="preserve"/>
        </x:is>
      </x:c>
      <x:c r="M321" s="6" t="inlineStr">
        <x:is>
          <x:t xml:space="preserve"/>
        </x:is>
      </x:c>
      <x:c r="N321" s="6" t="inlineStr">
        <x:is>
          <x:t xml:space="preserve"/>
        </x:is>
      </x:c>
    </x:row>
    <x:row r="322">
      <x:c r="A322" s="7">
        <x:f>IF(B322="","", "T-"&amp;TEXT(ROW()-1,"00000"))</x:f>
      </x:c>
      <x:c r="B322" s="7" t="inlineStr">
        <x:is>
          <x:t xml:space="preserve"/>
        </x:is>
      </x:c>
      <x:c r="C322" s="7" t="inlineStr">
        <x:is>
          <x:t xml:space="preserve"/>
        </x:is>
      </x:c>
      <x:c r="D322" s="7">
        <x:f>IF(B322="","",VALUE(MID(B322,2,4)))</x:f>
      </x:c>
      <x:c r="E322" s="7">
        <x:f>IF(B322="","",MID(B322,6,2))</x:f>
      </x:c>
      <x:c r="F322" s="8" t="inlineStr">
        <x:is>
          <x:t xml:space="preserve"/>
        </x:is>
      </x:c>
      <x:c r="G322" s="6" t="inlineStr">
        <x:is>
          <x:t xml:space="preserve"/>
        </x:is>
      </x:c>
      <x:c r="H322" s="7" t="inlineStr">
        <x:is>
          <x:t xml:space="preserve"/>
        </x:is>
      </x:c>
      <x:c r="I322" s="7" t="inlineStr">
        <x:is>
          <x:t xml:space="preserve"/>
        </x:is>
      </x:c>
      <x:c r="J322" s="7" t="inlineStr">
        <x:is>
          <x:t xml:space="preserve"/>
        </x:is>
      </x:c>
      <x:c r="K322" s="6" t="inlineStr">
        <x:is>
          <x:t xml:space="preserve"/>
        </x:is>
      </x:c>
      <x:c r="L322" s="7" t="inlineStr">
        <x:is>
          <x:t xml:space="preserve"/>
        </x:is>
      </x:c>
      <x:c r="M322" s="6" t="inlineStr">
        <x:is>
          <x:t xml:space="preserve"/>
        </x:is>
      </x:c>
      <x:c r="N322" s="6" t="inlineStr">
        <x:is>
          <x:t xml:space="preserve"/>
        </x:is>
      </x:c>
    </x:row>
    <x:row r="323">
      <x:c r="A323" s="7">
        <x:f>IF(B323="","", "T-"&amp;TEXT(ROW()-1,"00000"))</x:f>
      </x:c>
      <x:c r="B323" s="7" t="inlineStr">
        <x:is>
          <x:t xml:space="preserve"/>
        </x:is>
      </x:c>
      <x:c r="C323" s="7" t="inlineStr">
        <x:is>
          <x:t xml:space="preserve"/>
        </x:is>
      </x:c>
      <x:c r="D323" s="7">
        <x:f>IF(B323="","",VALUE(MID(B323,2,4)))</x:f>
      </x:c>
      <x:c r="E323" s="7">
        <x:f>IF(B323="","",MID(B323,6,2))</x:f>
      </x:c>
      <x:c r="F323" s="8" t="inlineStr">
        <x:is>
          <x:t xml:space="preserve"/>
        </x:is>
      </x:c>
      <x:c r="G323" s="6" t="inlineStr">
        <x:is>
          <x:t xml:space="preserve"/>
        </x:is>
      </x:c>
      <x:c r="H323" s="7" t="inlineStr">
        <x:is>
          <x:t xml:space="preserve"/>
        </x:is>
      </x:c>
      <x:c r="I323" s="7" t="inlineStr">
        <x:is>
          <x:t xml:space="preserve"/>
        </x:is>
      </x:c>
      <x:c r="J323" s="7" t="inlineStr">
        <x:is>
          <x:t xml:space="preserve"/>
        </x:is>
      </x:c>
      <x:c r="K323" s="6" t="inlineStr">
        <x:is>
          <x:t xml:space="preserve"/>
        </x:is>
      </x:c>
      <x:c r="L323" s="7" t="inlineStr">
        <x:is>
          <x:t xml:space="preserve"/>
        </x:is>
      </x:c>
      <x:c r="M323" s="6" t="inlineStr">
        <x:is>
          <x:t xml:space="preserve"/>
        </x:is>
      </x:c>
      <x:c r="N323" s="6" t="inlineStr">
        <x:is>
          <x:t xml:space="preserve"/>
        </x:is>
      </x:c>
    </x:row>
    <x:row r="324">
      <x:c r="A324" s="7">
        <x:f>IF(B324="","", "T-"&amp;TEXT(ROW()-1,"00000"))</x:f>
      </x:c>
      <x:c r="B324" s="7" t="inlineStr">
        <x:is>
          <x:t xml:space="preserve"/>
        </x:is>
      </x:c>
      <x:c r="C324" s="7" t="inlineStr">
        <x:is>
          <x:t xml:space="preserve"/>
        </x:is>
      </x:c>
      <x:c r="D324" s="7">
        <x:f>IF(B324="","",VALUE(MID(B324,2,4)))</x:f>
      </x:c>
      <x:c r="E324" s="7">
        <x:f>IF(B324="","",MID(B324,6,2))</x:f>
      </x:c>
      <x:c r="F324" s="8" t="inlineStr">
        <x:is>
          <x:t xml:space="preserve"/>
        </x:is>
      </x:c>
      <x:c r="G324" s="6" t="inlineStr">
        <x:is>
          <x:t xml:space="preserve"/>
        </x:is>
      </x:c>
      <x:c r="H324" s="7" t="inlineStr">
        <x:is>
          <x:t xml:space="preserve"/>
        </x:is>
      </x:c>
      <x:c r="I324" s="7" t="inlineStr">
        <x:is>
          <x:t xml:space="preserve"/>
        </x:is>
      </x:c>
      <x:c r="J324" s="7" t="inlineStr">
        <x:is>
          <x:t xml:space="preserve"/>
        </x:is>
      </x:c>
      <x:c r="K324" s="6" t="inlineStr">
        <x:is>
          <x:t xml:space="preserve"/>
        </x:is>
      </x:c>
      <x:c r="L324" s="7" t="inlineStr">
        <x:is>
          <x:t xml:space="preserve"/>
        </x:is>
      </x:c>
      <x:c r="M324" s="6" t="inlineStr">
        <x:is>
          <x:t xml:space="preserve"/>
        </x:is>
      </x:c>
      <x:c r="N324" s="6" t="inlineStr">
        <x:is>
          <x:t xml:space="preserve"/>
        </x:is>
      </x:c>
    </x:row>
    <x:row r="325">
      <x:c r="A325" s="7">
        <x:f>IF(B325="","", "T-"&amp;TEXT(ROW()-1,"00000"))</x:f>
      </x:c>
      <x:c r="B325" s="7" t="inlineStr">
        <x:is>
          <x:t xml:space="preserve"/>
        </x:is>
      </x:c>
      <x:c r="C325" s="7" t="inlineStr">
        <x:is>
          <x:t xml:space="preserve"/>
        </x:is>
      </x:c>
      <x:c r="D325" s="7">
        <x:f>IF(B325="","",VALUE(MID(B325,2,4)))</x:f>
      </x:c>
      <x:c r="E325" s="7">
        <x:f>IF(B325="","",MID(B325,6,2))</x:f>
      </x:c>
      <x:c r="F325" s="8" t="inlineStr">
        <x:is>
          <x:t xml:space="preserve"/>
        </x:is>
      </x:c>
      <x:c r="G325" s="6" t="inlineStr">
        <x:is>
          <x:t xml:space="preserve"/>
        </x:is>
      </x:c>
      <x:c r="H325" s="7" t="inlineStr">
        <x:is>
          <x:t xml:space="preserve"/>
        </x:is>
      </x:c>
      <x:c r="I325" s="7" t="inlineStr">
        <x:is>
          <x:t xml:space="preserve"/>
        </x:is>
      </x:c>
      <x:c r="J325" s="7" t="inlineStr">
        <x:is>
          <x:t xml:space="preserve"/>
        </x:is>
      </x:c>
      <x:c r="K325" s="6" t="inlineStr">
        <x:is>
          <x:t xml:space="preserve"/>
        </x:is>
      </x:c>
      <x:c r="L325" s="7" t="inlineStr">
        <x:is>
          <x:t xml:space="preserve"/>
        </x:is>
      </x:c>
      <x:c r="M325" s="6" t="inlineStr">
        <x:is>
          <x:t xml:space="preserve"/>
        </x:is>
      </x:c>
      <x:c r="N325" s="6" t="inlineStr">
        <x:is>
          <x:t xml:space="preserve"/>
        </x:is>
      </x:c>
    </x:row>
    <x:row r="326">
      <x:c r="A326" s="7">
        <x:f>IF(B326="","", "T-"&amp;TEXT(ROW()-1,"00000"))</x:f>
      </x:c>
      <x:c r="B326" s="7" t="inlineStr">
        <x:is>
          <x:t xml:space="preserve"/>
        </x:is>
      </x:c>
      <x:c r="C326" s="7" t="inlineStr">
        <x:is>
          <x:t xml:space="preserve"/>
        </x:is>
      </x:c>
      <x:c r="D326" s="7">
        <x:f>IF(B326="","",VALUE(MID(B326,2,4)))</x:f>
      </x:c>
      <x:c r="E326" s="7">
        <x:f>IF(B326="","",MID(B326,6,2))</x:f>
      </x:c>
      <x:c r="F326" s="8" t="inlineStr">
        <x:is>
          <x:t xml:space="preserve"/>
        </x:is>
      </x:c>
      <x:c r="G326" s="6" t="inlineStr">
        <x:is>
          <x:t xml:space="preserve"/>
        </x:is>
      </x:c>
      <x:c r="H326" s="7" t="inlineStr">
        <x:is>
          <x:t xml:space="preserve"/>
        </x:is>
      </x:c>
      <x:c r="I326" s="7" t="inlineStr">
        <x:is>
          <x:t xml:space="preserve"/>
        </x:is>
      </x:c>
      <x:c r="J326" s="7" t="inlineStr">
        <x:is>
          <x:t xml:space="preserve"/>
        </x:is>
      </x:c>
      <x:c r="K326" s="6" t="inlineStr">
        <x:is>
          <x:t xml:space="preserve"/>
        </x:is>
      </x:c>
      <x:c r="L326" s="7" t="inlineStr">
        <x:is>
          <x:t xml:space="preserve"/>
        </x:is>
      </x:c>
      <x:c r="M326" s="6" t="inlineStr">
        <x:is>
          <x:t xml:space="preserve"/>
        </x:is>
      </x:c>
      <x:c r="N326" s="6" t="inlineStr">
        <x:is>
          <x:t xml:space="preserve"/>
        </x:is>
      </x:c>
    </x:row>
    <x:row r="327">
      <x:c r="A327" s="7">
        <x:f>IF(B327="","", "T-"&amp;TEXT(ROW()-1,"00000"))</x:f>
      </x:c>
      <x:c r="B327" s="7" t="inlineStr">
        <x:is>
          <x:t xml:space="preserve"/>
        </x:is>
      </x:c>
      <x:c r="C327" s="7" t="inlineStr">
        <x:is>
          <x:t xml:space="preserve"/>
        </x:is>
      </x:c>
      <x:c r="D327" s="7">
        <x:f>IF(B327="","",VALUE(MID(B327,2,4)))</x:f>
      </x:c>
      <x:c r="E327" s="7">
        <x:f>IF(B327="","",MID(B327,6,2))</x:f>
      </x:c>
      <x:c r="F327" s="8" t="inlineStr">
        <x:is>
          <x:t xml:space="preserve"/>
        </x:is>
      </x:c>
      <x:c r="G327" s="6" t="inlineStr">
        <x:is>
          <x:t xml:space="preserve"/>
        </x:is>
      </x:c>
      <x:c r="H327" s="7" t="inlineStr">
        <x:is>
          <x:t xml:space="preserve"/>
        </x:is>
      </x:c>
      <x:c r="I327" s="7" t="inlineStr">
        <x:is>
          <x:t xml:space="preserve"/>
        </x:is>
      </x:c>
      <x:c r="J327" s="7" t="inlineStr">
        <x:is>
          <x:t xml:space="preserve"/>
        </x:is>
      </x:c>
      <x:c r="K327" s="6" t="inlineStr">
        <x:is>
          <x:t xml:space="preserve"/>
        </x:is>
      </x:c>
      <x:c r="L327" s="7" t="inlineStr">
        <x:is>
          <x:t xml:space="preserve"/>
        </x:is>
      </x:c>
      <x:c r="M327" s="6" t="inlineStr">
        <x:is>
          <x:t xml:space="preserve"/>
        </x:is>
      </x:c>
      <x:c r="N327" s="6" t="inlineStr">
        <x:is>
          <x:t xml:space="preserve"/>
        </x:is>
      </x:c>
    </x:row>
    <x:row r="328">
      <x:c r="A328" s="7">
        <x:f>IF(B328="","", "T-"&amp;TEXT(ROW()-1,"00000"))</x:f>
      </x:c>
      <x:c r="B328" s="7" t="inlineStr">
        <x:is>
          <x:t xml:space="preserve"/>
        </x:is>
      </x:c>
      <x:c r="C328" s="7" t="inlineStr">
        <x:is>
          <x:t xml:space="preserve"/>
        </x:is>
      </x:c>
      <x:c r="D328" s="7">
        <x:f>IF(B328="","",VALUE(MID(B328,2,4)))</x:f>
      </x:c>
      <x:c r="E328" s="7">
        <x:f>IF(B328="","",MID(B328,6,2))</x:f>
      </x:c>
      <x:c r="F328" s="8" t="inlineStr">
        <x:is>
          <x:t xml:space="preserve"/>
        </x:is>
      </x:c>
      <x:c r="G328" s="6" t="inlineStr">
        <x:is>
          <x:t xml:space="preserve"/>
        </x:is>
      </x:c>
      <x:c r="H328" s="7" t="inlineStr">
        <x:is>
          <x:t xml:space="preserve"/>
        </x:is>
      </x:c>
      <x:c r="I328" s="7" t="inlineStr">
        <x:is>
          <x:t xml:space="preserve"/>
        </x:is>
      </x:c>
      <x:c r="J328" s="7" t="inlineStr">
        <x:is>
          <x:t xml:space="preserve"/>
        </x:is>
      </x:c>
      <x:c r="K328" s="6" t="inlineStr">
        <x:is>
          <x:t xml:space="preserve"/>
        </x:is>
      </x:c>
      <x:c r="L328" s="7" t="inlineStr">
        <x:is>
          <x:t xml:space="preserve"/>
        </x:is>
      </x:c>
      <x:c r="M328" s="6" t="inlineStr">
        <x:is>
          <x:t xml:space="preserve"/>
        </x:is>
      </x:c>
      <x:c r="N328" s="6" t="inlineStr">
        <x:is>
          <x:t xml:space="preserve"/>
        </x:is>
      </x:c>
    </x:row>
    <x:row r="329">
      <x:c r="A329" s="7">
        <x:f>IF(B329="","", "T-"&amp;TEXT(ROW()-1,"00000"))</x:f>
      </x:c>
      <x:c r="B329" s="7" t="inlineStr">
        <x:is>
          <x:t xml:space="preserve"/>
        </x:is>
      </x:c>
      <x:c r="C329" s="7" t="inlineStr">
        <x:is>
          <x:t xml:space="preserve"/>
        </x:is>
      </x:c>
      <x:c r="D329" s="7">
        <x:f>IF(B329="","",VALUE(MID(B329,2,4)))</x:f>
      </x:c>
      <x:c r="E329" s="7">
        <x:f>IF(B329="","",MID(B329,6,2))</x:f>
      </x:c>
      <x:c r="F329" s="8" t="inlineStr">
        <x:is>
          <x:t xml:space="preserve"/>
        </x:is>
      </x:c>
      <x:c r="G329" s="6" t="inlineStr">
        <x:is>
          <x:t xml:space="preserve"/>
        </x:is>
      </x:c>
      <x:c r="H329" s="7" t="inlineStr">
        <x:is>
          <x:t xml:space="preserve"/>
        </x:is>
      </x:c>
      <x:c r="I329" s="7" t="inlineStr">
        <x:is>
          <x:t xml:space="preserve"/>
        </x:is>
      </x:c>
      <x:c r="J329" s="7" t="inlineStr">
        <x:is>
          <x:t xml:space="preserve"/>
        </x:is>
      </x:c>
      <x:c r="K329" s="6" t="inlineStr">
        <x:is>
          <x:t xml:space="preserve"/>
        </x:is>
      </x:c>
      <x:c r="L329" s="7" t="inlineStr">
        <x:is>
          <x:t xml:space="preserve"/>
        </x:is>
      </x:c>
      <x:c r="M329" s="6" t="inlineStr">
        <x:is>
          <x:t xml:space="preserve"/>
        </x:is>
      </x:c>
      <x:c r="N329" s="6" t="inlineStr">
        <x:is>
          <x:t xml:space="preserve"/>
        </x:is>
      </x:c>
    </x:row>
    <x:row r="330">
      <x:c r="A330" s="7">
        <x:f>IF(B330="","", "T-"&amp;TEXT(ROW()-1,"00000"))</x:f>
      </x:c>
      <x:c r="B330" s="7" t="inlineStr">
        <x:is>
          <x:t xml:space="preserve"/>
        </x:is>
      </x:c>
      <x:c r="C330" s="7" t="inlineStr">
        <x:is>
          <x:t xml:space="preserve"/>
        </x:is>
      </x:c>
      <x:c r="D330" s="7">
        <x:f>IF(B330="","",VALUE(MID(B330,2,4)))</x:f>
      </x:c>
      <x:c r="E330" s="7">
        <x:f>IF(B330="","",MID(B330,6,2))</x:f>
      </x:c>
      <x:c r="F330" s="8" t="inlineStr">
        <x:is>
          <x:t xml:space="preserve"/>
        </x:is>
      </x:c>
      <x:c r="G330" s="6" t="inlineStr">
        <x:is>
          <x:t xml:space="preserve"/>
        </x:is>
      </x:c>
      <x:c r="H330" s="7" t="inlineStr">
        <x:is>
          <x:t xml:space="preserve"/>
        </x:is>
      </x:c>
      <x:c r="I330" s="7" t="inlineStr">
        <x:is>
          <x:t xml:space="preserve"/>
        </x:is>
      </x:c>
      <x:c r="J330" s="7" t="inlineStr">
        <x:is>
          <x:t xml:space="preserve"/>
        </x:is>
      </x:c>
      <x:c r="K330" s="6" t="inlineStr">
        <x:is>
          <x:t xml:space="preserve"/>
        </x:is>
      </x:c>
      <x:c r="L330" s="7" t="inlineStr">
        <x:is>
          <x:t xml:space="preserve"/>
        </x:is>
      </x:c>
      <x:c r="M330" s="6" t="inlineStr">
        <x:is>
          <x:t xml:space="preserve"/>
        </x:is>
      </x:c>
      <x:c r="N330" s="6" t="inlineStr">
        <x:is>
          <x:t xml:space="preserve"/>
        </x:is>
      </x:c>
    </x:row>
    <x:row r="331">
      <x:c r="A331" s="7">
        <x:f>IF(B331="","", "T-"&amp;TEXT(ROW()-1,"00000"))</x:f>
      </x:c>
      <x:c r="B331" s="7" t="inlineStr">
        <x:is>
          <x:t xml:space="preserve"/>
        </x:is>
      </x:c>
      <x:c r="C331" s="7" t="inlineStr">
        <x:is>
          <x:t xml:space="preserve"/>
        </x:is>
      </x:c>
      <x:c r="D331" s="7">
        <x:f>IF(B331="","",VALUE(MID(B331,2,4)))</x:f>
      </x:c>
      <x:c r="E331" s="7">
        <x:f>IF(B331="","",MID(B331,6,2))</x:f>
      </x:c>
      <x:c r="F331" s="8" t="inlineStr">
        <x:is>
          <x:t xml:space="preserve"/>
        </x:is>
      </x:c>
      <x:c r="G331" s="6" t="inlineStr">
        <x:is>
          <x:t xml:space="preserve"/>
        </x:is>
      </x:c>
      <x:c r="H331" s="7" t="inlineStr">
        <x:is>
          <x:t xml:space="preserve"/>
        </x:is>
      </x:c>
      <x:c r="I331" s="7" t="inlineStr">
        <x:is>
          <x:t xml:space="preserve"/>
        </x:is>
      </x:c>
      <x:c r="J331" s="7" t="inlineStr">
        <x:is>
          <x:t xml:space="preserve"/>
        </x:is>
      </x:c>
      <x:c r="K331" s="6" t="inlineStr">
        <x:is>
          <x:t xml:space="preserve"/>
        </x:is>
      </x:c>
      <x:c r="L331" s="7" t="inlineStr">
        <x:is>
          <x:t xml:space="preserve"/>
        </x:is>
      </x:c>
      <x:c r="M331" s="6" t="inlineStr">
        <x:is>
          <x:t xml:space="preserve"/>
        </x:is>
      </x:c>
      <x:c r="N331" s="6" t="inlineStr">
        <x:is>
          <x:t xml:space="preserve"/>
        </x:is>
      </x:c>
    </x:row>
    <x:row r="332">
      <x:c r="A332" s="7">
        <x:f>IF(B332="","", "T-"&amp;TEXT(ROW()-1,"00000"))</x:f>
      </x:c>
      <x:c r="B332" s="7" t="inlineStr">
        <x:is>
          <x:t xml:space="preserve"/>
        </x:is>
      </x:c>
      <x:c r="C332" s="7" t="inlineStr">
        <x:is>
          <x:t xml:space="preserve"/>
        </x:is>
      </x:c>
      <x:c r="D332" s="7">
        <x:f>IF(B332="","",VALUE(MID(B332,2,4)))</x:f>
      </x:c>
      <x:c r="E332" s="7">
        <x:f>IF(B332="","",MID(B332,6,2))</x:f>
      </x:c>
      <x:c r="F332" s="8" t="inlineStr">
        <x:is>
          <x:t xml:space="preserve"/>
        </x:is>
      </x:c>
      <x:c r="G332" s="6" t="inlineStr">
        <x:is>
          <x:t xml:space="preserve"/>
        </x:is>
      </x:c>
      <x:c r="H332" s="7" t="inlineStr">
        <x:is>
          <x:t xml:space="preserve"/>
        </x:is>
      </x:c>
      <x:c r="I332" s="7" t="inlineStr">
        <x:is>
          <x:t xml:space="preserve"/>
        </x:is>
      </x:c>
      <x:c r="J332" s="7" t="inlineStr">
        <x:is>
          <x:t xml:space="preserve"/>
        </x:is>
      </x:c>
      <x:c r="K332" s="6" t="inlineStr">
        <x:is>
          <x:t xml:space="preserve"/>
        </x:is>
      </x:c>
      <x:c r="L332" s="7" t="inlineStr">
        <x:is>
          <x:t xml:space="preserve"/>
        </x:is>
      </x:c>
      <x:c r="M332" s="6" t="inlineStr">
        <x:is>
          <x:t xml:space="preserve"/>
        </x:is>
      </x:c>
      <x:c r="N332" s="6" t="inlineStr">
        <x:is>
          <x:t xml:space="preserve"/>
        </x:is>
      </x:c>
    </x:row>
    <x:row r="333">
      <x:c r="A333" s="7">
        <x:f>IF(B333="","", "T-"&amp;TEXT(ROW()-1,"00000"))</x:f>
      </x:c>
      <x:c r="B333" s="7" t="inlineStr">
        <x:is>
          <x:t xml:space="preserve"/>
        </x:is>
      </x:c>
      <x:c r="C333" s="7" t="inlineStr">
        <x:is>
          <x:t xml:space="preserve"/>
        </x:is>
      </x:c>
      <x:c r="D333" s="7">
        <x:f>IF(B333="","",VALUE(MID(B333,2,4)))</x:f>
      </x:c>
      <x:c r="E333" s="7">
        <x:f>IF(B333="","",MID(B333,6,2))</x:f>
      </x:c>
      <x:c r="F333" s="8" t="inlineStr">
        <x:is>
          <x:t xml:space="preserve"/>
        </x:is>
      </x:c>
      <x:c r="G333" s="6" t="inlineStr">
        <x:is>
          <x:t xml:space="preserve"/>
        </x:is>
      </x:c>
      <x:c r="H333" s="7" t="inlineStr">
        <x:is>
          <x:t xml:space="preserve"/>
        </x:is>
      </x:c>
      <x:c r="I333" s="7" t="inlineStr">
        <x:is>
          <x:t xml:space="preserve"/>
        </x:is>
      </x:c>
      <x:c r="J333" s="7" t="inlineStr">
        <x:is>
          <x:t xml:space="preserve"/>
        </x:is>
      </x:c>
      <x:c r="K333" s="6" t="inlineStr">
        <x:is>
          <x:t xml:space="preserve"/>
        </x:is>
      </x:c>
      <x:c r="L333" s="7" t="inlineStr">
        <x:is>
          <x:t xml:space="preserve"/>
        </x:is>
      </x:c>
      <x:c r="M333" s="6" t="inlineStr">
        <x:is>
          <x:t xml:space="preserve"/>
        </x:is>
      </x:c>
      <x:c r="N333" s="6" t="inlineStr">
        <x:is>
          <x:t xml:space="preserve"/>
        </x:is>
      </x:c>
    </x:row>
    <x:row r="334">
      <x:c r="A334" s="7">
        <x:f>IF(B334="","", "T-"&amp;TEXT(ROW()-1,"00000"))</x:f>
      </x:c>
      <x:c r="B334" s="7" t="inlineStr">
        <x:is>
          <x:t xml:space="preserve"/>
        </x:is>
      </x:c>
      <x:c r="C334" s="7" t="inlineStr">
        <x:is>
          <x:t xml:space="preserve"/>
        </x:is>
      </x:c>
      <x:c r="D334" s="7">
        <x:f>IF(B334="","",VALUE(MID(B334,2,4)))</x:f>
      </x:c>
      <x:c r="E334" s="7">
        <x:f>IF(B334="","",MID(B334,6,2))</x:f>
      </x:c>
      <x:c r="F334" s="8" t="inlineStr">
        <x:is>
          <x:t xml:space="preserve"/>
        </x:is>
      </x:c>
      <x:c r="G334" s="6" t="inlineStr">
        <x:is>
          <x:t xml:space="preserve"/>
        </x:is>
      </x:c>
      <x:c r="H334" s="7" t="inlineStr">
        <x:is>
          <x:t xml:space="preserve"/>
        </x:is>
      </x:c>
      <x:c r="I334" s="7" t="inlineStr">
        <x:is>
          <x:t xml:space="preserve"/>
        </x:is>
      </x:c>
      <x:c r="J334" s="7" t="inlineStr">
        <x:is>
          <x:t xml:space="preserve"/>
        </x:is>
      </x:c>
      <x:c r="K334" s="6" t="inlineStr">
        <x:is>
          <x:t xml:space="preserve"/>
        </x:is>
      </x:c>
      <x:c r="L334" s="7" t="inlineStr">
        <x:is>
          <x:t xml:space="preserve"/>
        </x:is>
      </x:c>
      <x:c r="M334" s="6" t="inlineStr">
        <x:is>
          <x:t xml:space="preserve"/>
        </x:is>
      </x:c>
      <x:c r="N334" s="6" t="inlineStr">
        <x:is>
          <x:t xml:space="preserve"/>
        </x:is>
      </x:c>
    </x:row>
    <x:row r="335">
      <x:c r="A335" s="7">
        <x:f>IF(B335="","", "T-"&amp;TEXT(ROW()-1,"00000"))</x:f>
      </x:c>
      <x:c r="B335" s="7" t="inlineStr">
        <x:is>
          <x:t xml:space="preserve"/>
        </x:is>
      </x:c>
      <x:c r="C335" s="7" t="inlineStr">
        <x:is>
          <x:t xml:space="preserve"/>
        </x:is>
      </x:c>
      <x:c r="D335" s="7">
        <x:f>IF(B335="","",VALUE(MID(B335,2,4)))</x:f>
      </x:c>
      <x:c r="E335" s="7">
        <x:f>IF(B335="","",MID(B335,6,2))</x:f>
      </x:c>
      <x:c r="F335" s="8" t="inlineStr">
        <x:is>
          <x:t xml:space="preserve"/>
        </x:is>
      </x:c>
      <x:c r="G335" s="6" t="inlineStr">
        <x:is>
          <x:t xml:space="preserve"/>
        </x:is>
      </x:c>
      <x:c r="H335" s="7" t="inlineStr">
        <x:is>
          <x:t xml:space="preserve"/>
        </x:is>
      </x:c>
      <x:c r="I335" s="7" t="inlineStr">
        <x:is>
          <x:t xml:space="preserve"/>
        </x:is>
      </x:c>
      <x:c r="J335" s="7" t="inlineStr">
        <x:is>
          <x:t xml:space="preserve"/>
        </x:is>
      </x:c>
      <x:c r="K335" s="6" t="inlineStr">
        <x:is>
          <x:t xml:space="preserve"/>
        </x:is>
      </x:c>
      <x:c r="L335" s="7" t="inlineStr">
        <x:is>
          <x:t xml:space="preserve"/>
        </x:is>
      </x:c>
      <x:c r="M335" s="6" t="inlineStr">
        <x:is>
          <x:t xml:space="preserve"/>
        </x:is>
      </x:c>
      <x:c r="N335" s="6" t="inlineStr">
        <x:is>
          <x:t xml:space="preserve"/>
        </x:is>
      </x:c>
    </x:row>
    <x:row r="336">
      <x:c r="A336" s="7">
        <x:f>IF(B336="","", "T-"&amp;TEXT(ROW()-1,"00000"))</x:f>
      </x:c>
      <x:c r="B336" s="7" t="inlineStr">
        <x:is>
          <x:t xml:space="preserve"/>
        </x:is>
      </x:c>
      <x:c r="C336" s="7" t="inlineStr">
        <x:is>
          <x:t xml:space="preserve"/>
        </x:is>
      </x:c>
      <x:c r="D336" s="7">
        <x:f>IF(B336="","",VALUE(MID(B336,2,4)))</x:f>
      </x:c>
      <x:c r="E336" s="7">
        <x:f>IF(B336="","",MID(B336,6,2))</x:f>
      </x:c>
      <x:c r="F336" s="8" t="inlineStr">
        <x:is>
          <x:t xml:space="preserve"/>
        </x:is>
      </x:c>
      <x:c r="G336" s="6" t="inlineStr">
        <x:is>
          <x:t xml:space="preserve"/>
        </x:is>
      </x:c>
      <x:c r="H336" s="7" t="inlineStr">
        <x:is>
          <x:t xml:space="preserve"/>
        </x:is>
      </x:c>
      <x:c r="I336" s="7" t="inlineStr">
        <x:is>
          <x:t xml:space="preserve"/>
        </x:is>
      </x:c>
      <x:c r="J336" s="7" t="inlineStr">
        <x:is>
          <x:t xml:space="preserve"/>
        </x:is>
      </x:c>
      <x:c r="K336" s="6" t="inlineStr">
        <x:is>
          <x:t xml:space="preserve"/>
        </x:is>
      </x:c>
      <x:c r="L336" s="7" t="inlineStr">
        <x:is>
          <x:t xml:space="preserve"/>
        </x:is>
      </x:c>
      <x:c r="M336" s="6" t="inlineStr">
        <x:is>
          <x:t xml:space="preserve"/>
        </x:is>
      </x:c>
      <x:c r="N336" s="6" t="inlineStr">
        <x:is>
          <x:t xml:space="preserve"/>
        </x:is>
      </x:c>
    </x:row>
    <x:row r="337">
      <x:c r="A337" s="7">
        <x:f>IF(B337="","", "T-"&amp;TEXT(ROW()-1,"00000"))</x:f>
      </x:c>
      <x:c r="B337" s="7" t="inlineStr">
        <x:is>
          <x:t xml:space="preserve"/>
        </x:is>
      </x:c>
      <x:c r="C337" s="7" t="inlineStr">
        <x:is>
          <x:t xml:space="preserve"/>
        </x:is>
      </x:c>
      <x:c r="D337" s="7">
        <x:f>IF(B337="","",VALUE(MID(B337,2,4)))</x:f>
      </x:c>
      <x:c r="E337" s="7">
        <x:f>IF(B337="","",MID(B337,6,2))</x:f>
      </x:c>
      <x:c r="F337" s="8" t="inlineStr">
        <x:is>
          <x:t xml:space="preserve"/>
        </x:is>
      </x:c>
      <x:c r="G337" s="6" t="inlineStr">
        <x:is>
          <x:t xml:space="preserve"/>
        </x:is>
      </x:c>
      <x:c r="H337" s="7" t="inlineStr">
        <x:is>
          <x:t xml:space="preserve"/>
        </x:is>
      </x:c>
      <x:c r="I337" s="7" t="inlineStr">
        <x:is>
          <x:t xml:space="preserve"/>
        </x:is>
      </x:c>
      <x:c r="J337" s="7" t="inlineStr">
        <x:is>
          <x:t xml:space="preserve"/>
        </x:is>
      </x:c>
      <x:c r="K337" s="6" t="inlineStr">
        <x:is>
          <x:t xml:space="preserve"/>
        </x:is>
      </x:c>
      <x:c r="L337" s="7" t="inlineStr">
        <x:is>
          <x:t xml:space="preserve"/>
        </x:is>
      </x:c>
      <x:c r="M337" s="6" t="inlineStr">
        <x:is>
          <x:t xml:space="preserve"/>
        </x:is>
      </x:c>
      <x:c r="N337" s="6" t="inlineStr">
        <x:is>
          <x:t xml:space="preserve"/>
        </x:is>
      </x:c>
    </x:row>
    <x:row r="338">
      <x:c r="A338" s="7">
        <x:f>IF(B338="","", "T-"&amp;TEXT(ROW()-1,"00000"))</x:f>
      </x:c>
      <x:c r="B338" s="7" t="inlineStr">
        <x:is>
          <x:t xml:space="preserve"/>
        </x:is>
      </x:c>
      <x:c r="C338" s="7" t="inlineStr">
        <x:is>
          <x:t xml:space="preserve"/>
        </x:is>
      </x:c>
      <x:c r="D338" s="7">
        <x:f>IF(B338="","",VALUE(MID(B338,2,4)))</x:f>
      </x:c>
      <x:c r="E338" s="7">
        <x:f>IF(B338="","",MID(B338,6,2))</x:f>
      </x:c>
      <x:c r="F338" s="8" t="inlineStr">
        <x:is>
          <x:t xml:space="preserve"/>
        </x:is>
      </x:c>
      <x:c r="G338" s="6" t="inlineStr">
        <x:is>
          <x:t xml:space="preserve"/>
        </x:is>
      </x:c>
      <x:c r="H338" s="7" t="inlineStr">
        <x:is>
          <x:t xml:space="preserve"/>
        </x:is>
      </x:c>
      <x:c r="I338" s="7" t="inlineStr">
        <x:is>
          <x:t xml:space="preserve"/>
        </x:is>
      </x:c>
      <x:c r="J338" s="7" t="inlineStr">
        <x:is>
          <x:t xml:space="preserve"/>
        </x:is>
      </x:c>
      <x:c r="K338" s="6" t="inlineStr">
        <x:is>
          <x:t xml:space="preserve"/>
        </x:is>
      </x:c>
      <x:c r="L338" s="7" t="inlineStr">
        <x:is>
          <x:t xml:space="preserve"/>
        </x:is>
      </x:c>
      <x:c r="M338" s="6" t="inlineStr">
        <x:is>
          <x:t xml:space="preserve"/>
        </x:is>
      </x:c>
      <x:c r="N338" s="6" t="inlineStr">
        <x:is>
          <x:t xml:space="preserve"/>
        </x:is>
      </x:c>
    </x:row>
    <x:row r="339">
      <x:c r="A339" s="7">
        <x:f>IF(B339="","", "T-"&amp;TEXT(ROW()-1,"00000"))</x:f>
      </x:c>
      <x:c r="B339" s="7" t="inlineStr">
        <x:is>
          <x:t xml:space="preserve"/>
        </x:is>
      </x:c>
      <x:c r="C339" s="7" t="inlineStr">
        <x:is>
          <x:t xml:space="preserve"/>
        </x:is>
      </x:c>
      <x:c r="D339" s="7">
        <x:f>IF(B339="","",VALUE(MID(B339,2,4)))</x:f>
      </x:c>
      <x:c r="E339" s="7">
        <x:f>IF(B339="","",MID(B339,6,2))</x:f>
      </x:c>
      <x:c r="F339" s="8" t="inlineStr">
        <x:is>
          <x:t xml:space="preserve"/>
        </x:is>
      </x:c>
      <x:c r="G339" s="6" t="inlineStr">
        <x:is>
          <x:t xml:space="preserve"/>
        </x:is>
      </x:c>
      <x:c r="H339" s="7" t="inlineStr">
        <x:is>
          <x:t xml:space="preserve"/>
        </x:is>
      </x:c>
      <x:c r="I339" s="7" t="inlineStr">
        <x:is>
          <x:t xml:space="preserve"/>
        </x:is>
      </x:c>
      <x:c r="J339" s="7" t="inlineStr">
        <x:is>
          <x:t xml:space="preserve"/>
        </x:is>
      </x:c>
      <x:c r="K339" s="6" t="inlineStr">
        <x:is>
          <x:t xml:space="preserve"/>
        </x:is>
      </x:c>
      <x:c r="L339" s="7" t="inlineStr">
        <x:is>
          <x:t xml:space="preserve"/>
        </x:is>
      </x:c>
      <x:c r="M339" s="6" t="inlineStr">
        <x:is>
          <x:t xml:space="preserve"/>
        </x:is>
      </x:c>
      <x:c r="N339" s="6" t="inlineStr">
        <x:is>
          <x:t xml:space="preserve"/>
        </x:is>
      </x:c>
    </x:row>
    <x:row r="340">
      <x:c r="A340" s="7">
        <x:f>IF(B340="","", "T-"&amp;TEXT(ROW()-1,"00000"))</x:f>
      </x:c>
      <x:c r="B340" s="7" t="inlineStr">
        <x:is>
          <x:t xml:space="preserve"/>
        </x:is>
      </x:c>
      <x:c r="C340" s="7" t="inlineStr">
        <x:is>
          <x:t xml:space="preserve"/>
        </x:is>
      </x:c>
      <x:c r="D340" s="7">
        <x:f>IF(B340="","",VALUE(MID(B340,2,4)))</x:f>
      </x:c>
      <x:c r="E340" s="7">
        <x:f>IF(B340="","",MID(B340,6,2))</x:f>
      </x:c>
      <x:c r="F340" s="8" t="inlineStr">
        <x:is>
          <x:t xml:space="preserve"/>
        </x:is>
      </x:c>
      <x:c r="G340" s="6" t="inlineStr">
        <x:is>
          <x:t xml:space="preserve"/>
        </x:is>
      </x:c>
      <x:c r="H340" s="7" t="inlineStr">
        <x:is>
          <x:t xml:space="preserve"/>
        </x:is>
      </x:c>
      <x:c r="I340" s="7" t="inlineStr">
        <x:is>
          <x:t xml:space="preserve"/>
        </x:is>
      </x:c>
      <x:c r="J340" s="7" t="inlineStr">
        <x:is>
          <x:t xml:space="preserve"/>
        </x:is>
      </x:c>
      <x:c r="K340" s="6" t="inlineStr">
        <x:is>
          <x:t xml:space="preserve"/>
        </x:is>
      </x:c>
      <x:c r="L340" s="7" t="inlineStr">
        <x:is>
          <x:t xml:space="preserve"/>
        </x:is>
      </x:c>
      <x:c r="M340" s="6" t="inlineStr">
        <x:is>
          <x:t xml:space="preserve"/>
        </x:is>
      </x:c>
      <x:c r="N340" s="6" t="inlineStr">
        <x:is>
          <x:t xml:space="preserve"/>
        </x:is>
      </x:c>
    </x:row>
    <x:row r="341">
      <x:c r="A341" s="7">
        <x:f>IF(B341="","", "T-"&amp;TEXT(ROW()-1,"00000"))</x:f>
      </x:c>
      <x:c r="B341" s="7" t="inlineStr">
        <x:is>
          <x:t xml:space="preserve"/>
        </x:is>
      </x:c>
      <x:c r="C341" s="7" t="inlineStr">
        <x:is>
          <x:t xml:space="preserve"/>
        </x:is>
      </x:c>
      <x:c r="D341" s="7">
        <x:f>IF(B341="","",VALUE(MID(B341,2,4)))</x:f>
      </x:c>
      <x:c r="E341" s="7">
        <x:f>IF(B341="","",MID(B341,6,2))</x:f>
      </x:c>
      <x:c r="F341" s="8" t="inlineStr">
        <x:is>
          <x:t xml:space="preserve"/>
        </x:is>
      </x:c>
      <x:c r="G341" s="6" t="inlineStr">
        <x:is>
          <x:t xml:space="preserve"/>
        </x:is>
      </x:c>
      <x:c r="H341" s="7" t="inlineStr">
        <x:is>
          <x:t xml:space="preserve"/>
        </x:is>
      </x:c>
      <x:c r="I341" s="7" t="inlineStr">
        <x:is>
          <x:t xml:space="preserve"/>
        </x:is>
      </x:c>
      <x:c r="J341" s="7" t="inlineStr">
        <x:is>
          <x:t xml:space="preserve"/>
        </x:is>
      </x:c>
      <x:c r="K341" s="6" t="inlineStr">
        <x:is>
          <x:t xml:space="preserve"/>
        </x:is>
      </x:c>
      <x:c r="L341" s="7" t="inlineStr">
        <x:is>
          <x:t xml:space="preserve"/>
        </x:is>
      </x:c>
      <x:c r="M341" s="6" t="inlineStr">
        <x:is>
          <x:t xml:space="preserve"/>
        </x:is>
      </x:c>
      <x:c r="N341" s="6" t="inlineStr">
        <x:is>
          <x:t xml:space="preserve"/>
        </x:is>
      </x:c>
    </x:row>
    <x:row r="342">
      <x:c r="A342" s="7">
        <x:f>IF(B342="","", "T-"&amp;TEXT(ROW()-1,"00000"))</x:f>
      </x:c>
      <x:c r="B342" s="7" t="inlineStr">
        <x:is>
          <x:t xml:space="preserve"/>
        </x:is>
      </x:c>
      <x:c r="C342" s="7" t="inlineStr">
        <x:is>
          <x:t xml:space="preserve"/>
        </x:is>
      </x:c>
      <x:c r="D342" s="7">
        <x:f>IF(B342="","",VALUE(MID(B342,2,4)))</x:f>
      </x:c>
      <x:c r="E342" s="7">
        <x:f>IF(B342="","",MID(B342,6,2))</x:f>
      </x:c>
      <x:c r="F342" s="8" t="inlineStr">
        <x:is>
          <x:t xml:space="preserve"/>
        </x:is>
      </x:c>
      <x:c r="G342" s="6" t="inlineStr">
        <x:is>
          <x:t xml:space="preserve"/>
        </x:is>
      </x:c>
      <x:c r="H342" s="7" t="inlineStr">
        <x:is>
          <x:t xml:space="preserve"/>
        </x:is>
      </x:c>
      <x:c r="I342" s="7" t="inlineStr">
        <x:is>
          <x:t xml:space="preserve"/>
        </x:is>
      </x:c>
      <x:c r="J342" s="7" t="inlineStr">
        <x:is>
          <x:t xml:space="preserve"/>
        </x:is>
      </x:c>
      <x:c r="K342" s="6" t="inlineStr">
        <x:is>
          <x:t xml:space="preserve"/>
        </x:is>
      </x:c>
      <x:c r="L342" s="7" t="inlineStr">
        <x:is>
          <x:t xml:space="preserve"/>
        </x:is>
      </x:c>
      <x:c r="M342" s="6" t="inlineStr">
        <x:is>
          <x:t xml:space="preserve"/>
        </x:is>
      </x:c>
      <x:c r="N342" s="6" t="inlineStr">
        <x:is>
          <x:t xml:space="preserve"/>
        </x:is>
      </x:c>
    </x:row>
    <x:row r="343">
      <x:c r="A343" s="7">
        <x:f>IF(B343="","", "T-"&amp;TEXT(ROW()-1,"00000"))</x:f>
      </x:c>
      <x:c r="B343" s="7" t="inlineStr">
        <x:is>
          <x:t xml:space="preserve"/>
        </x:is>
      </x:c>
      <x:c r="C343" s="7" t="inlineStr">
        <x:is>
          <x:t xml:space="preserve"/>
        </x:is>
      </x:c>
      <x:c r="D343" s="7">
        <x:f>IF(B343="","",VALUE(MID(B343,2,4)))</x:f>
      </x:c>
      <x:c r="E343" s="7">
        <x:f>IF(B343="","",MID(B343,6,2))</x:f>
      </x:c>
      <x:c r="F343" s="8" t="inlineStr">
        <x:is>
          <x:t xml:space="preserve"/>
        </x:is>
      </x:c>
      <x:c r="G343" s="6" t="inlineStr">
        <x:is>
          <x:t xml:space="preserve"/>
        </x:is>
      </x:c>
      <x:c r="H343" s="7" t="inlineStr">
        <x:is>
          <x:t xml:space="preserve"/>
        </x:is>
      </x:c>
      <x:c r="I343" s="7" t="inlineStr">
        <x:is>
          <x:t xml:space="preserve"/>
        </x:is>
      </x:c>
      <x:c r="J343" s="7" t="inlineStr">
        <x:is>
          <x:t xml:space="preserve"/>
        </x:is>
      </x:c>
      <x:c r="K343" s="6" t="inlineStr">
        <x:is>
          <x:t xml:space="preserve"/>
        </x:is>
      </x:c>
      <x:c r="L343" s="7" t="inlineStr">
        <x:is>
          <x:t xml:space="preserve"/>
        </x:is>
      </x:c>
      <x:c r="M343" s="6" t="inlineStr">
        <x:is>
          <x:t xml:space="preserve"/>
        </x:is>
      </x:c>
      <x:c r="N343" s="6" t="inlineStr">
        <x:is>
          <x:t xml:space="preserve"/>
        </x:is>
      </x:c>
    </x:row>
    <x:row r="344">
      <x:c r="A344" s="7">
        <x:f>IF(B344="","", "T-"&amp;TEXT(ROW()-1,"00000"))</x:f>
      </x:c>
      <x:c r="B344" s="7" t="inlineStr">
        <x:is>
          <x:t xml:space="preserve"/>
        </x:is>
      </x:c>
      <x:c r="C344" s="7" t="inlineStr">
        <x:is>
          <x:t xml:space="preserve"/>
        </x:is>
      </x:c>
      <x:c r="D344" s="7">
        <x:f>IF(B344="","",VALUE(MID(B344,2,4)))</x:f>
      </x:c>
      <x:c r="E344" s="7">
        <x:f>IF(B344="","",MID(B344,6,2))</x:f>
      </x:c>
      <x:c r="F344" s="8" t="inlineStr">
        <x:is>
          <x:t xml:space="preserve"/>
        </x:is>
      </x:c>
      <x:c r="G344" s="6" t="inlineStr">
        <x:is>
          <x:t xml:space="preserve"/>
        </x:is>
      </x:c>
      <x:c r="H344" s="7" t="inlineStr">
        <x:is>
          <x:t xml:space="preserve"/>
        </x:is>
      </x:c>
      <x:c r="I344" s="7" t="inlineStr">
        <x:is>
          <x:t xml:space="preserve"/>
        </x:is>
      </x:c>
      <x:c r="J344" s="7" t="inlineStr">
        <x:is>
          <x:t xml:space="preserve"/>
        </x:is>
      </x:c>
      <x:c r="K344" s="6" t="inlineStr">
        <x:is>
          <x:t xml:space="preserve"/>
        </x:is>
      </x:c>
      <x:c r="L344" s="7" t="inlineStr">
        <x:is>
          <x:t xml:space="preserve"/>
        </x:is>
      </x:c>
      <x:c r="M344" s="6" t="inlineStr">
        <x:is>
          <x:t xml:space="preserve"/>
        </x:is>
      </x:c>
      <x:c r="N344" s="6" t="inlineStr">
        <x:is>
          <x:t xml:space="preserve"/>
        </x:is>
      </x:c>
    </x:row>
    <x:row r="345">
      <x:c r="A345" s="7">
        <x:f>IF(B345="","", "T-"&amp;TEXT(ROW()-1,"00000"))</x:f>
      </x:c>
      <x:c r="B345" s="7" t="inlineStr">
        <x:is>
          <x:t xml:space="preserve"/>
        </x:is>
      </x:c>
      <x:c r="C345" s="7" t="inlineStr">
        <x:is>
          <x:t xml:space="preserve"/>
        </x:is>
      </x:c>
      <x:c r="D345" s="7">
        <x:f>IF(B345="","",VALUE(MID(B345,2,4)))</x:f>
      </x:c>
      <x:c r="E345" s="7">
        <x:f>IF(B345="","",MID(B345,6,2))</x:f>
      </x:c>
      <x:c r="F345" s="8" t="inlineStr">
        <x:is>
          <x:t xml:space="preserve"/>
        </x:is>
      </x:c>
      <x:c r="G345" s="6" t="inlineStr">
        <x:is>
          <x:t xml:space="preserve"/>
        </x:is>
      </x:c>
      <x:c r="H345" s="7" t="inlineStr">
        <x:is>
          <x:t xml:space="preserve"/>
        </x:is>
      </x:c>
      <x:c r="I345" s="7" t="inlineStr">
        <x:is>
          <x:t xml:space="preserve"/>
        </x:is>
      </x:c>
      <x:c r="J345" s="7" t="inlineStr">
        <x:is>
          <x:t xml:space="preserve"/>
        </x:is>
      </x:c>
      <x:c r="K345" s="6" t="inlineStr">
        <x:is>
          <x:t xml:space="preserve"/>
        </x:is>
      </x:c>
      <x:c r="L345" s="7" t="inlineStr">
        <x:is>
          <x:t xml:space="preserve"/>
        </x:is>
      </x:c>
      <x:c r="M345" s="6" t="inlineStr">
        <x:is>
          <x:t xml:space="preserve"/>
        </x:is>
      </x:c>
      <x:c r="N345" s="6" t="inlineStr">
        <x:is>
          <x:t xml:space="preserve"/>
        </x:is>
      </x:c>
    </x:row>
    <x:row r="346">
      <x:c r="A346" s="7">
        <x:f>IF(B346="","", "T-"&amp;TEXT(ROW()-1,"00000"))</x:f>
      </x:c>
      <x:c r="B346" s="7" t="inlineStr">
        <x:is>
          <x:t xml:space="preserve"/>
        </x:is>
      </x:c>
      <x:c r="C346" s="7" t="inlineStr">
        <x:is>
          <x:t xml:space="preserve"/>
        </x:is>
      </x:c>
      <x:c r="D346" s="7">
        <x:f>IF(B346="","",VALUE(MID(B346,2,4)))</x:f>
      </x:c>
      <x:c r="E346" s="7">
        <x:f>IF(B346="","",MID(B346,6,2))</x:f>
      </x:c>
      <x:c r="F346" s="8" t="inlineStr">
        <x:is>
          <x:t xml:space="preserve"/>
        </x:is>
      </x:c>
      <x:c r="G346" s="6" t="inlineStr">
        <x:is>
          <x:t xml:space="preserve"/>
        </x:is>
      </x:c>
      <x:c r="H346" s="7" t="inlineStr">
        <x:is>
          <x:t xml:space="preserve"/>
        </x:is>
      </x:c>
      <x:c r="I346" s="7" t="inlineStr">
        <x:is>
          <x:t xml:space="preserve"/>
        </x:is>
      </x:c>
      <x:c r="J346" s="7" t="inlineStr">
        <x:is>
          <x:t xml:space="preserve"/>
        </x:is>
      </x:c>
      <x:c r="K346" s="6" t="inlineStr">
        <x:is>
          <x:t xml:space="preserve"/>
        </x:is>
      </x:c>
      <x:c r="L346" s="7" t="inlineStr">
        <x:is>
          <x:t xml:space="preserve"/>
        </x:is>
      </x:c>
      <x:c r="M346" s="6" t="inlineStr">
        <x:is>
          <x:t xml:space="preserve"/>
        </x:is>
      </x:c>
      <x:c r="N346" s="6" t="inlineStr">
        <x:is>
          <x:t xml:space="preserve"/>
        </x:is>
      </x:c>
    </x:row>
    <x:row r="347">
      <x:c r="A347" s="7">
        <x:f>IF(B347="","", "T-"&amp;TEXT(ROW()-1,"00000"))</x:f>
      </x:c>
      <x:c r="B347" s="7" t="inlineStr">
        <x:is>
          <x:t xml:space="preserve"/>
        </x:is>
      </x:c>
      <x:c r="C347" s="7" t="inlineStr">
        <x:is>
          <x:t xml:space="preserve"/>
        </x:is>
      </x:c>
      <x:c r="D347" s="7">
        <x:f>IF(B347="","",VALUE(MID(B347,2,4)))</x:f>
      </x:c>
      <x:c r="E347" s="7">
        <x:f>IF(B347="","",MID(B347,6,2))</x:f>
      </x:c>
      <x:c r="F347" s="8" t="inlineStr">
        <x:is>
          <x:t xml:space="preserve"/>
        </x:is>
      </x:c>
      <x:c r="G347" s="6" t="inlineStr">
        <x:is>
          <x:t xml:space="preserve"/>
        </x:is>
      </x:c>
      <x:c r="H347" s="7" t="inlineStr">
        <x:is>
          <x:t xml:space="preserve"/>
        </x:is>
      </x:c>
      <x:c r="I347" s="7" t="inlineStr">
        <x:is>
          <x:t xml:space="preserve"/>
        </x:is>
      </x:c>
      <x:c r="J347" s="7" t="inlineStr">
        <x:is>
          <x:t xml:space="preserve"/>
        </x:is>
      </x:c>
      <x:c r="K347" s="6" t="inlineStr">
        <x:is>
          <x:t xml:space="preserve"/>
        </x:is>
      </x:c>
      <x:c r="L347" s="7" t="inlineStr">
        <x:is>
          <x:t xml:space="preserve"/>
        </x:is>
      </x:c>
      <x:c r="M347" s="6" t="inlineStr">
        <x:is>
          <x:t xml:space="preserve"/>
        </x:is>
      </x:c>
      <x:c r="N347" s="6" t="inlineStr">
        <x:is>
          <x:t xml:space="preserve"/>
        </x:is>
      </x:c>
    </x:row>
    <x:row r="348">
      <x:c r="A348" s="7">
        <x:f>IF(B348="","", "T-"&amp;TEXT(ROW()-1,"00000"))</x:f>
      </x:c>
      <x:c r="B348" s="7" t="inlineStr">
        <x:is>
          <x:t xml:space="preserve"/>
        </x:is>
      </x:c>
      <x:c r="C348" s="7" t="inlineStr">
        <x:is>
          <x:t xml:space="preserve"/>
        </x:is>
      </x:c>
      <x:c r="D348" s="7">
        <x:f>IF(B348="","",VALUE(MID(B348,2,4)))</x:f>
      </x:c>
      <x:c r="E348" s="7">
        <x:f>IF(B348="","",MID(B348,6,2))</x:f>
      </x:c>
      <x:c r="F348" s="8" t="inlineStr">
        <x:is>
          <x:t xml:space="preserve"/>
        </x:is>
      </x:c>
      <x:c r="G348" s="6" t="inlineStr">
        <x:is>
          <x:t xml:space="preserve"/>
        </x:is>
      </x:c>
      <x:c r="H348" s="7" t="inlineStr">
        <x:is>
          <x:t xml:space="preserve"/>
        </x:is>
      </x:c>
      <x:c r="I348" s="7" t="inlineStr">
        <x:is>
          <x:t xml:space="preserve"/>
        </x:is>
      </x:c>
      <x:c r="J348" s="7" t="inlineStr">
        <x:is>
          <x:t xml:space="preserve"/>
        </x:is>
      </x:c>
      <x:c r="K348" s="6" t="inlineStr">
        <x:is>
          <x:t xml:space="preserve"/>
        </x:is>
      </x:c>
      <x:c r="L348" s="7" t="inlineStr">
        <x:is>
          <x:t xml:space="preserve"/>
        </x:is>
      </x:c>
      <x:c r="M348" s="6" t="inlineStr">
        <x:is>
          <x:t xml:space="preserve"/>
        </x:is>
      </x:c>
      <x:c r="N348" s="6" t="inlineStr">
        <x:is>
          <x:t xml:space="preserve"/>
        </x:is>
      </x:c>
    </x:row>
    <x:row r="349">
      <x:c r="A349" s="7">
        <x:f>IF(B349="","", "T-"&amp;TEXT(ROW()-1,"00000"))</x:f>
      </x:c>
      <x:c r="B349" s="7" t="inlineStr">
        <x:is>
          <x:t xml:space="preserve"/>
        </x:is>
      </x:c>
      <x:c r="C349" s="7" t="inlineStr">
        <x:is>
          <x:t xml:space="preserve"/>
        </x:is>
      </x:c>
      <x:c r="D349" s="7">
        <x:f>IF(B349="","",VALUE(MID(B349,2,4)))</x:f>
      </x:c>
      <x:c r="E349" s="7">
        <x:f>IF(B349="","",MID(B349,6,2))</x:f>
      </x:c>
      <x:c r="F349" s="8" t="inlineStr">
        <x:is>
          <x:t xml:space="preserve"/>
        </x:is>
      </x:c>
      <x:c r="G349" s="6" t="inlineStr">
        <x:is>
          <x:t xml:space="preserve"/>
        </x:is>
      </x:c>
      <x:c r="H349" s="7" t="inlineStr">
        <x:is>
          <x:t xml:space="preserve"/>
        </x:is>
      </x:c>
      <x:c r="I349" s="7" t="inlineStr">
        <x:is>
          <x:t xml:space="preserve"/>
        </x:is>
      </x:c>
      <x:c r="J349" s="7" t="inlineStr">
        <x:is>
          <x:t xml:space="preserve"/>
        </x:is>
      </x:c>
      <x:c r="K349" s="6" t="inlineStr">
        <x:is>
          <x:t xml:space="preserve"/>
        </x:is>
      </x:c>
      <x:c r="L349" s="7" t="inlineStr">
        <x:is>
          <x:t xml:space="preserve"/>
        </x:is>
      </x:c>
      <x:c r="M349" s="6" t="inlineStr">
        <x:is>
          <x:t xml:space="preserve"/>
        </x:is>
      </x:c>
      <x:c r="N349" s="6" t="inlineStr">
        <x:is>
          <x:t xml:space="preserve"/>
        </x:is>
      </x:c>
    </x:row>
    <x:row r="350">
      <x:c r="A350" s="7">
        <x:f>IF(B350="","", "T-"&amp;TEXT(ROW()-1,"00000"))</x:f>
      </x:c>
      <x:c r="B350" s="7" t="inlineStr">
        <x:is>
          <x:t xml:space="preserve"/>
        </x:is>
      </x:c>
      <x:c r="C350" s="7" t="inlineStr">
        <x:is>
          <x:t xml:space="preserve"/>
        </x:is>
      </x:c>
      <x:c r="D350" s="7">
        <x:f>IF(B350="","",VALUE(MID(B350,2,4)))</x:f>
      </x:c>
      <x:c r="E350" s="7">
        <x:f>IF(B350="","",MID(B350,6,2))</x:f>
      </x:c>
      <x:c r="F350" s="8" t="inlineStr">
        <x:is>
          <x:t xml:space="preserve"/>
        </x:is>
      </x:c>
      <x:c r="G350" s="6" t="inlineStr">
        <x:is>
          <x:t xml:space="preserve"/>
        </x:is>
      </x:c>
      <x:c r="H350" s="7" t="inlineStr">
        <x:is>
          <x:t xml:space="preserve"/>
        </x:is>
      </x:c>
      <x:c r="I350" s="7" t="inlineStr">
        <x:is>
          <x:t xml:space="preserve"/>
        </x:is>
      </x:c>
      <x:c r="J350" s="7" t="inlineStr">
        <x:is>
          <x:t xml:space="preserve"/>
        </x:is>
      </x:c>
      <x:c r="K350" s="6" t="inlineStr">
        <x:is>
          <x:t xml:space="preserve"/>
        </x:is>
      </x:c>
      <x:c r="L350" s="7" t="inlineStr">
        <x:is>
          <x:t xml:space="preserve"/>
        </x:is>
      </x:c>
      <x:c r="M350" s="6" t="inlineStr">
        <x:is>
          <x:t xml:space="preserve"/>
        </x:is>
      </x:c>
      <x:c r="N350" s="6" t="inlineStr">
        <x:is>
          <x:t xml:space="preserve"/>
        </x:is>
      </x:c>
    </x:row>
    <x:row r="351">
      <x:c r="A351" s="7">
        <x:f>IF(B351="","", "T-"&amp;TEXT(ROW()-1,"00000"))</x:f>
      </x:c>
      <x:c r="B351" s="7" t="inlineStr">
        <x:is>
          <x:t xml:space="preserve"/>
        </x:is>
      </x:c>
      <x:c r="C351" s="7" t="inlineStr">
        <x:is>
          <x:t xml:space="preserve"/>
        </x:is>
      </x:c>
      <x:c r="D351" s="7">
        <x:f>IF(B351="","",VALUE(MID(B351,2,4)))</x:f>
      </x:c>
      <x:c r="E351" s="7">
        <x:f>IF(B351="","",MID(B351,6,2))</x:f>
      </x:c>
      <x:c r="F351" s="8" t="inlineStr">
        <x:is>
          <x:t xml:space="preserve"/>
        </x:is>
      </x:c>
      <x:c r="G351" s="6" t="inlineStr">
        <x:is>
          <x:t xml:space="preserve"/>
        </x:is>
      </x:c>
      <x:c r="H351" s="7" t="inlineStr">
        <x:is>
          <x:t xml:space="preserve"/>
        </x:is>
      </x:c>
      <x:c r="I351" s="7" t="inlineStr">
        <x:is>
          <x:t xml:space="preserve"/>
        </x:is>
      </x:c>
      <x:c r="J351" s="7" t="inlineStr">
        <x:is>
          <x:t xml:space="preserve"/>
        </x:is>
      </x:c>
      <x:c r="K351" s="6" t="inlineStr">
        <x:is>
          <x:t xml:space="preserve"/>
        </x:is>
      </x:c>
      <x:c r="L351" s="7" t="inlineStr">
        <x:is>
          <x:t xml:space="preserve"/>
        </x:is>
      </x:c>
      <x:c r="M351" s="6" t="inlineStr">
        <x:is>
          <x:t xml:space="preserve"/>
        </x:is>
      </x:c>
      <x:c r="N351" s="6" t="inlineStr">
        <x:is>
          <x:t xml:space="preserve"/>
        </x:is>
      </x:c>
    </x:row>
    <x:row r="352">
      <x:c r="A352" s="7">
        <x:f>IF(B352="","", "T-"&amp;TEXT(ROW()-1,"00000"))</x:f>
      </x:c>
      <x:c r="B352" s="7" t="inlineStr">
        <x:is>
          <x:t xml:space="preserve"/>
        </x:is>
      </x:c>
      <x:c r="C352" s="7" t="inlineStr">
        <x:is>
          <x:t xml:space="preserve"/>
        </x:is>
      </x:c>
      <x:c r="D352" s="7">
        <x:f>IF(B352="","",VALUE(MID(B352,2,4)))</x:f>
      </x:c>
      <x:c r="E352" s="7">
        <x:f>IF(B352="","",MID(B352,6,2))</x:f>
      </x:c>
      <x:c r="F352" s="8" t="inlineStr">
        <x:is>
          <x:t xml:space="preserve"/>
        </x:is>
      </x:c>
      <x:c r="G352" s="6" t="inlineStr">
        <x:is>
          <x:t xml:space="preserve"/>
        </x:is>
      </x:c>
      <x:c r="H352" s="7" t="inlineStr">
        <x:is>
          <x:t xml:space="preserve"/>
        </x:is>
      </x:c>
      <x:c r="I352" s="7" t="inlineStr">
        <x:is>
          <x:t xml:space="preserve"/>
        </x:is>
      </x:c>
      <x:c r="J352" s="7" t="inlineStr">
        <x:is>
          <x:t xml:space="preserve"/>
        </x:is>
      </x:c>
      <x:c r="K352" s="6" t="inlineStr">
        <x:is>
          <x:t xml:space="preserve"/>
        </x:is>
      </x:c>
      <x:c r="L352" s="7" t="inlineStr">
        <x:is>
          <x:t xml:space="preserve"/>
        </x:is>
      </x:c>
      <x:c r="M352" s="6" t="inlineStr">
        <x:is>
          <x:t xml:space="preserve"/>
        </x:is>
      </x:c>
      <x:c r="N352" s="6" t="inlineStr">
        <x:is>
          <x:t xml:space="preserve"/>
        </x:is>
      </x:c>
    </x:row>
    <x:row r="353">
      <x:c r="A353" s="7">
        <x:f>IF(B353="","", "T-"&amp;TEXT(ROW()-1,"00000"))</x:f>
      </x:c>
      <x:c r="B353" s="7" t="inlineStr">
        <x:is>
          <x:t xml:space="preserve"/>
        </x:is>
      </x:c>
      <x:c r="C353" s="7" t="inlineStr">
        <x:is>
          <x:t xml:space="preserve"/>
        </x:is>
      </x:c>
      <x:c r="D353" s="7">
        <x:f>IF(B353="","",VALUE(MID(B353,2,4)))</x:f>
      </x:c>
      <x:c r="E353" s="7">
        <x:f>IF(B353="","",MID(B353,6,2))</x:f>
      </x:c>
      <x:c r="F353" s="8" t="inlineStr">
        <x:is>
          <x:t xml:space="preserve"/>
        </x:is>
      </x:c>
      <x:c r="G353" s="6" t="inlineStr">
        <x:is>
          <x:t xml:space="preserve"/>
        </x:is>
      </x:c>
      <x:c r="H353" s="7" t="inlineStr">
        <x:is>
          <x:t xml:space="preserve"/>
        </x:is>
      </x:c>
      <x:c r="I353" s="7" t="inlineStr">
        <x:is>
          <x:t xml:space="preserve"/>
        </x:is>
      </x:c>
      <x:c r="J353" s="7" t="inlineStr">
        <x:is>
          <x:t xml:space="preserve"/>
        </x:is>
      </x:c>
      <x:c r="K353" s="6" t="inlineStr">
        <x:is>
          <x:t xml:space="preserve"/>
        </x:is>
      </x:c>
      <x:c r="L353" s="7" t="inlineStr">
        <x:is>
          <x:t xml:space="preserve"/>
        </x:is>
      </x:c>
      <x:c r="M353" s="6" t="inlineStr">
        <x:is>
          <x:t xml:space="preserve"/>
        </x:is>
      </x:c>
      <x:c r="N353" s="6" t="inlineStr">
        <x:is>
          <x:t xml:space="preserve"/>
        </x:is>
      </x:c>
    </x:row>
    <x:row r="354">
      <x:c r="A354" s="7">
        <x:f>IF(B354="","", "T-"&amp;TEXT(ROW()-1,"00000"))</x:f>
      </x:c>
      <x:c r="B354" s="7" t="inlineStr">
        <x:is>
          <x:t xml:space="preserve"/>
        </x:is>
      </x:c>
      <x:c r="C354" s="7" t="inlineStr">
        <x:is>
          <x:t xml:space="preserve"/>
        </x:is>
      </x:c>
      <x:c r="D354" s="7">
        <x:f>IF(B354="","",VALUE(MID(B354,2,4)))</x:f>
      </x:c>
      <x:c r="E354" s="7">
        <x:f>IF(B354="","",MID(B354,6,2))</x:f>
      </x:c>
      <x:c r="F354" s="8" t="inlineStr">
        <x:is>
          <x:t xml:space="preserve"/>
        </x:is>
      </x:c>
      <x:c r="G354" s="6" t="inlineStr">
        <x:is>
          <x:t xml:space="preserve"/>
        </x:is>
      </x:c>
      <x:c r="H354" s="7" t="inlineStr">
        <x:is>
          <x:t xml:space="preserve"/>
        </x:is>
      </x:c>
      <x:c r="I354" s="7" t="inlineStr">
        <x:is>
          <x:t xml:space="preserve"/>
        </x:is>
      </x:c>
      <x:c r="J354" s="7" t="inlineStr">
        <x:is>
          <x:t xml:space="preserve"/>
        </x:is>
      </x:c>
      <x:c r="K354" s="6" t="inlineStr">
        <x:is>
          <x:t xml:space="preserve"/>
        </x:is>
      </x:c>
      <x:c r="L354" s="7" t="inlineStr">
        <x:is>
          <x:t xml:space="preserve"/>
        </x:is>
      </x:c>
      <x:c r="M354" s="6" t="inlineStr">
        <x:is>
          <x:t xml:space="preserve"/>
        </x:is>
      </x:c>
      <x:c r="N354" s="6" t="inlineStr">
        <x:is>
          <x:t xml:space="preserve"/>
        </x:is>
      </x:c>
    </x:row>
    <x:row r="355">
      <x:c r="A355" s="7">
        <x:f>IF(B355="","", "T-"&amp;TEXT(ROW()-1,"00000"))</x:f>
      </x:c>
      <x:c r="B355" s="7" t="inlineStr">
        <x:is>
          <x:t xml:space="preserve"/>
        </x:is>
      </x:c>
      <x:c r="C355" s="7" t="inlineStr">
        <x:is>
          <x:t xml:space="preserve"/>
        </x:is>
      </x:c>
      <x:c r="D355" s="7">
        <x:f>IF(B355="","",VALUE(MID(B355,2,4)))</x:f>
      </x:c>
      <x:c r="E355" s="7">
        <x:f>IF(B355="","",MID(B355,6,2))</x:f>
      </x:c>
      <x:c r="F355" s="8" t="inlineStr">
        <x:is>
          <x:t xml:space="preserve"/>
        </x:is>
      </x:c>
      <x:c r="G355" s="6" t="inlineStr">
        <x:is>
          <x:t xml:space="preserve"/>
        </x:is>
      </x:c>
      <x:c r="H355" s="7" t="inlineStr">
        <x:is>
          <x:t xml:space="preserve"/>
        </x:is>
      </x:c>
      <x:c r="I355" s="7" t="inlineStr">
        <x:is>
          <x:t xml:space="preserve"/>
        </x:is>
      </x:c>
      <x:c r="J355" s="7" t="inlineStr">
        <x:is>
          <x:t xml:space="preserve"/>
        </x:is>
      </x:c>
      <x:c r="K355" s="6" t="inlineStr">
        <x:is>
          <x:t xml:space="preserve"/>
        </x:is>
      </x:c>
      <x:c r="L355" s="7" t="inlineStr">
        <x:is>
          <x:t xml:space="preserve"/>
        </x:is>
      </x:c>
      <x:c r="M355" s="6" t="inlineStr">
        <x:is>
          <x:t xml:space="preserve"/>
        </x:is>
      </x:c>
      <x:c r="N355" s="6" t="inlineStr">
        <x:is>
          <x:t xml:space="preserve"/>
        </x:is>
      </x:c>
    </x:row>
    <x:row r="356">
      <x:c r="A356" s="7">
        <x:f>IF(B356="","", "T-"&amp;TEXT(ROW()-1,"00000"))</x:f>
      </x:c>
      <x:c r="B356" s="7" t="inlineStr">
        <x:is>
          <x:t xml:space="preserve"/>
        </x:is>
      </x:c>
      <x:c r="C356" s="7" t="inlineStr">
        <x:is>
          <x:t xml:space="preserve"/>
        </x:is>
      </x:c>
      <x:c r="D356" s="7">
        <x:f>IF(B356="","",VALUE(MID(B356,2,4)))</x:f>
      </x:c>
      <x:c r="E356" s="7">
        <x:f>IF(B356="","",MID(B356,6,2))</x:f>
      </x:c>
      <x:c r="F356" s="8" t="inlineStr">
        <x:is>
          <x:t xml:space="preserve"/>
        </x:is>
      </x:c>
      <x:c r="G356" s="6" t="inlineStr">
        <x:is>
          <x:t xml:space="preserve"/>
        </x:is>
      </x:c>
      <x:c r="H356" s="7" t="inlineStr">
        <x:is>
          <x:t xml:space="preserve"/>
        </x:is>
      </x:c>
      <x:c r="I356" s="7" t="inlineStr">
        <x:is>
          <x:t xml:space="preserve"/>
        </x:is>
      </x:c>
      <x:c r="J356" s="7" t="inlineStr">
        <x:is>
          <x:t xml:space="preserve"/>
        </x:is>
      </x:c>
      <x:c r="K356" s="6" t="inlineStr">
        <x:is>
          <x:t xml:space="preserve"/>
        </x:is>
      </x:c>
      <x:c r="L356" s="7" t="inlineStr">
        <x:is>
          <x:t xml:space="preserve"/>
        </x:is>
      </x:c>
      <x:c r="M356" s="6" t="inlineStr">
        <x:is>
          <x:t xml:space="preserve"/>
        </x:is>
      </x:c>
      <x:c r="N356" s="6" t="inlineStr">
        <x:is>
          <x:t xml:space="preserve"/>
        </x:is>
      </x:c>
    </x:row>
    <x:row r="357">
      <x:c r="A357" s="7">
        <x:f>IF(B357="","", "T-"&amp;TEXT(ROW()-1,"00000"))</x:f>
      </x:c>
      <x:c r="B357" s="7" t="inlineStr">
        <x:is>
          <x:t xml:space="preserve"/>
        </x:is>
      </x:c>
      <x:c r="C357" s="7" t="inlineStr">
        <x:is>
          <x:t xml:space="preserve"/>
        </x:is>
      </x:c>
      <x:c r="D357" s="7">
        <x:f>IF(B357="","",VALUE(MID(B357,2,4)))</x:f>
      </x:c>
      <x:c r="E357" s="7">
        <x:f>IF(B357="","",MID(B357,6,2))</x:f>
      </x:c>
      <x:c r="F357" s="8" t="inlineStr">
        <x:is>
          <x:t xml:space="preserve"/>
        </x:is>
      </x:c>
      <x:c r="G357" s="6" t="inlineStr">
        <x:is>
          <x:t xml:space="preserve"/>
        </x:is>
      </x:c>
      <x:c r="H357" s="7" t="inlineStr">
        <x:is>
          <x:t xml:space="preserve"/>
        </x:is>
      </x:c>
      <x:c r="I357" s="7" t="inlineStr">
        <x:is>
          <x:t xml:space="preserve"/>
        </x:is>
      </x:c>
      <x:c r="J357" s="7" t="inlineStr">
        <x:is>
          <x:t xml:space="preserve"/>
        </x:is>
      </x:c>
      <x:c r="K357" s="6" t="inlineStr">
        <x:is>
          <x:t xml:space="preserve"/>
        </x:is>
      </x:c>
      <x:c r="L357" s="7" t="inlineStr">
        <x:is>
          <x:t xml:space="preserve"/>
        </x:is>
      </x:c>
      <x:c r="M357" s="6" t="inlineStr">
        <x:is>
          <x:t xml:space="preserve"/>
        </x:is>
      </x:c>
      <x:c r="N357" s="6" t="inlineStr">
        <x:is>
          <x:t xml:space="preserve"/>
        </x:is>
      </x:c>
    </x:row>
    <x:row r="358">
      <x:c r="A358" s="7">
        <x:f>IF(B358="","", "T-"&amp;TEXT(ROW()-1,"00000"))</x:f>
      </x:c>
      <x:c r="B358" s="7" t="inlineStr">
        <x:is>
          <x:t xml:space="preserve"/>
        </x:is>
      </x:c>
      <x:c r="C358" s="7" t="inlineStr">
        <x:is>
          <x:t xml:space="preserve"/>
        </x:is>
      </x:c>
      <x:c r="D358" s="7">
        <x:f>IF(B358="","",VALUE(MID(B358,2,4)))</x:f>
      </x:c>
      <x:c r="E358" s="7">
        <x:f>IF(B358="","",MID(B358,6,2))</x:f>
      </x:c>
      <x:c r="F358" s="8" t="inlineStr">
        <x:is>
          <x:t xml:space="preserve"/>
        </x:is>
      </x:c>
      <x:c r="G358" s="6" t="inlineStr">
        <x:is>
          <x:t xml:space="preserve"/>
        </x:is>
      </x:c>
      <x:c r="H358" s="7" t="inlineStr">
        <x:is>
          <x:t xml:space="preserve"/>
        </x:is>
      </x:c>
      <x:c r="I358" s="7" t="inlineStr">
        <x:is>
          <x:t xml:space="preserve"/>
        </x:is>
      </x:c>
      <x:c r="J358" s="7" t="inlineStr">
        <x:is>
          <x:t xml:space="preserve"/>
        </x:is>
      </x:c>
      <x:c r="K358" s="6" t="inlineStr">
        <x:is>
          <x:t xml:space="preserve"/>
        </x:is>
      </x:c>
      <x:c r="L358" s="7" t="inlineStr">
        <x:is>
          <x:t xml:space="preserve"/>
        </x:is>
      </x:c>
      <x:c r="M358" s="6" t="inlineStr">
        <x:is>
          <x:t xml:space="preserve"/>
        </x:is>
      </x:c>
      <x:c r="N358" s="6" t="inlineStr">
        <x:is>
          <x:t xml:space="preserve"/>
        </x:is>
      </x:c>
    </x:row>
    <x:row r="359">
      <x:c r="A359" s="7">
        <x:f>IF(B359="","", "T-"&amp;TEXT(ROW()-1,"00000"))</x:f>
      </x:c>
      <x:c r="B359" s="7" t="inlineStr">
        <x:is>
          <x:t xml:space="preserve"/>
        </x:is>
      </x:c>
      <x:c r="C359" s="7" t="inlineStr">
        <x:is>
          <x:t xml:space="preserve"/>
        </x:is>
      </x:c>
      <x:c r="D359" s="7">
        <x:f>IF(B359="","",VALUE(MID(B359,2,4)))</x:f>
      </x:c>
      <x:c r="E359" s="7">
        <x:f>IF(B359="","",MID(B359,6,2))</x:f>
      </x:c>
      <x:c r="F359" s="8" t="inlineStr">
        <x:is>
          <x:t xml:space="preserve"/>
        </x:is>
      </x:c>
      <x:c r="G359" s="6" t="inlineStr">
        <x:is>
          <x:t xml:space="preserve"/>
        </x:is>
      </x:c>
      <x:c r="H359" s="7" t="inlineStr">
        <x:is>
          <x:t xml:space="preserve"/>
        </x:is>
      </x:c>
      <x:c r="I359" s="7" t="inlineStr">
        <x:is>
          <x:t xml:space="preserve"/>
        </x:is>
      </x:c>
      <x:c r="J359" s="7" t="inlineStr">
        <x:is>
          <x:t xml:space="preserve"/>
        </x:is>
      </x:c>
      <x:c r="K359" s="6" t="inlineStr">
        <x:is>
          <x:t xml:space="preserve"/>
        </x:is>
      </x:c>
      <x:c r="L359" s="7" t="inlineStr">
        <x:is>
          <x:t xml:space="preserve"/>
        </x:is>
      </x:c>
      <x:c r="M359" s="6" t="inlineStr">
        <x:is>
          <x:t xml:space="preserve"/>
        </x:is>
      </x:c>
      <x:c r="N359" s="6" t="inlineStr">
        <x:is>
          <x:t xml:space="preserve"/>
        </x:is>
      </x:c>
    </x:row>
    <x:row r="360">
      <x:c r="A360" s="7">
        <x:f>IF(B360="","", "T-"&amp;TEXT(ROW()-1,"00000"))</x:f>
      </x:c>
      <x:c r="B360" s="7" t="inlineStr">
        <x:is>
          <x:t xml:space="preserve"/>
        </x:is>
      </x:c>
      <x:c r="C360" s="7" t="inlineStr">
        <x:is>
          <x:t xml:space="preserve"/>
        </x:is>
      </x:c>
      <x:c r="D360" s="7">
        <x:f>IF(B360="","",VALUE(MID(B360,2,4)))</x:f>
      </x:c>
      <x:c r="E360" s="7">
        <x:f>IF(B360="","",MID(B360,6,2))</x:f>
      </x:c>
      <x:c r="F360" s="8" t="inlineStr">
        <x:is>
          <x:t xml:space="preserve"/>
        </x:is>
      </x:c>
      <x:c r="G360" s="6" t="inlineStr">
        <x:is>
          <x:t xml:space="preserve"/>
        </x:is>
      </x:c>
      <x:c r="H360" s="7" t="inlineStr">
        <x:is>
          <x:t xml:space="preserve"/>
        </x:is>
      </x:c>
      <x:c r="I360" s="7" t="inlineStr">
        <x:is>
          <x:t xml:space="preserve"/>
        </x:is>
      </x:c>
      <x:c r="J360" s="7" t="inlineStr">
        <x:is>
          <x:t xml:space="preserve"/>
        </x:is>
      </x:c>
      <x:c r="K360" s="6" t="inlineStr">
        <x:is>
          <x:t xml:space="preserve"/>
        </x:is>
      </x:c>
      <x:c r="L360" s="7" t="inlineStr">
        <x:is>
          <x:t xml:space="preserve"/>
        </x:is>
      </x:c>
      <x:c r="M360" s="6" t="inlineStr">
        <x:is>
          <x:t xml:space="preserve"/>
        </x:is>
      </x:c>
      <x:c r="N360" s="6" t="inlineStr">
        <x:is>
          <x:t xml:space="preserve"/>
        </x:is>
      </x:c>
    </x:row>
    <x:row r="361">
      <x:c r="A361" s="7">
        <x:f>IF(B361="","", "T-"&amp;TEXT(ROW()-1,"00000"))</x:f>
      </x:c>
      <x:c r="B361" s="7" t="inlineStr">
        <x:is>
          <x:t xml:space="preserve"/>
        </x:is>
      </x:c>
      <x:c r="C361" s="7" t="inlineStr">
        <x:is>
          <x:t xml:space="preserve"/>
        </x:is>
      </x:c>
      <x:c r="D361" s="7">
        <x:f>IF(B361="","",VALUE(MID(B361,2,4)))</x:f>
      </x:c>
      <x:c r="E361" s="7">
        <x:f>IF(B361="","",MID(B361,6,2))</x:f>
      </x:c>
      <x:c r="F361" s="8" t="inlineStr">
        <x:is>
          <x:t xml:space="preserve"/>
        </x:is>
      </x:c>
      <x:c r="G361" s="6" t="inlineStr">
        <x:is>
          <x:t xml:space="preserve"/>
        </x:is>
      </x:c>
      <x:c r="H361" s="7" t="inlineStr">
        <x:is>
          <x:t xml:space="preserve"/>
        </x:is>
      </x:c>
      <x:c r="I361" s="7" t="inlineStr">
        <x:is>
          <x:t xml:space="preserve"/>
        </x:is>
      </x:c>
      <x:c r="J361" s="7" t="inlineStr">
        <x:is>
          <x:t xml:space="preserve"/>
        </x:is>
      </x:c>
      <x:c r="K361" s="6" t="inlineStr">
        <x:is>
          <x:t xml:space="preserve"/>
        </x:is>
      </x:c>
      <x:c r="L361" s="7" t="inlineStr">
        <x:is>
          <x:t xml:space="preserve"/>
        </x:is>
      </x:c>
      <x:c r="M361" s="6" t="inlineStr">
        <x:is>
          <x:t xml:space="preserve"/>
        </x:is>
      </x:c>
      <x:c r="N361" s="6" t="inlineStr">
        <x:is>
          <x:t xml:space="preserve"/>
        </x:is>
      </x:c>
    </x:row>
    <x:row r="362">
      <x:c r="A362" s="7">
        <x:f>IF(B362="","", "T-"&amp;TEXT(ROW()-1,"00000"))</x:f>
      </x:c>
      <x:c r="B362" s="7" t="inlineStr">
        <x:is>
          <x:t xml:space="preserve"/>
        </x:is>
      </x:c>
      <x:c r="C362" s="7" t="inlineStr">
        <x:is>
          <x:t xml:space="preserve"/>
        </x:is>
      </x:c>
      <x:c r="D362" s="7">
        <x:f>IF(B362="","",VALUE(MID(B362,2,4)))</x:f>
      </x:c>
      <x:c r="E362" s="7">
        <x:f>IF(B362="","",MID(B362,6,2))</x:f>
      </x:c>
      <x:c r="F362" s="8" t="inlineStr">
        <x:is>
          <x:t xml:space="preserve"/>
        </x:is>
      </x:c>
      <x:c r="G362" s="6" t="inlineStr">
        <x:is>
          <x:t xml:space="preserve"/>
        </x:is>
      </x:c>
      <x:c r="H362" s="7" t="inlineStr">
        <x:is>
          <x:t xml:space="preserve"/>
        </x:is>
      </x:c>
      <x:c r="I362" s="7" t="inlineStr">
        <x:is>
          <x:t xml:space="preserve"/>
        </x:is>
      </x:c>
      <x:c r="J362" s="7" t="inlineStr">
        <x:is>
          <x:t xml:space="preserve"/>
        </x:is>
      </x:c>
      <x:c r="K362" s="6" t="inlineStr">
        <x:is>
          <x:t xml:space="preserve"/>
        </x:is>
      </x:c>
      <x:c r="L362" s="7" t="inlineStr">
        <x:is>
          <x:t xml:space="preserve"/>
        </x:is>
      </x:c>
      <x:c r="M362" s="6" t="inlineStr">
        <x:is>
          <x:t xml:space="preserve"/>
        </x:is>
      </x:c>
      <x:c r="N362" s="6" t="inlineStr">
        <x:is>
          <x:t xml:space="preserve"/>
        </x:is>
      </x:c>
    </x:row>
    <x:row r="363">
      <x:c r="A363" s="7">
        <x:f>IF(B363="","", "T-"&amp;TEXT(ROW()-1,"00000"))</x:f>
      </x:c>
      <x:c r="B363" s="7" t="inlineStr">
        <x:is>
          <x:t xml:space="preserve"/>
        </x:is>
      </x:c>
      <x:c r="C363" s="7" t="inlineStr">
        <x:is>
          <x:t xml:space="preserve"/>
        </x:is>
      </x:c>
      <x:c r="D363" s="7">
        <x:f>IF(B363="","",VALUE(MID(B363,2,4)))</x:f>
      </x:c>
      <x:c r="E363" s="7">
        <x:f>IF(B363="","",MID(B363,6,2))</x:f>
      </x:c>
      <x:c r="F363" s="8" t="inlineStr">
        <x:is>
          <x:t xml:space="preserve"/>
        </x:is>
      </x:c>
      <x:c r="G363" s="6" t="inlineStr">
        <x:is>
          <x:t xml:space="preserve"/>
        </x:is>
      </x:c>
      <x:c r="H363" s="7" t="inlineStr">
        <x:is>
          <x:t xml:space="preserve"/>
        </x:is>
      </x:c>
      <x:c r="I363" s="7" t="inlineStr">
        <x:is>
          <x:t xml:space="preserve"/>
        </x:is>
      </x:c>
      <x:c r="J363" s="7" t="inlineStr">
        <x:is>
          <x:t xml:space="preserve"/>
        </x:is>
      </x:c>
      <x:c r="K363" s="6" t="inlineStr">
        <x:is>
          <x:t xml:space="preserve"/>
        </x:is>
      </x:c>
      <x:c r="L363" s="7" t="inlineStr">
        <x:is>
          <x:t xml:space="preserve"/>
        </x:is>
      </x:c>
      <x:c r="M363" s="6" t="inlineStr">
        <x:is>
          <x:t xml:space="preserve"/>
        </x:is>
      </x:c>
      <x:c r="N363" s="6" t="inlineStr">
        <x:is>
          <x:t xml:space="preserve"/>
        </x:is>
      </x:c>
    </x:row>
    <x:row r="364">
      <x:c r="A364" s="7">
        <x:f>IF(B364="","", "T-"&amp;TEXT(ROW()-1,"00000"))</x:f>
      </x:c>
      <x:c r="B364" s="7" t="inlineStr">
        <x:is>
          <x:t xml:space="preserve"/>
        </x:is>
      </x:c>
      <x:c r="C364" s="7" t="inlineStr">
        <x:is>
          <x:t xml:space="preserve"/>
        </x:is>
      </x:c>
      <x:c r="D364" s="7">
        <x:f>IF(B364="","",VALUE(MID(B364,2,4)))</x:f>
      </x:c>
      <x:c r="E364" s="7">
        <x:f>IF(B364="","",MID(B364,6,2))</x:f>
      </x:c>
      <x:c r="F364" s="8" t="inlineStr">
        <x:is>
          <x:t xml:space="preserve"/>
        </x:is>
      </x:c>
      <x:c r="G364" s="6" t="inlineStr">
        <x:is>
          <x:t xml:space="preserve"/>
        </x:is>
      </x:c>
      <x:c r="H364" s="7" t="inlineStr">
        <x:is>
          <x:t xml:space="preserve"/>
        </x:is>
      </x:c>
      <x:c r="I364" s="7" t="inlineStr">
        <x:is>
          <x:t xml:space="preserve"/>
        </x:is>
      </x:c>
      <x:c r="J364" s="7" t="inlineStr">
        <x:is>
          <x:t xml:space="preserve"/>
        </x:is>
      </x:c>
      <x:c r="K364" s="6" t="inlineStr">
        <x:is>
          <x:t xml:space="preserve"/>
        </x:is>
      </x:c>
      <x:c r="L364" s="7" t="inlineStr">
        <x:is>
          <x:t xml:space="preserve"/>
        </x:is>
      </x:c>
      <x:c r="M364" s="6" t="inlineStr">
        <x:is>
          <x:t xml:space="preserve"/>
        </x:is>
      </x:c>
      <x:c r="N364" s="6" t="inlineStr">
        <x:is>
          <x:t xml:space="preserve"/>
        </x:is>
      </x:c>
    </x:row>
    <x:row r="365">
      <x:c r="A365" s="7">
        <x:f>IF(B365="","", "T-"&amp;TEXT(ROW()-1,"00000"))</x:f>
      </x:c>
      <x:c r="B365" s="7" t="inlineStr">
        <x:is>
          <x:t xml:space="preserve"/>
        </x:is>
      </x:c>
      <x:c r="C365" s="7" t="inlineStr">
        <x:is>
          <x:t xml:space="preserve"/>
        </x:is>
      </x:c>
      <x:c r="D365" s="7">
        <x:f>IF(B365="","",VALUE(MID(B365,2,4)))</x:f>
      </x:c>
      <x:c r="E365" s="7">
        <x:f>IF(B365="","",MID(B365,6,2))</x:f>
      </x:c>
      <x:c r="F365" s="8" t="inlineStr">
        <x:is>
          <x:t xml:space="preserve"/>
        </x:is>
      </x:c>
      <x:c r="G365" s="6" t="inlineStr">
        <x:is>
          <x:t xml:space="preserve"/>
        </x:is>
      </x:c>
      <x:c r="H365" s="7" t="inlineStr">
        <x:is>
          <x:t xml:space="preserve"/>
        </x:is>
      </x:c>
      <x:c r="I365" s="7" t="inlineStr">
        <x:is>
          <x:t xml:space="preserve"/>
        </x:is>
      </x:c>
      <x:c r="J365" s="7" t="inlineStr">
        <x:is>
          <x:t xml:space="preserve"/>
        </x:is>
      </x:c>
      <x:c r="K365" s="6" t="inlineStr">
        <x:is>
          <x:t xml:space="preserve"/>
        </x:is>
      </x:c>
      <x:c r="L365" s="7" t="inlineStr">
        <x:is>
          <x:t xml:space="preserve"/>
        </x:is>
      </x:c>
      <x:c r="M365" s="6" t="inlineStr">
        <x:is>
          <x:t xml:space="preserve"/>
        </x:is>
      </x:c>
      <x:c r="N365" s="6" t="inlineStr">
        <x:is>
          <x:t xml:space="preserve"/>
        </x:is>
      </x:c>
    </x:row>
    <x:row r="366">
      <x:c r="A366" s="7">
        <x:f>IF(B366="","", "T-"&amp;TEXT(ROW()-1,"00000"))</x:f>
      </x:c>
      <x:c r="B366" s="7" t="inlineStr">
        <x:is>
          <x:t xml:space="preserve"/>
        </x:is>
      </x:c>
      <x:c r="C366" s="7" t="inlineStr">
        <x:is>
          <x:t xml:space="preserve"/>
        </x:is>
      </x:c>
      <x:c r="D366" s="7">
        <x:f>IF(B366="","",VALUE(MID(B366,2,4)))</x:f>
      </x:c>
      <x:c r="E366" s="7">
        <x:f>IF(B366="","",MID(B366,6,2))</x:f>
      </x:c>
      <x:c r="F366" s="8" t="inlineStr">
        <x:is>
          <x:t xml:space="preserve"/>
        </x:is>
      </x:c>
      <x:c r="G366" s="6" t="inlineStr">
        <x:is>
          <x:t xml:space="preserve"/>
        </x:is>
      </x:c>
      <x:c r="H366" s="7" t="inlineStr">
        <x:is>
          <x:t xml:space="preserve"/>
        </x:is>
      </x:c>
      <x:c r="I366" s="7" t="inlineStr">
        <x:is>
          <x:t xml:space="preserve"/>
        </x:is>
      </x:c>
      <x:c r="J366" s="7" t="inlineStr">
        <x:is>
          <x:t xml:space="preserve"/>
        </x:is>
      </x:c>
      <x:c r="K366" s="6" t="inlineStr">
        <x:is>
          <x:t xml:space="preserve"/>
        </x:is>
      </x:c>
      <x:c r="L366" s="7" t="inlineStr">
        <x:is>
          <x:t xml:space="preserve"/>
        </x:is>
      </x:c>
      <x:c r="M366" s="6" t="inlineStr">
        <x:is>
          <x:t xml:space="preserve"/>
        </x:is>
      </x:c>
      <x:c r="N366" s="6" t="inlineStr">
        <x:is>
          <x:t xml:space="preserve"/>
        </x:is>
      </x:c>
    </x:row>
    <x:row r="367">
      <x:c r="A367" s="7">
        <x:f>IF(B367="","", "T-"&amp;TEXT(ROW()-1,"00000"))</x:f>
      </x:c>
      <x:c r="B367" s="7" t="inlineStr">
        <x:is>
          <x:t xml:space="preserve"/>
        </x:is>
      </x:c>
      <x:c r="C367" s="7" t="inlineStr">
        <x:is>
          <x:t xml:space="preserve"/>
        </x:is>
      </x:c>
      <x:c r="D367" s="7">
        <x:f>IF(B367="","",VALUE(MID(B367,2,4)))</x:f>
      </x:c>
      <x:c r="E367" s="7">
        <x:f>IF(B367="","",MID(B367,6,2))</x:f>
      </x:c>
      <x:c r="F367" s="8" t="inlineStr">
        <x:is>
          <x:t xml:space="preserve"/>
        </x:is>
      </x:c>
      <x:c r="G367" s="6" t="inlineStr">
        <x:is>
          <x:t xml:space="preserve"/>
        </x:is>
      </x:c>
      <x:c r="H367" s="7" t="inlineStr">
        <x:is>
          <x:t xml:space="preserve"/>
        </x:is>
      </x:c>
      <x:c r="I367" s="7" t="inlineStr">
        <x:is>
          <x:t xml:space="preserve"/>
        </x:is>
      </x:c>
      <x:c r="J367" s="7" t="inlineStr">
        <x:is>
          <x:t xml:space="preserve"/>
        </x:is>
      </x:c>
      <x:c r="K367" s="6" t="inlineStr">
        <x:is>
          <x:t xml:space="preserve"/>
        </x:is>
      </x:c>
      <x:c r="L367" s="7" t="inlineStr">
        <x:is>
          <x:t xml:space="preserve"/>
        </x:is>
      </x:c>
      <x:c r="M367" s="6" t="inlineStr">
        <x:is>
          <x:t xml:space="preserve"/>
        </x:is>
      </x:c>
      <x:c r="N367" s="6" t="inlineStr">
        <x:is>
          <x:t xml:space="preserve"/>
        </x:is>
      </x:c>
    </x:row>
    <x:row r="368">
      <x:c r="A368" s="7">
        <x:f>IF(B368="","", "T-"&amp;TEXT(ROW()-1,"00000"))</x:f>
      </x:c>
      <x:c r="B368" s="7" t="inlineStr">
        <x:is>
          <x:t xml:space="preserve"/>
        </x:is>
      </x:c>
      <x:c r="C368" s="7" t="inlineStr">
        <x:is>
          <x:t xml:space="preserve"/>
        </x:is>
      </x:c>
      <x:c r="D368" s="7">
        <x:f>IF(B368="","",VALUE(MID(B368,2,4)))</x:f>
      </x:c>
      <x:c r="E368" s="7">
        <x:f>IF(B368="","",MID(B368,6,2))</x:f>
      </x:c>
      <x:c r="F368" s="8" t="inlineStr">
        <x:is>
          <x:t xml:space="preserve"/>
        </x:is>
      </x:c>
      <x:c r="G368" s="6" t="inlineStr">
        <x:is>
          <x:t xml:space="preserve"/>
        </x:is>
      </x:c>
      <x:c r="H368" s="7" t="inlineStr">
        <x:is>
          <x:t xml:space="preserve"/>
        </x:is>
      </x:c>
      <x:c r="I368" s="7" t="inlineStr">
        <x:is>
          <x:t xml:space="preserve"/>
        </x:is>
      </x:c>
      <x:c r="J368" s="7" t="inlineStr">
        <x:is>
          <x:t xml:space="preserve"/>
        </x:is>
      </x:c>
      <x:c r="K368" s="6" t="inlineStr">
        <x:is>
          <x:t xml:space="preserve"/>
        </x:is>
      </x:c>
      <x:c r="L368" s="7" t="inlineStr">
        <x:is>
          <x:t xml:space="preserve"/>
        </x:is>
      </x:c>
      <x:c r="M368" s="6" t="inlineStr">
        <x:is>
          <x:t xml:space="preserve"/>
        </x:is>
      </x:c>
      <x:c r="N368" s="6" t="inlineStr">
        <x:is>
          <x:t xml:space="preserve"/>
        </x:is>
      </x:c>
    </x:row>
    <x:row r="369">
      <x:c r="A369" s="7">
        <x:f>IF(B369="","", "T-"&amp;TEXT(ROW()-1,"00000"))</x:f>
      </x:c>
      <x:c r="B369" s="7" t="inlineStr">
        <x:is>
          <x:t xml:space="preserve"/>
        </x:is>
      </x:c>
      <x:c r="C369" s="7" t="inlineStr">
        <x:is>
          <x:t xml:space="preserve"/>
        </x:is>
      </x:c>
      <x:c r="D369" s="7">
        <x:f>IF(B369="","",VALUE(MID(B369,2,4)))</x:f>
      </x:c>
      <x:c r="E369" s="7">
        <x:f>IF(B369="","",MID(B369,6,2))</x:f>
      </x:c>
      <x:c r="F369" s="8" t="inlineStr">
        <x:is>
          <x:t xml:space="preserve"/>
        </x:is>
      </x:c>
      <x:c r="G369" s="6" t="inlineStr">
        <x:is>
          <x:t xml:space="preserve"/>
        </x:is>
      </x:c>
      <x:c r="H369" s="7" t="inlineStr">
        <x:is>
          <x:t xml:space="preserve"/>
        </x:is>
      </x:c>
      <x:c r="I369" s="7" t="inlineStr">
        <x:is>
          <x:t xml:space="preserve"/>
        </x:is>
      </x:c>
      <x:c r="J369" s="7" t="inlineStr">
        <x:is>
          <x:t xml:space="preserve"/>
        </x:is>
      </x:c>
      <x:c r="K369" s="6" t="inlineStr">
        <x:is>
          <x:t xml:space="preserve"/>
        </x:is>
      </x:c>
      <x:c r="L369" s="7" t="inlineStr">
        <x:is>
          <x:t xml:space="preserve"/>
        </x:is>
      </x:c>
      <x:c r="M369" s="6" t="inlineStr">
        <x:is>
          <x:t xml:space="preserve"/>
        </x:is>
      </x:c>
      <x:c r="N369" s="6" t="inlineStr">
        <x:is>
          <x:t xml:space="preserve"/>
        </x:is>
      </x:c>
    </x:row>
    <x:row r="370">
      <x:c r="A370" s="7">
        <x:f>IF(B370="","", "T-"&amp;TEXT(ROW()-1,"00000"))</x:f>
      </x:c>
      <x:c r="B370" s="7" t="inlineStr">
        <x:is>
          <x:t xml:space="preserve"/>
        </x:is>
      </x:c>
      <x:c r="C370" s="7" t="inlineStr">
        <x:is>
          <x:t xml:space="preserve"/>
        </x:is>
      </x:c>
      <x:c r="D370" s="7">
        <x:f>IF(B370="","",VALUE(MID(B370,2,4)))</x:f>
      </x:c>
      <x:c r="E370" s="7">
        <x:f>IF(B370="","",MID(B370,6,2))</x:f>
      </x:c>
      <x:c r="F370" s="8" t="inlineStr">
        <x:is>
          <x:t xml:space="preserve"/>
        </x:is>
      </x:c>
      <x:c r="G370" s="6" t="inlineStr">
        <x:is>
          <x:t xml:space="preserve"/>
        </x:is>
      </x:c>
      <x:c r="H370" s="7" t="inlineStr">
        <x:is>
          <x:t xml:space="preserve"/>
        </x:is>
      </x:c>
      <x:c r="I370" s="7" t="inlineStr">
        <x:is>
          <x:t xml:space="preserve"/>
        </x:is>
      </x:c>
      <x:c r="J370" s="7" t="inlineStr">
        <x:is>
          <x:t xml:space="preserve"/>
        </x:is>
      </x:c>
      <x:c r="K370" s="6" t="inlineStr">
        <x:is>
          <x:t xml:space="preserve"/>
        </x:is>
      </x:c>
      <x:c r="L370" s="7" t="inlineStr">
        <x:is>
          <x:t xml:space="preserve"/>
        </x:is>
      </x:c>
      <x:c r="M370" s="6" t="inlineStr">
        <x:is>
          <x:t xml:space="preserve"/>
        </x:is>
      </x:c>
      <x:c r="N370" s="6" t="inlineStr">
        <x:is>
          <x:t xml:space="preserve"/>
        </x:is>
      </x:c>
    </x:row>
    <x:row r="371">
      <x:c r="A371" s="7">
        <x:f>IF(B371="","", "T-"&amp;TEXT(ROW()-1,"00000"))</x:f>
      </x:c>
      <x:c r="B371" s="7" t="inlineStr">
        <x:is>
          <x:t xml:space="preserve"/>
        </x:is>
      </x:c>
      <x:c r="C371" s="7" t="inlineStr">
        <x:is>
          <x:t xml:space="preserve"/>
        </x:is>
      </x:c>
      <x:c r="D371" s="7">
        <x:f>IF(B371="","",VALUE(MID(B371,2,4)))</x:f>
      </x:c>
      <x:c r="E371" s="7">
        <x:f>IF(B371="","",MID(B371,6,2))</x:f>
      </x:c>
      <x:c r="F371" s="8" t="inlineStr">
        <x:is>
          <x:t xml:space="preserve"/>
        </x:is>
      </x:c>
      <x:c r="G371" s="6" t="inlineStr">
        <x:is>
          <x:t xml:space="preserve"/>
        </x:is>
      </x:c>
      <x:c r="H371" s="7" t="inlineStr">
        <x:is>
          <x:t xml:space="preserve"/>
        </x:is>
      </x:c>
      <x:c r="I371" s="7" t="inlineStr">
        <x:is>
          <x:t xml:space="preserve"/>
        </x:is>
      </x:c>
      <x:c r="J371" s="7" t="inlineStr">
        <x:is>
          <x:t xml:space="preserve"/>
        </x:is>
      </x:c>
      <x:c r="K371" s="6" t="inlineStr">
        <x:is>
          <x:t xml:space="preserve"/>
        </x:is>
      </x:c>
      <x:c r="L371" s="7" t="inlineStr">
        <x:is>
          <x:t xml:space="preserve"/>
        </x:is>
      </x:c>
      <x:c r="M371" s="6" t="inlineStr">
        <x:is>
          <x:t xml:space="preserve"/>
        </x:is>
      </x:c>
      <x:c r="N371" s="6" t="inlineStr">
        <x:is>
          <x:t xml:space="preserve"/>
        </x:is>
      </x:c>
    </x:row>
    <x:row r="372">
      <x:c r="A372" s="7">
        <x:f>IF(B372="","", "T-"&amp;TEXT(ROW()-1,"00000"))</x:f>
      </x:c>
      <x:c r="B372" s="7" t="inlineStr">
        <x:is>
          <x:t xml:space="preserve"/>
        </x:is>
      </x:c>
      <x:c r="C372" s="7" t="inlineStr">
        <x:is>
          <x:t xml:space="preserve"/>
        </x:is>
      </x:c>
      <x:c r="D372" s="7">
        <x:f>IF(B372="","",VALUE(MID(B372,2,4)))</x:f>
      </x:c>
      <x:c r="E372" s="7">
        <x:f>IF(B372="","",MID(B372,6,2))</x:f>
      </x:c>
      <x:c r="F372" s="8" t="inlineStr">
        <x:is>
          <x:t xml:space="preserve"/>
        </x:is>
      </x:c>
      <x:c r="G372" s="6" t="inlineStr">
        <x:is>
          <x:t xml:space="preserve"/>
        </x:is>
      </x:c>
      <x:c r="H372" s="7" t="inlineStr">
        <x:is>
          <x:t xml:space="preserve"/>
        </x:is>
      </x:c>
      <x:c r="I372" s="7" t="inlineStr">
        <x:is>
          <x:t xml:space="preserve"/>
        </x:is>
      </x:c>
      <x:c r="J372" s="7" t="inlineStr">
        <x:is>
          <x:t xml:space="preserve"/>
        </x:is>
      </x:c>
      <x:c r="K372" s="6" t="inlineStr">
        <x:is>
          <x:t xml:space="preserve"/>
        </x:is>
      </x:c>
      <x:c r="L372" s="7" t="inlineStr">
        <x:is>
          <x:t xml:space="preserve"/>
        </x:is>
      </x:c>
      <x:c r="M372" s="6" t="inlineStr">
        <x:is>
          <x:t xml:space="preserve"/>
        </x:is>
      </x:c>
      <x:c r="N372" s="6" t="inlineStr">
        <x:is>
          <x:t xml:space="preserve"/>
        </x:is>
      </x:c>
    </x:row>
    <x:row r="373">
      <x:c r="A373" s="7">
        <x:f>IF(B373="","", "T-"&amp;TEXT(ROW()-1,"00000"))</x:f>
      </x:c>
      <x:c r="B373" s="7" t="inlineStr">
        <x:is>
          <x:t xml:space="preserve"/>
        </x:is>
      </x:c>
      <x:c r="C373" s="7" t="inlineStr">
        <x:is>
          <x:t xml:space="preserve"/>
        </x:is>
      </x:c>
      <x:c r="D373" s="7">
        <x:f>IF(B373="","",VALUE(MID(B373,2,4)))</x:f>
      </x:c>
      <x:c r="E373" s="7">
        <x:f>IF(B373="","",MID(B373,6,2))</x:f>
      </x:c>
      <x:c r="F373" s="8" t="inlineStr">
        <x:is>
          <x:t xml:space="preserve"/>
        </x:is>
      </x:c>
      <x:c r="G373" s="6" t="inlineStr">
        <x:is>
          <x:t xml:space="preserve"/>
        </x:is>
      </x:c>
      <x:c r="H373" s="7" t="inlineStr">
        <x:is>
          <x:t xml:space="preserve"/>
        </x:is>
      </x:c>
      <x:c r="I373" s="7" t="inlineStr">
        <x:is>
          <x:t xml:space="preserve"/>
        </x:is>
      </x:c>
      <x:c r="J373" s="7" t="inlineStr">
        <x:is>
          <x:t xml:space="preserve"/>
        </x:is>
      </x:c>
      <x:c r="K373" s="6" t="inlineStr">
        <x:is>
          <x:t xml:space="preserve"/>
        </x:is>
      </x:c>
      <x:c r="L373" s="7" t="inlineStr">
        <x:is>
          <x:t xml:space="preserve"/>
        </x:is>
      </x:c>
      <x:c r="M373" s="6" t="inlineStr">
        <x:is>
          <x:t xml:space="preserve"/>
        </x:is>
      </x:c>
      <x:c r="N373" s="6" t="inlineStr">
        <x:is>
          <x:t xml:space="preserve"/>
        </x:is>
      </x:c>
    </x:row>
    <x:row r="374">
      <x:c r="A374" s="7">
        <x:f>IF(B374="","", "T-"&amp;TEXT(ROW()-1,"00000"))</x:f>
      </x:c>
      <x:c r="B374" s="7" t="inlineStr">
        <x:is>
          <x:t xml:space="preserve"/>
        </x:is>
      </x:c>
      <x:c r="C374" s="7" t="inlineStr">
        <x:is>
          <x:t xml:space="preserve"/>
        </x:is>
      </x:c>
      <x:c r="D374" s="7">
        <x:f>IF(B374="","",VALUE(MID(B374,2,4)))</x:f>
      </x:c>
      <x:c r="E374" s="7">
        <x:f>IF(B374="","",MID(B374,6,2))</x:f>
      </x:c>
      <x:c r="F374" s="8" t="inlineStr">
        <x:is>
          <x:t xml:space="preserve"/>
        </x:is>
      </x:c>
      <x:c r="G374" s="6" t="inlineStr">
        <x:is>
          <x:t xml:space="preserve"/>
        </x:is>
      </x:c>
      <x:c r="H374" s="7" t="inlineStr">
        <x:is>
          <x:t xml:space="preserve"/>
        </x:is>
      </x:c>
      <x:c r="I374" s="7" t="inlineStr">
        <x:is>
          <x:t xml:space="preserve"/>
        </x:is>
      </x:c>
      <x:c r="J374" s="7" t="inlineStr">
        <x:is>
          <x:t xml:space="preserve"/>
        </x:is>
      </x:c>
      <x:c r="K374" s="6" t="inlineStr">
        <x:is>
          <x:t xml:space="preserve"/>
        </x:is>
      </x:c>
      <x:c r="L374" s="7" t="inlineStr">
        <x:is>
          <x:t xml:space="preserve"/>
        </x:is>
      </x:c>
      <x:c r="M374" s="6" t="inlineStr">
        <x:is>
          <x:t xml:space="preserve"/>
        </x:is>
      </x:c>
      <x:c r="N374" s="6" t="inlineStr">
        <x:is>
          <x:t xml:space="preserve"/>
        </x:is>
      </x:c>
    </x:row>
    <x:row r="375">
      <x:c r="A375" s="7">
        <x:f>IF(B375="","", "T-"&amp;TEXT(ROW()-1,"00000"))</x:f>
      </x:c>
      <x:c r="B375" s="7" t="inlineStr">
        <x:is>
          <x:t xml:space="preserve"/>
        </x:is>
      </x:c>
      <x:c r="C375" s="7" t="inlineStr">
        <x:is>
          <x:t xml:space="preserve"/>
        </x:is>
      </x:c>
      <x:c r="D375" s="7">
        <x:f>IF(B375="","",VALUE(MID(B375,2,4)))</x:f>
      </x:c>
      <x:c r="E375" s="7">
        <x:f>IF(B375="","",MID(B375,6,2))</x:f>
      </x:c>
      <x:c r="F375" s="8" t="inlineStr">
        <x:is>
          <x:t xml:space="preserve"/>
        </x:is>
      </x:c>
      <x:c r="G375" s="6" t="inlineStr">
        <x:is>
          <x:t xml:space="preserve"/>
        </x:is>
      </x:c>
      <x:c r="H375" s="7" t="inlineStr">
        <x:is>
          <x:t xml:space="preserve"/>
        </x:is>
      </x:c>
      <x:c r="I375" s="7" t="inlineStr">
        <x:is>
          <x:t xml:space="preserve"/>
        </x:is>
      </x:c>
      <x:c r="J375" s="7" t="inlineStr">
        <x:is>
          <x:t xml:space="preserve"/>
        </x:is>
      </x:c>
      <x:c r="K375" s="6" t="inlineStr">
        <x:is>
          <x:t xml:space="preserve"/>
        </x:is>
      </x:c>
      <x:c r="L375" s="7" t="inlineStr">
        <x:is>
          <x:t xml:space="preserve"/>
        </x:is>
      </x:c>
      <x:c r="M375" s="6" t="inlineStr">
        <x:is>
          <x:t xml:space="preserve"/>
        </x:is>
      </x:c>
      <x:c r="N375" s="6" t="inlineStr">
        <x:is>
          <x:t xml:space="preserve"/>
        </x:is>
      </x:c>
    </x:row>
    <x:row r="376">
      <x:c r="A376" s="7">
        <x:f>IF(B376="","", "T-"&amp;TEXT(ROW()-1,"00000"))</x:f>
      </x:c>
      <x:c r="B376" s="7" t="inlineStr">
        <x:is>
          <x:t xml:space="preserve"/>
        </x:is>
      </x:c>
      <x:c r="C376" s="7" t="inlineStr">
        <x:is>
          <x:t xml:space="preserve"/>
        </x:is>
      </x:c>
      <x:c r="D376" s="7">
        <x:f>IF(B376="","",VALUE(MID(B376,2,4)))</x:f>
      </x:c>
      <x:c r="E376" s="7">
        <x:f>IF(B376="","",MID(B376,6,2))</x:f>
      </x:c>
      <x:c r="F376" s="8" t="inlineStr">
        <x:is>
          <x:t xml:space="preserve"/>
        </x:is>
      </x:c>
      <x:c r="G376" s="6" t="inlineStr">
        <x:is>
          <x:t xml:space="preserve"/>
        </x:is>
      </x:c>
      <x:c r="H376" s="7" t="inlineStr">
        <x:is>
          <x:t xml:space="preserve"/>
        </x:is>
      </x:c>
      <x:c r="I376" s="7" t="inlineStr">
        <x:is>
          <x:t xml:space="preserve"/>
        </x:is>
      </x:c>
      <x:c r="J376" s="7" t="inlineStr">
        <x:is>
          <x:t xml:space="preserve"/>
        </x:is>
      </x:c>
      <x:c r="K376" s="6" t="inlineStr">
        <x:is>
          <x:t xml:space="preserve"/>
        </x:is>
      </x:c>
      <x:c r="L376" s="7" t="inlineStr">
        <x:is>
          <x:t xml:space="preserve"/>
        </x:is>
      </x:c>
      <x:c r="M376" s="6" t="inlineStr">
        <x:is>
          <x:t xml:space="preserve"/>
        </x:is>
      </x:c>
      <x:c r="N376" s="6" t="inlineStr">
        <x:is>
          <x:t xml:space="preserve"/>
        </x:is>
      </x:c>
    </x:row>
    <x:row r="377">
      <x:c r="A377" s="7">
        <x:f>IF(B377="","", "T-"&amp;TEXT(ROW()-1,"00000"))</x:f>
      </x:c>
      <x:c r="B377" s="7" t="inlineStr">
        <x:is>
          <x:t xml:space="preserve"/>
        </x:is>
      </x:c>
      <x:c r="C377" s="7" t="inlineStr">
        <x:is>
          <x:t xml:space="preserve"/>
        </x:is>
      </x:c>
      <x:c r="D377" s="7">
        <x:f>IF(B377="","",VALUE(MID(B377,2,4)))</x:f>
      </x:c>
      <x:c r="E377" s="7">
        <x:f>IF(B377="","",MID(B377,6,2))</x:f>
      </x:c>
      <x:c r="F377" s="8" t="inlineStr">
        <x:is>
          <x:t xml:space="preserve"/>
        </x:is>
      </x:c>
      <x:c r="G377" s="6" t="inlineStr">
        <x:is>
          <x:t xml:space="preserve"/>
        </x:is>
      </x:c>
      <x:c r="H377" s="7" t="inlineStr">
        <x:is>
          <x:t xml:space="preserve"/>
        </x:is>
      </x:c>
      <x:c r="I377" s="7" t="inlineStr">
        <x:is>
          <x:t xml:space="preserve"/>
        </x:is>
      </x:c>
      <x:c r="J377" s="7" t="inlineStr">
        <x:is>
          <x:t xml:space="preserve"/>
        </x:is>
      </x:c>
      <x:c r="K377" s="6" t="inlineStr">
        <x:is>
          <x:t xml:space="preserve"/>
        </x:is>
      </x:c>
      <x:c r="L377" s="7" t="inlineStr">
        <x:is>
          <x:t xml:space="preserve"/>
        </x:is>
      </x:c>
      <x:c r="M377" s="6" t="inlineStr">
        <x:is>
          <x:t xml:space="preserve"/>
        </x:is>
      </x:c>
      <x:c r="N377" s="6" t="inlineStr">
        <x:is>
          <x:t xml:space="preserve"/>
        </x:is>
      </x:c>
    </x:row>
    <x:row r="378">
      <x:c r="A378" s="7">
        <x:f>IF(B378="","", "T-"&amp;TEXT(ROW()-1,"00000"))</x:f>
      </x:c>
      <x:c r="B378" s="7" t="inlineStr">
        <x:is>
          <x:t xml:space="preserve"/>
        </x:is>
      </x:c>
      <x:c r="C378" s="7" t="inlineStr">
        <x:is>
          <x:t xml:space="preserve"/>
        </x:is>
      </x:c>
      <x:c r="D378" s="7">
        <x:f>IF(B378="","",VALUE(MID(B378,2,4)))</x:f>
      </x:c>
      <x:c r="E378" s="7">
        <x:f>IF(B378="","",MID(B378,6,2))</x:f>
      </x:c>
      <x:c r="F378" s="8" t="inlineStr">
        <x:is>
          <x:t xml:space="preserve"/>
        </x:is>
      </x:c>
      <x:c r="G378" s="6" t="inlineStr">
        <x:is>
          <x:t xml:space="preserve"/>
        </x:is>
      </x:c>
      <x:c r="H378" s="7" t="inlineStr">
        <x:is>
          <x:t xml:space="preserve"/>
        </x:is>
      </x:c>
      <x:c r="I378" s="7" t="inlineStr">
        <x:is>
          <x:t xml:space="preserve"/>
        </x:is>
      </x:c>
      <x:c r="J378" s="7" t="inlineStr">
        <x:is>
          <x:t xml:space="preserve"/>
        </x:is>
      </x:c>
      <x:c r="K378" s="6" t="inlineStr">
        <x:is>
          <x:t xml:space="preserve"/>
        </x:is>
      </x:c>
      <x:c r="L378" s="7" t="inlineStr">
        <x:is>
          <x:t xml:space="preserve"/>
        </x:is>
      </x:c>
      <x:c r="M378" s="6" t="inlineStr">
        <x:is>
          <x:t xml:space="preserve"/>
        </x:is>
      </x:c>
      <x:c r="N378" s="6" t="inlineStr">
        <x:is>
          <x:t xml:space="preserve"/>
        </x:is>
      </x:c>
    </x:row>
    <x:row r="379">
      <x:c r="A379" s="7">
        <x:f>IF(B379="","", "T-"&amp;TEXT(ROW()-1,"00000"))</x:f>
      </x:c>
      <x:c r="B379" s="7" t="inlineStr">
        <x:is>
          <x:t xml:space="preserve"/>
        </x:is>
      </x:c>
      <x:c r="C379" s="7" t="inlineStr">
        <x:is>
          <x:t xml:space="preserve"/>
        </x:is>
      </x:c>
      <x:c r="D379" s="7">
        <x:f>IF(B379="","",VALUE(MID(B379,2,4)))</x:f>
      </x:c>
      <x:c r="E379" s="7">
        <x:f>IF(B379="","",MID(B379,6,2))</x:f>
      </x:c>
      <x:c r="F379" s="8" t="inlineStr">
        <x:is>
          <x:t xml:space="preserve"/>
        </x:is>
      </x:c>
      <x:c r="G379" s="6" t="inlineStr">
        <x:is>
          <x:t xml:space="preserve"/>
        </x:is>
      </x:c>
      <x:c r="H379" s="7" t="inlineStr">
        <x:is>
          <x:t xml:space="preserve"/>
        </x:is>
      </x:c>
      <x:c r="I379" s="7" t="inlineStr">
        <x:is>
          <x:t xml:space="preserve"/>
        </x:is>
      </x:c>
      <x:c r="J379" s="7" t="inlineStr">
        <x:is>
          <x:t xml:space="preserve"/>
        </x:is>
      </x:c>
      <x:c r="K379" s="6" t="inlineStr">
        <x:is>
          <x:t xml:space="preserve"/>
        </x:is>
      </x:c>
      <x:c r="L379" s="7" t="inlineStr">
        <x:is>
          <x:t xml:space="preserve"/>
        </x:is>
      </x:c>
      <x:c r="M379" s="6" t="inlineStr">
        <x:is>
          <x:t xml:space="preserve"/>
        </x:is>
      </x:c>
      <x:c r="N379" s="6" t="inlineStr">
        <x:is>
          <x:t xml:space="preserve"/>
        </x:is>
      </x:c>
    </x:row>
    <x:row r="380">
      <x:c r="A380" s="7">
        <x:f>IF(B380="","", "T-"&amp;TEXT(ROW()-1,"00000"))</x:f>
      </x:c>
      <x:c r="B380" s="7" t="inlineStr">
        <x:is>
          <x:t xml:space="preserve"/>
        </x:is>
      </x:c>
      <x:c r="C380" s="7" t="inlineStr">
        <x:is>
          <x:t xml:space="preserve"/>
        </x:is>
      </x:c>
      <x:c r="D380" s="7">
        <x:f>IF(B380="","",VALUE(MID(B380,2,4)))</x:f>
      </x:c>
      <x:c r="E380" s="7">
        <x:f>IF(B380="","",MID(B380,6,2))</x:f>
      </x:c>
      <x:c r="F380" s="8" t="inlineStr">
        <x:is>
          <x:t xml:space="preserve"/>
        </x:is>
      </x:c>
      <x:c r="G380" s="6" t="inlineStr">
        <x:is>
          <x:t xml:space="preserve"/>
        </x:is>
      </x:c>
      <x:c r="H380" s="7" t="inlineStr">
        <x:is>
          <x:t xml:space="preserve"/>
        </x:is>
      </x:c>
      <x:c r="I380" s="7" t="inlineStr">
        <x:is>
          <x:t xml:space="preserve"/>
        </x:is>
      </x:c>
      <x:c r="J380" s="7" t="inlineStr">
        <x:is>
          <x:t xml:space="preserve"/>
        </x:is>
      </x:c>
      <x:c r="K380" s="6" t="inlineStr">
        <x:is>
          <x:t xml:space="preserve"/>
        </x:is>
      </x:c>
      <x:c r="L380" s="7" t="inlineStr">
        <x:is>
          <x:t xml:space="preserve"/>
        </x:is>
      </x:c>
      <x:c r="M380" s="6" t="inlineStr">
        <x:is>
          <x:t xml:space="preserve"/>
        </x:is>
      </x:c>
      <x:c r="N380" s="6" t="inlineStr">
        <x:is>
          <x:t xml:space="preserve"/>
        </x:is>
      </x:c>
    </x:row>
    <x:row r="381">
      <x:c r="A381" s="7">
        <x:f>IF(B381="","", "T-"&amp;TEXT(ROW()-1,"00000"))</x:f>
      </x:c>
      <x:c r="B381" s="7" t="inlineStr">
        <x:is>
          <x:t xml:space="preserve"/>
        </x:is>
      </x:c>
      <x:c r="C381" s="7" t="inlineStr">
        <x:is>
          <x:t xml:space="preserve"/>
        </x:is>
      </x:c>
      <x:c r="D381" s="7">
        <x:f>IF(B381="","",VALUE(MID(B381,2,4)))</x:f>
      </x:c>
      <x:c r="E381" s="7">
        <x:f>IF(B381="","",MID(B381,6,2))</x:f>
      </x:c>
      <x:c r="F381" s="8" t="inlineStr">
        <x:is>
          <x:t xml:space="preserve"/>
        </x:is>
      </x:c>
      <x:c r="G381" s="6" t="inlineStr">
        <x:is>
          <x:t xml:space="preserve"/>
        </x:is>
      </x:c>
      <x:c r="H381" s="7" t="inlineStr">
        <x:is>
          <x:t xml:space="preserve"/>
        </x:is>
      </x:c>
      <x:c r="I381" s="7" t="inlineStr">
        <x:is>
          <x:t xml:space="preserve"/>
        </x:is>
      </x:c>
      <x:c r="J381" s="7" t="inlineStr">
        <x:is>
          <x:t xml:space="preserve"/>
        </x:is>
      </x:c>
      <x:c r="K381" s="6" t="inlineStr">
        <x:is>
          <x:t xml:space="preserve"/>
        </x:is>
      </x:c>
      <x:c r="L381" s="7" t="inlineStr">
        <x:is>
          <x:t xml:space="preserve"/>
        </x:is>
      </x:c>
      <x:c r="M381" s="6" t="inlineStr">
        <x:is>
          <x:t xml:space="preserve"/>
        </x:is>
      </x:c>
      <x:c r="N381" s="6" t="inlineStr">
        <x:is>
          <x:t xml:space="preserve"/>
        </x:is>
      </x:c>
    </x:row>
    <x:row r="382">
      <x:c r="A382" s="7">
        <x:f>IF(B382="","", "T-"&amp;TEXT(ROW()-1,"00000"))</x:f>
      </x:c>
      <x:c r="B382" s="7" t="inlineStr">
        <x:is>
          <x:t xml:space="preserve"/>
        </x:is>
      </x:c>
      <x:c r="C382" s="7" t="inlineStr">
        <x:is>
          <x:t xml:space="preserve"/>
        </x:is>
      </x:c>
      <x:c r="D382" s="7">
        <x:f>IF(B382="","",VALUE(MID(B382,2,4)))</x:f>
      </x:c>
      <x:c r="E382" s="7">
        <x:f>IF(B382="","",MID(B382,6,2))</x:f>
      </x:c>
      <x:c r="F382" s="8" t="inlineStr">
        <x:is>
          <x:t xml:space="preserve"/>
        </x:is>
      </x:c>
      <x:c r="G382" s="6" t="inlineStr">
        <x:is>
          <x:t xml:space="preserve"/>
        </x:is>
      </x:c>
      <x:c r="H382" s="7" t="inlineStr">
        <x:is>
          <x:t xml:space="preserve"/>
        </x:is>
      </x:c>
      <x:c r="I382" s="7" t="inlineStr">
        <x:is>
          <x:t xml:space="preserve"/>
        </x:is>
      </x:c>
      <x:c r="J382" s="7" t="inlineStr">
        <x:is>
          <x:t xml:space="preserve"/>
        </x:is>
      </x:c>
      <x:c r="K382" s="6" t="inlineStr">
        <x:is>
          <x:t xml:space="preserve"/>
        </x:is>
      </x:c>
      <x:c r="L382" s="7" t="inlineStr">
        <x:is>
          <x:t xml:space="preserve"/>
        </x:is>
      </x:c>
      <x:c r="M382" s="6" t="inlineStr">
        <x:is>
          <x:t xml:space="preserve"/>
        </x:is>
      </x:c>
      <x:c r="N382" s="6" t="inlineStr">
        <x:is>
          <x:t xml:space="preserve"/>
        </x:is>
      </x:c>
    </x:row>
    <x:row r="383">
      <x:c r="A383" s="7">
        <x:f>IF(B383="","", "T-"&amp;TEXT(ROW()-1,"00000"))</x:f>
      </x:c>
      <x:c r="B383" s="7" t="inlineStr">
        <x:is>
          <x:t xml:space="preserve"/>
        </x:is>
      </x:c>
      <x:c r="C383" s="7" t="inlineStr">
        <x:is>
          <x:t xml:space="preserve"/>
        </x:is>
      </x:c>
      <x:c r="D383" s="7">
        <x:f>IF(B383="","",VALUE(MID(B383,2,4)))</x:f>
      </x:c>
      <x:c r="E383" s="7">
        <x:f>IF(B383="","",MID(B383,6,2))</x:f>
      </x:c>
      <x:c r="F383" s="8" t="inlineStr">
        <x:is>
          <x:t xml:space="preserve"/>
        </x:is>
      </x:c>
      <x:c r="G383" s="6" t="inlineStr">
        <x:is>
          <x:t xml:space="preserve"/>
        </x:is>
      </x:c>
      <x:c r="H383" s="7" t="inlineStr">
        <x:is>
          <x:t xml:space="preserve"/>
        </x:is>
      </x:c>
      <x:c r="I383" s="7" t="inlineStr">
        <x:is>
          <x:t xml:space="preserve"/>
        </x:is>
      </x:c>
      <x:c r="J383" s="7" t="inlineStr">
        <x:is>
          <x:t xml:space="preserve"/>
        </x:is>
      </x:c>
      <x:c r="K383" s="6" t="inlineStr">
        <x:is>
          <x:t xml:space="preserve"/>
        </x:is>
      </x:c>
      <x:c r="L383" s="7" t="inlineStr">
        <x:is>
          <x:t xml:space="preserve"/>
        </x:is>
      </x:c>
      <x:c r="M383" s="6" t="inlineStr">
        <x:is>
          <x:t xml:space="preserve"/>
        </x:is>
      </x:c>
      <x:c r="N383" s="6" t="inlineStr">
        <x:is>
          <x:t xml:space="preserve"/>
        </x:is>
      </x:c>
    </x:row>
    <x:row r="384">
      <x:c r="A384" s="7">
        <x:f>IF(B384="","", "T-"&amp;TEXT(ROW()-1,"00000"))</x:f>
      </x:c>
      <x:c r="B384" s="7" t="inlineStr">
        <x:is>
          <x:t xml:space="preserve"/>
        </x:is>
      </x:c>
      <x:c r="C384" s="7" t="inlineStr">
        <x:is>
          <x:t xml:space="preserve"/>
        </x:is>
      </x:c>
      <x:c r="D384" s="7">
        <x:f>IF(B384="","",VALUE(MID(B384,2,4)))</x:f>
      </x:c>
      <x:c r="E384" s="7">
        <x:f>IF(B384="","",MID(B384,6,2))</x:f>
      </x:c>
      <x:c r="F384" s="8" t="inlineStr">
        <x:is>
          <x:t xml:space="preserve"/>
        </x:is>
      </x:c>
      <x:c r="G384" s="6" t="inlineStr">
        <x:is>
          <x:t xml:space="preserve"/>
        </x:is>
      </x:c>
      <x:c r="H384" s="7" t="inlineStr">
        <x:is>
          <x:t xml:space="preserve"/>
        </x:is>
      </x:c>
      <x:c r="I384" s="7" t="inlineStr">
        <x:is>
          <x:t xml:space="preserve"/>
        </x:is>
      </x:c>
      <x:c r="J384" s="7" t="inlineStr">
        <x:is>
          <x:t xml:space="preserve"/>
        </x:is>
      </x:c>
      <x:c r="K384" s="6" t="inlineStr">
        <x:is>
          <x:t xml:space="preserve"/>
        </x:is>
      </x:c>
      <x:c r="L384" s="7" t="inlineStr">
        <x:is>
          <x:t xml:space="preserve"/>
        </x:is>
      </x:c>
      <x:c r="M384" s="6" t="inlineStr">
        <x:is>
          <x:t xml:space="preserve"/>
        </x:is>
      </x:c>
      <x:c r="N384" s="6" t="inlineStr">
        <x:is>
          <x:t xml:space="preserve"/>
        </x:is>
      </x:c>
    </x:row>
    <x:row r="385">
      <x:c r="A385" s="7">
        <x:f>IF(B385="","", "T-"&amp;TEXT(ROW()-1,"00000"))</x:f>
      </x:c>
      <x:c r="B385" s="7" t="inlineStr">
        <x:is>
          <x:t xml:space="preserve"/>
        </x:is>
      </x:c>
      <x:c r="C385" s="7" t="inlineStr">
        <x:is>
          <x:t xml:space="preserve"/>
        </x:is>
      </x:c>
      <x:c r="D385" s="7">
        <x:f>IF(B385="","",VALUE(MID(B385,2,4)))</x:f>
      </x:c>
      <x:c r="E385" s="7">
        <x:f>IF(B385="","",MID(B385,6,2))</x:f>
      </x:c>
      <x:c r="F385" s="8" t="inlineStr">
        <x:is>
          <x:t xml:space="preserve"/>
        </x:is>
      </x:c>
      <x:c r="G385" s="6" t="inlineStr">
        <x:is>
          <x:t xml:space="preserve"/>
        </x:is>
      </x:c>
      <x:c r="H385" s="7" t="inlineStr">
        <x:is>
          <x:t xml:space="preserve"/>
        </x:is>
      </x:c>
      <x:c r="I385" s="7" t="inlineStr">
        <x:is>
          <x:t xml:space="preserve"/>
        </x:is>
      </x:c>
      <x:c r="J385" s="7" t="inlineStr">
        <x:is>
          <x:t xml:space="preserve"/>
        </x:is>
      </x:c>
      <x:c r="K385" s="6" t="inlineStr">
        <x:is>
          <x:t xml:space="preserve"/>
        </x:is>
      </x:c>
      <x:c r="L385" s="7" t="inlineStr">
        <x:is>
          <x:t xml:space="preserve"/>
        </x:is>
      </x:c>
      <x:c r="M385" s="6" t="inlineStr">
        <x:is>
          <x:t xml:space="preserve"/>
        </x:is>
      </x:c>
      <x:c r="N385" s="6" t="inlineStr">
        <x:is>
          <x:t xml:space="preserve"/>
        </x:is>
      </x:c>
    </x:row>
    <x:row r="386">
      <x:c r="A386" s="7">
        <x:f>IF(B386="","", "T-"&amp;TEXT(ROW()-1,"00000"))</x:f>
      </x:c>
      <x:c r="B386" s="7" t="inlineStr">
        <x:is>
          <x:t xml:space="preserve"/>
        </x:is>
      </x:c>
      <x:c r="C386" s="7" t="inlineStr">
        <x:is>
          <x:t xml:space="preserve"/>
        </x:is>
      </x:c>
      <x:c r="D386" s="7">
        <x:f>IF(B386="","",VALUE(MID(B386,2,4)))</x:f>
      </x:c>
      <x:c r="E386" s="7">
        <x:f>IF(B386="","",MID(B386,6,2))</x:f>
      </x:c>
      <x:c r="F386" s="8" t="inlineStr">
        <x:is>
          <x:t xml:space="preserve"/>
        </x:is>
      </x:c>
      <x:c r="G386" s="6" t="inlineStr">
        <x:is>
          <x:t xml:space="preserve"/>
        </x:is>
      </x:c>
      <x:c r="H386" s="7" t="inlineStr">
        <x:is>
          <x:t xml:space="preserve"/>
        </x:is>
      </x:c>
      <x:c r="I386" s="7" t="inlineStr">
        <x:is>
          <x:t xml:space="preserve"/>
        </x:is>
      </x:c>
      <x:c r="J386" s="7" t="inlineStr">
        <x:is>
          <x:t xml:space="preserve"/>
        </x:is>
      </x:c>
      <x:c r="K386" s="6" t="inlineStr">
        <x:is>
          <x:t xml:space="preserve"/>
        </x:is>
      </x:c>
      <x:c r="L386" s="7" t="inlineStr">
        <x:is>
          <x:t xml:space="preserve"/>
        </x:is>
      </x:c>
      <x:c r="M386" s="6" t="inlineStr">
        <x:is>
          <x:t xml:space="preserve"/>
        </x:is>
      </x:c>
      <x:c r="N386" s="6" t="inlineStr">
        <x:is>
          <x:t xml:space="preserve"/>
        </x:is>
      </x:c>
    </x:row>
    <x:row r="387">
      <x:c r="A387" s="7">
        <x:f>IF(B387="","", "T-"&amp;TEXT(ROW()-1,"00000"))</x:f>
      </x:c>
      <x:c r="B387" s="7" t="inlineStr">
        <x:is>
          <x:t xml:space="preserve"/>
        </x:is>
      </x:c>
      <x:c r="C387" s="7" t="inlineStr">
        <x:is>
          <x:t xml:space="preserve"/>
        </x:is>
      </x:c>
      <x:c r="D387" s="7">
        <x:f>IF(B387="","",VALUE(MID(B387,2,4)))</x:f>
      </x:c>
      <x:c r="E387" s="7">
        <x:f>IF(B387="","",MID(B387,6,2))</x:f>
      </x:c>
      <x:c r="F387" s="8" t="inlineStr">
        <x:is>
          <x:t xml:space="preserve"/>
        </x:is>
      </x:c>
      <x:c r="G387" s="6" t="inlineStr">
        <x:is>
          <x:t xml:space="preserve"/>
        </x:is>
      </x:c>
      <x:c r="H387" s="7" t="inlineStr">
        <x:is>
          <x:t xml:space="preserve"/>
        </x:is>
      </x:c>
      <x:c r="I387" s="7" t="inlineStr">
        <x:is>
          <x:t xml:space="preserve"/>
        </x:is>
      </x:c>
      <x:c r="J387" s="7" t="inlineStr">
        <x:is>
          <x:t xml:space="preserve"/>
        </x:is>
      </x:c>
      <x:c r="K387" s="6" t="inlineStr">
        <x:is>
          <x:t xml:space="preserve"/>
        </x:is>
      </x:c>
      <x:c r="L387" s="7" t="inlineStr">
        <x:is>
          <x:t xml:space="preserve"/>
        </x:is>
      </x:c>
      <x:c r="M387" s="6" t="inlineStr">
        <x:is>
          <x:t xml:space="preserve"/>
        </x:is>
      </x:c>
      <x:c r="N387" s="6" t="inlineStr">
        <x:is>
          <x:t xml:space="preserve"/>
        </x:is>
      </x:c>
    </x:row>
    <x:row r="388">
      <x:c r="A388" s="7">
        <x:f>IF(B388="","", "T-"&amp;TEXT(ROW()-1,"00000"))</x:f>
      </x:c>
      <x:c r="B388" s="7" t="inlineStr">
        <x:is>
          <x:t xml:space="preserve"/>
        </x:is>
      </x:c>
      <x:c r="C388" s="7" t="inlineStr">
        <x:is>
          <x:t xml:space="preserve"/>
        </x:is>
      </x:c>
      <x:c r="D388" s="7">
        <x:f>IF(B388="","",VALUE(MID(B388,2,4)))</x:f>
      </x:c>
      <x:c r="E388" s="7">
        <x:f>IF(B388="","",MID(B388,6,2))</x:f>
      </x:c>
      <x:c r="F388" s="8" t="inlineStr">
        <x:is>
          <x:t xml:space="preserve"/>
        </x:is>
      </x:c>
      <x:c r="G388" s="6" t="inlineStr">
        <x:is>
          <x:t xml:space="preserve"/>
        </x:is>
      </x:c>
      <x:c r="H388" s="7" t="inlineStr">
        <x:is>
          <x:t xml:space="preserve"/>
        </x:is>
      </x:c>
      <x:c r="I388" s="7" t="inlineStr">
        <x:is>
          <x:t xml:space="preserve"/>
        </x:is>
      </x:c>
      <x:c r="J388" s="7" t="inlineStr">
        <x:is>
          <x:t xml:space="preserve"/>
        </x:is>
      </x:c>
      <x:c r="K388" s="6" t="inlineStr">
        <x:is>
          <x:t xml:space="preserve"/>
        </x:is>
      </x:c>
      <x:c r="L388" s="7" t="inlineStr">
        <x:is>
          <x:t xml:space="preserve"/>
        </x:is>
      </x:c>
      <x:c r="M388" s="6" t="inlineStr">
        <x:is>
          <x:t xml:space="preserve"/>
        </x:is>
      </x:c>
      <x:c r="N388" s="6" t="inlineStr">
        <x:is>
          <x:t xml:space="preserve"/>
        </x:is>
      </x:c>
    </x:row>
    <x:row r="389">
      <x:c r="A389" s="7">
        <x:f>IF(B389="","", "T-"&amp;TEXT(ROW()-1,"00000"))</x:f>
      </x:c>
      <x:c r="B389" s="7" t="inlineStr">
        <x:is>
          <x:t xml:space="preserve"/>
        </x:is>
      </x:c>
      <x:c r="C389" s="7" t="inlineStr">
        <x:is>
          <x:t xml:space="preserve"/>
        </x:is>
      </x:c>
      <x:c r="D389" s="7">
        <x:f>IF(B389="","",VALUE(MID(B389,2,4)))</x:f>
      </x:c>
      <x:c r="E389" s="7">
        <x:f>IF(B389="","",MID(B389,6,2))</x:f>
      </x:c>
      <x:c r="F389" s="8" t="inlineStr">
        <x:is>
          <x:t xml:space="preserve"/>
        </x:is>
      </x:c>
      <x:c r="G389" s="6" t="inlineStr">
        <x:is>
          <x:t xml:space="preserve"/>
        </x:is>
      </x:c>
      <x:c r="H389" s="7" t="inlineStr">
        <x:is>
          <x:t xml:space="preserve"/>
        </x:is>
      </x:c>
      <x:c r="I389" s="7" t="inlineStr">
        <x:is>
          <x:t xml:space="preserve"/>
        </x:is>
      </x:c>
      <x:c r="J389" s="7" t="inlineStr">
        <x:is>
          <x:t xml:space="preserve"/>
        </x:is>
      </x:c>
      <x:c r="K389" s="6" t="inlineStr">
        <x:is>
          <x:t xml:space="preserve"/>
        </x:is>
      </x:c>
      <x:c r="L389" s="7" t="inlineStr">
        <x:is>
          <x:t xml:space="preserve"/>
        </x:is>
      </x:c>
      <x:c r="M389" s="6" t="inlineStr">
        <x:is>
          <x:t xml:space="preserve"/>
        </x:is>
      </x:c>
      <x:c r="N389" s="6" t="inlineStr">
        <x:is>
          <x:t xml:space="preserve"/>
        </x:is>
      </x:c>
    </x:row>
    <x:row r="390">
      <x:c r="A390" s="7">
        <x:f>IF(B390="","", "T-"&amp;TEXT(ROW()-1,"00000"))</x:f>
      </x:c>
      <x:c r="B390" s="7" t="inlineStr">
        <x:is>
          <x:t xml:space="preserve"/>
        </x:is>
      </x:c>
      <x:c r="C390" s="7" t="inlineStr">
        <x:is>
          <x:t xml:space="preserve"/>
        </x:is>
      </x:c>
      <x:c r="D390" s="7">
        <x:f>IF(B390="","",VALUE(MID(B390,2,4)))</x:f>
      </x:c>
      <x:c r="E390" s="7">
        <x:f>IF(B390="","",MID(B390,6,2))</x:f>
      </x:c>
      <x:c r="F390" s="8" t="inlineStr">
        <x:is>
          <x:t xml:space="preserve"/>
        </x:is>
      </x:c>
      <x:c r="G390" s="6" t="inlineStr">
        <x:is>
          <x:t xml:space="preserve"/>
        </x:is>
      </x:c>
      <x:c r="H390" s="7" t="inlineStr">
        <x:is>
          <x:t xml:space="preserve"/>
        </x:is>
      </x:c>
      <x:c r="I390" s="7" t="inlineStr">
        <x:is>
          <x:t xml:space="preserve"/>
        </x:is>
      </x:c>
      <x:c r="J390" s="7" t="inlineStr">
        <x:is>
          <x:t xml:space="preserve"/>
        </x:is>
      </x:c>
      <x:c r="K390" s="6" t="inlineStr">
        <x:is>
          <x:t xml:space="preserve"/>
        </x:is>
      </x:c>
      <x:c r="L390" s="7" t="inlineStr">
        <x:is>
          <x:t xml:space="preserve"/>
        </x:is>
      </x:c>
      <x:c r="M390" s="6" t="inlineStr">
        <x:is>
          <x:t xml:space="preserve"/>
        </x:is>
      </x:c>
      <x:c r="N390" s="6" t="inlineStr">
        <x:is>
          <x:t xml:space="preserve"/>
        </x:is>
      </x:c>
    </x:row>
    <x:row r="391">
      <x:c r="A391" s="7">
        <x:f>IF(B391="","", "T-"&amp;TEXT(ROW()-1,"00000"))</x:f>
      </x:c>
      <x:c r="B391" s="7" t="inlineStr">
        <x:is>
          <x:t xml:space="preserve"/>
        </x:is>
      </x:c>
      <x:c r="C391" s="7" t="inlineStr">
        <x:is>
          <x:t xml:space="preserve"/>
        </x:is>
      </x:c>
      <x:c r="D391" s="7">
        <x:f>IF(B391="","",VALUE(MID(B391,2,4)))</x:f>
      </x:c>
      <x:c r="E391" s="7">
        <x:f>IF(B391="","",MID(B391,6,2))</x:f>
      </x:c>
      <x:c r="F391" s="8" t="inlineStr">
        <x:is>
          <x:t xml:space="preserve"/>
        </x:is>
      </x:c>
      <x:c r="G391" s="6" t="inlineStr">
        <x:is>
          <x:t xml:space="preserve"/>
        </x:is>
      </x:c>
      <x:c r="H391" s="7" t="inlineStr">
        <x:is>
          <x:t xml:space="preserve"/>
        </x:is>
      </x:c>
      <x:c r="I391" s="7" t="inlineStr">
        <x:is>
          <x:t xml:space="preserve"/>
        </x:is>
      </x:c>
      <x:c r="J391" s="7" t="inlineStr">
        <x:is>
          <x:t xml:space="preserve"/>
        </x:is>
      </x:c>
      <x:c r="K391" s="6" t="inlineStr">
        <x:is>
          <x:t xml:space="preserve"/>
        </x:is>
      </x:c>
      <x:c r="L391" s="7" t="inlineStr">
        <x:is>
          <x:t xml:space="preserve"/>
        </x:is>
      </x:c>
      <x:c r="M391" s="6" t="inlineStr">
        <x:is>
          <x:t xml:space="preserve"/>
        </x:is>
      </x:c>
      <x:c r="N391" s="6" t="inlineStr">
        <x:is>
          <x:t xml:space="preserve"/>
        </x:is>
      </x:c>
    </x:row>
    <x:row r="392">
      <x:c r="A392" s="7">
        <x:f>IF(B392="","", "T-"&amp;TEXT(ROW()-1,"00000"))</x:f>
      </x:c>
      <x:c r="B392" s="7" t="inlineStr">
        <x:is>
          <x:t xml:space="preserve"/>
        </x:is>
      </x:c>
      <x:c r="C392" s="7" t="inlineStr">
        <x:is>
          <x:t xml:space="preserve"/>
        </x:is>
      </x:c>
      <x:c r="D392" s="7">
        <x:f>IF(B392="","",VALUE(MID(B392,2,4)))</x:f>
      </x:c>
      <x:c r="E392" s="7">
        <x:f>IF(B392="","",MID(B392,6,2))</x:f>
      </x:c>
      <x:c r="F392" s="8" t="inlineStr">
        <x:is>
          <x:t xml:space="preserve"/>
        </x:is>
      </x:c>
      <x:c r="G392" s="6" t="inlineStr">
        <x:is>
          <x:t xml:space="preserve"/>
        </x:is>
      </x:c>
      <x:c r="H392" s="7" t="inlineStr">
        <x:is>
          <x:t xml:space="preserve"/>
        </x:is>
      </x:c>
      <x:c r="I392" s="7" t="inlineStr">
        <x:is>
          <x:t xml:space="preserve"/>
        </x:is>
      </x:c>
      <x:c r="J392" s="7" t="inlineStr">
        <x:is>
          <x:t xml:space="preserve"/>
        </x:is>
      </x:c>
      <x:c r="K392" s="6" t="inlineStr">
        <x:is>
          <x:t xml:space="preserve"/>
        </x:is>
      </x:c>
      <x:c r="L392" s="7" t="inlineStr">
        <x:is>
          <x:t xml:space="preserve"/>
        </x:is>
      </x:c>
      <x:c r="M392" s="6" t="inlineStr">
        <x:is>
          <x:t xml:space="preserve"/>
        </x:is>
      </x:c>
      <x:c r="N392" s="6" t="inlineStr">
        <x:is>
          <x:t xml:space="preserve"/>
        </x:is>
      </x:c>
    </x:row>
    <x:row r="393">
      <x:c r="A393" s="7">
        <x:f>IF(B393="","", "T-"&amp;TEXT(ROW()-1,"00000"))</x:f>
      </x:c>
      <x:c r="B393" s="7" t="inlineStr">
        <x:is>
          <x:t xml:space="preserve"/>
        </x:is>
      </x:c>
      <x:c r="C393" s="7" t="inlineStr">
        <x:is>
          <x:t xml:space="preserve"/>
        </x:is>
      </x:c>
      <x:c r="D393" s="7">
        <x:f>IF(B393="","",VALUE(MID(B393,2,4)))</x:f>
      </x:c>
      <x:c r="E393" s="7">
        <x:f>IF(B393="","",MID(B393,6,2))</x:f>
      </x:c>
      <x:c r="F393" s="8" t="inlineStr">
        <x:is>
          <x:t xml:space="preserve"/>
        </x:is>
      </x:c>
      <x:c r="G393" s="6" t="inlineStr">
        <x:is>
          <x:t xml:space="preserve"/>
        </x:is>
      </x:c>
      <x:c r="H393" s="7" t="inlineStr">
        <x:is>
          <x:t xml:space="preserve"/>
        </x:is>
      </x:c>
      <x:c r="I393" s="7" t="inlineStr">
        <x:is>
          <x:t xml:space="preserve"/>
        </x:is>
      </x:c>
      <x:c r="J393" s="7" t="inlineStr">
        <x:is>
          <x:t xml:space="preserve"/>
        </x:is>
      </x:c>
      <x:c r="K393" s="6" t="inlineStr">
        <x:is>
          <x:t xml:space="preserve"/>
        </x:is>
      </x:c>
      <x:c r="L393" s="7" t="inlineStr">
        <x:is>
          <x:t xml:space="preserve"/>
        </x:is>
      </x:c>
      <x:c r="M393" s="6" t="inlineStr">
        <x:is>
          <x:t xml:space="preserve"/>
        </x:is>
      </x:c>
      <x:c r="N393" s="6" t="inlineStr">
        <x:is>
          <x:t xml:space="preserve"/>
        </x:is>
      </x:c>
    </x:row>
    <x:row r="394">
      <x:c r="A394" s="7">
        <x:f>IF(B394="","", "T-"&amp;TEXT(ROW()-1,"00000"))</x:f>
      </x:c>
      <x:c r="B394" s="7" t="inlineStr">
        <x:is>
          <x:t xml:space="preserve"/>
        </x:is>
      </x:c>
      <x:c r="C394" s="7" t="inlineStr">
        <x:is>
          <x:t xml:space="preserve"/>
        </x:is>
      </x:c>
      <x:c r="D394" s="7">
        <x:f>IF(B394="","",VALUE(MID(B394,2,4)))</x:f>
      </x:c>
      <x:c r="E394" s="7">
        <x:f>IF(B394="","",MID(B394,6,2))</x:f>
      </x:c>
      <x:c r="F394" s="8" t="inlineStr">
        <x:is>
          <x:t xml:space="preserve"/>
        </x:is>
      </x:c>
      <x:c r="G394" s="6" t="inlineStr">
        <x:is>
          <x:t xml:space="preserve"/>
        </x:is>
      </x:c>
      <x:c r="H394" s="7" t="inlineStr">
        <x:is>
          <x:t xml:space="preserve"/>
        </x:is>
      </x:c>
      <x:c r="I394" s="7" t="inlineStr">
        <x:is>
          <x:t xml:space="preserve"/>
        </x:is>
      </x:c>
      <x:c r="J394" s="7" t="inlineStr">
        <x:is>
          <x:t xml:space="preserve"/>
        </x:is>
      </x:c>
      <x:c r="K394" s="6" t="inlineStr">
        <x:is>
          <x:t xml:space="preserve"/>
        </x:is>
      </x:c>
      <x:c r="L394" s="7" t="inlineStr">
        <x:is>
          <x:t xml:space="preserve"/>
        </x:is>
      </x:c>
      <x:c r="M394" s="6" t="inlineStr">
        <x:is>
          <x:t xml:space="preserve"/>
        </x:is>
      </x:c>
      <x:c r="N394" s="6" t="inlineStr">
        <x:is>
          <x:t xml:space="preserve"/>
        </x:is>
      </x:c>
    </x:row>
    <x:row r="395">
      <x:c r="A395" s="7">
        <x:f>IF(B395="","", "T-"&amp;TEXT(ROW()-1,"00000"))</x:f>
      </x:c>
      <x:c r="B395" s="7" t="inlineStr">
        <x:is>
          <x:t xml:space="preserve"/>
        </x:is>
      </x:c>
      <x:c r="C395" s="7" t="inlineStr">
        <x:is>
          <x:t xml:space="preserve"/>
        </x:is>
      </x:c>
      <x:c r="D395" s="7">
        <x:f>IF(B395="","",VALUE(MID(B395,2,4)))</x:f>
      </x:c>
      <x:c r="E395" s="7">
        <x:f>IF(B395="","",MID(B395,6,2))</x:f>
      </x:c>
      <x:c r="F395" s="8" t="inlineStr">
        <x:is>
          <x:t xml:space="preserve"/>
        </x:is>
      </x:c>
      <x:c r="G395" s="6" t="inlineStr">
        <x:is>
          <x:t xml:space="preserve"/>
        </x:is>
      </x:c>
      <x:c r="H395" s="7" t="inlineStr">
        <x:is>
          <x:t xml:space="preserve"/>
        </x:is>
      </x:c>
      <x:c r="I395" s="7" t="inlineStr">
        <x:is>
          <x:t xml:space="preserve"/>
        </x:is>
      </x:c>
      <x:c r="J395" s="7" t="inlineStr">
        <x:is>
          <x:t xml:space="preserve"/>
        </x:is>
      </x:c>
      <x:c r="K395" s="6" t="inlineStr">
        <x:is>
          <x:t xml:space="preserve"/>
        </x:is>
      </x:c>
      <x:c r="L395" s="7" t="inlineStr">
        <x:is>
          <x:t xml:space="preserve"/>
        </x:is>
      </x:c>
      <x:c r="M395" s="6" t="inlineStr">
        <x:is>
          <x:t xml:space="preserve"/>
        </x:is>
      </x:c>
      <x:c r="N395" s="6" t="inlineStr">
        <x:is>
          <x:t xml:space="preserve"/>
        </x:is>
      </x:c>
    </x:row>
    <x:row r="396">
      <x:c r="A396" s="7">
        <x:f>IF(B396="","", "T-"&amp;TEXT(ROW()-1,"00000"))</x:f>
      </x:c>
      <x:c r="B396" s="7" t="inlineStr">
        <x:is>
          <x:t xml:space="preserve"/>
        </x:is>
      </x:c>
      <x:c r="C396" s="7" t="inlineStr">
        <x:is>
          <x:t xml:space="preserve"/>
        </x:is>
      </x:c>
      <x:c r="D396" s="7">
        <x:f>IF(B396="","",VALUE(MID(B396,2,4)))</x:f>
      </x:c>
      <x:c r="E396" s="7">
        <x:f>IF(B396="","",MID(B396,6,2))</x:f>
      </x:c>
      <x:c r="F396" s="8" t="inlineStr">
        <x:is>
          <x:t xml:space="preserve"/>
        </x:is>
      </x:c>
      <x:c r="G396" s="6" t="inlineStr">
        <x:is>
          <x:t xml:space="preserve"/>
        </x:is>
      </x:c>
      <x:c r="H396" s="7" t="inlineStr">
        <x:is>
          <x:t xml:space="preserve"/>
        </x:is>
      </x:c>
      <x:c r="I396" s="7" t="inlineStr">
        <x:is>
          <x:t xml:space="preserve"/>
        </x:is>
      </x:c>
      <x:c r="J396" s="7" t="inlineStr">
        <x:is>
          <x:t xml:space="preserve"/>
        </x:is>
      </x:c>
      <x:c r="K396" s="6" t="inlineStr">
        <x:is>
          <x:t xml:space="preserve"/>
        </x:is>
      </x:c>
      <x:c r="L396" s="7" t="inlineStr">
        <x:is>
          <x:t xml:space="preserve"/>
        </x:is>
      </x:c>
      <x:c r="M396" s="6" t="inlineStr">
        <x:is>
          <x:t xml:space="preserve"/>
        </x:is>
      </x:c>
      <x:c r="N396" s="6" t="inlineStr">
        <x:is>
          <x:t xml:space="preserve"/>
        </x:is>
      </x:c>
    </x:row>
    <x:row r="397">
      <x:c r="A397" s="7">
        <x:f>IF(B397="","", "T-"&amp;TEXT(ROW()-1,"00000"))</x:f>
      </x:c>
      <x:c r="B397" s="7" t="inlineStr">
        <x:is>
          <x:t xml:space="preserve"/>
        </x:is>
      </x:c>
      <x:c r="C397" s="7" t="inlineStr">
        <x:is>
          <x:t xml:space="preserve"/>
        </x:is>
      </x:c>
      <x:c r="D397" s="7">
        <x:f>IF(B397="","",VALUE(MID(B397,2,4)))</x:f>
      </x:c>
      <x:c r="E397" s="7">
        <x:f>IF(B397="","",MID(B397,6,2))</x:f>
      </x:c>
      <x:c r="F397" s="8" t="inlineStr">
        <x:is>
          <x:t xml:space="preserve"/>
        </x:is>
      </x:c>
      <x:c r="G397" s="6" t="inlineStr">
        <x:is>
          <x:t xml:space="preserve"/>
        </x:is>
      </x:c>
      <x:c r="H397" s="7" t="inlineStr">
        <x:is>
          <x:t xml:space="preserve"/>
        </x:is>
      </x:c>
      <x:c r="I397" s="7" t="inlineStr">
        <x:is>
          <x:t xml:space="preserve"/>
        </x:is>
      </x:c>
      <x:c r="J397" s="7" t="inlineStr">
        <x:is>
          <x:t xml:space="preserve"/>
        </x:is>
      </x:c>
      <x:c r="K397" s="6" t="inlineStr">
        <x:is>
          <x:t xml:space="preserve"/>
        </x:is>
      </x:c>
      <x:c r="L397" s="7" t="inlineStr">
        <x:is>
          <x:t xml:space="preserve"/>
        </x:is>
      </x:c>
      <x:c r="M397" s="6" t="inlineStr">
        <x:is>
          <x:t xml:space="preserve"/>
        </x:is>
      </x:c>
      <x:c r="N397" s="6" t="inlineStr">
        <x:is>
          <x:t xml:space="preserve"/>
        </x:is>
      </x:c>
    </x:row>
    <x:row r="398">
      <x:c r="A398" s="7">
        <x:f>IF(B398="","", "T-"&amp;TEXT(ROW()-1,"00000"))</x:f>
      </x:c>
      <x:c r="B398" s="7" t="inlineStr">
        <x:is>
          <x:t xml:space="preserve"/>
        </x:is>
      </x:c>
      <x:c r="C398" s="7" t="inlineStr">
        <x:is>
          <x:t xml:space="preserve"/>
        </x:is>
      </x:c>
      <x:c r="D398" s="7">
        <x:f>IF(B398="","",VALUE(MID(B398,2,4)))</x:f>
      </x:c>
      <x:c r="E398" s="7">
        <x:f>IF(B398="","",MID(B398,6,2))</x:f>
      </x:c>
      <x:c r="F398" s="8" t="inlineStr">
        <x:is>
          <x:t xml:space="preserve"/>
        </x:is>
      </x:c>
      <x:c r="G398" s="6" t="inlineStr">
        <x:is>
          <x:t xml:space="preserve"/>
        </x:is>
      </x:c>
      <x:c r="H398" s="7" t="inlineStr">
        <x:is>
          <x:t xml:space="preserve"/>
        </x:is>
      </x:c>
      <x:c r="I398" s="7" t="inlineStr">
        <x:is>
          <x:t xml:space="preserve"/>
        </x:is>
      </x:c>
      <x:c r="J398" s="7" t="inlineStr">
        <x:is>
          <x:t xml:space="preserve"/>
        </x:is>
      </x:c>
      <x:c r="K398" s="6" t="inlineStr">
        <x:is>
          <x:t xml:space="preserve"/>
        </x:is>
      </x:c>
      <x:c r="L398" s="7" t="inlineStr">
        <x:is>
          <x:t xml:space="preserve"/>
        </x:is>
      </x:c>
      <x:c r="M398" s="6" t="inlineStr">
        <x:is>
          <x:t xml:space="preserve"/>
        </x:is>
      </x:c>
      <x:c r="N398" s="6" t="inlineStr">
        <x:is>
          <x:t xml:space="preserve"/>
        </x:is>
      </x:c>
    </x:row>
    <x:row r="399">
      <x:c r="A399" s="7">
        <x:f>IF(B399="","", "T-"&amp;TEXT(ROW()-1,"00000"))</x:f>
      </x:c>
      <x:c r="B399" s="7" t="inlineStr">
        <x:is>
          <x:t xml:space="preserve"/>
        </x:is>
      </x:c>
      <x:c r="C399" s="7" t="inlineStr">
        <x:is>
          <x:t xml:space="preserve"/>
        </x:is>
      </x:c>
      <x:c r="D399" s="7">
        <x:f>IF(B399="","",VALUE(MID(B399,2,4)))</x:f>
      </x:c>
      <x:c r="E399" s="7">
        <x:f>IF(B399="","",MID(B399,6,2))</x:f>
      </x:c>
      <x:c r="F399" s="8" t="inlineStr">
        <x:is>
          <x:t xml:space="preserve"/>
        </x:is>
      </x:c>
      <x:c r="G399" s="6" t="inlineStr">
        <x:is>
          <x:t xml:space="preserve"/>
        </x:is>
      </x:c>
      <x:c r="H399" s="7" t="inlineStr">
        <x:is>
          <x:t xml:space="preserve"/>
        </x:is>
      </x:c>
      <x:c r="I399" s="7" t="inlineStr">
        <x:is>
          <x:t xml:space="preserve"/>
        </x:is>
      </x:c>
      <x:c r="J399" s="7" t="inlineStr">
        <x:is>
          <x:t xml:space="preserve"/>
        </x:is>
      </x:c>
      <x:c r="K399" s="6" t="inlineStr">
        <x:is>
          <x:t xml:space="preserve"/>
        </x:is>
      </x:c>
      <x:c r="L399" s="7" t="inlineStr">
        <x:is>
          <x:t xml:space="preserve"/>
        </x:is>
      </x:c>
      <x:c r="M399" s="6" t="inlineStr">
        <x:is>
          <x:t xml:space="preserve"/>
        </x:is>
      </x:c>
      <x:c r="N399" s="6" t="inlineStr">
        <x:is>
          <x:t xml:space="preserve"/>
        </x:is>
      </x:c>
    </x:row>
    <x:row r="400">
      <x:c r="A400" s="7">
        <x:f>IF(B400="","", "T-"&amp;TEXT(ROW()-1,"00000"))</x:f>
      </x:c>
      <x:c r="B400" s="7" t="inlineStr">
        <x:is>
          <x:t xml:space="preserve"/>
        </x:is>
      </x:c>
      <x:c r="C400" s="7" t="inlineStr">
        <x:is>
          <x:t xml:space="preserve"/>
        </x:is>
      </x:c>
      <x:c r="D400" s="7">
        <x:f>IF(B400="","",VALUE(MID(B400,2,4)))</x:f>
      </x:c>
      <x:c r="E400" s="7">
        <x:f>IF(B400="","",MID(B400,6,2))</x:f>
      </x:c>
      <x:c r="F400" s="8" t="inlineStr">
        <x:is>
          <x:t xml:space="preserve"/>
        </x:is>
      </x:c>
      <x:c r="G400" s="6" t="inlineStr">
        <x:is>
          <x:t xml:space="preserve"/>
        </x:is>
      </x:c>
      <x:c r="H400" s="7" t="inlineStr">
        <x:is>
          <x:t xml:space="preserve"/>
        </x:is>
      </x:c>
      <x:c r="I400" s="7" t="inlineStr">
        <x:is>
          <x:t xml:space="preserve"/>
        </x:is>
      </x:c>
      <x:c r="J400" s="7" t="inlineStr">
        <x:is>
          <x:t xml:space="preserve"/>
        </x:is>
      </x:c>
      <x:c r="K400" s="6" t="inlineStr">
        <x:is>
          <x:t xml:space="preserve"/>
        </x:is>
      </x:c>
      <x:c r="L400" s="7" t="inlineStr">
        <x:is>
          <x:t xml:space="preserve"/>
        </x:is>
      </x:c>
      <x:c r="M400" s="6" t="inlineStr">
        <x:is>
          <x:t xml:space="preserve"/>
        </x:is>
      </x:c>
      <x:c r="N400" s="6" t="inlineStr">
        <x:is>
          <x:t xml:space="preserve"/>
        </x:is>
      </x:c>
    </x:row>
    <x:row r="401">
      <x:c r="A401" s="7">
        <x:f>IF(B401="","", "T-"&amp;TEXT(ROW()-1,"00000"))</x:f>
      </x:c>
      <x:c r="B401" s="7" t="inlineStr">
        <x:is>
          <x:t xml:space="preserve"/>
        </x:is>
      </x:c>
      <x:c r="C401" s="7" t="inlineStr">
        <x:is>
          <x:t xml:space="preserve"/>
        </x:is>
      </x:c>
      <x:c r="D401" s="7">
        <x:f>IF(B401="","",VALUE(MID(B401,2,4)))</x:f>
      </x:c>
      <x:c r="E401" s="7">
        <x:f>IF(B401="","",MID(B401,6,2))</x:f>
      </x:c>
      <x:c r="F401" s="8" t="inlineStr">
        <x:is>
          <x:t xml:space="preserve"/>
        </x:is>
      </x:c>
      <x:c r="G401" s="6" t="inlineStr">
        <x:is>
          <x:t xml:space="preserve"/>
        </x:is>
      </x:c>
      <x:c r="H401" s="7" t="inlineStr">
        <x:is>
          <x:t xml:space="preserve"/>
        </x:is>
      </x:c>
      <x:c r="I401" s="7" t="inlineStr">
        <x:is>
          <x:t xml:space="preserve"/>
        </x:is>
      </x:c>
      <x:c r="J401" s="7" t="inlineStr">
        <x:is>
          <x:t xml:space="preserve"/>
        </x:is>
      </x:c>
      <x:c r="K401" s="6" t="inlineStr">
        <x:is>
          <x:t xml:space="preserve"/>
        </x:is>
      </x:c>
      <x:c r="L401" s="7" t="inlineStr">
        <x:is>
          <x:t xml:space="preserve"/>
        </x:is>
      </x:c>
      <x:c r="M401" s="6" t="inlineStr">
        <x:is>
          <x:t xml:space="preserve"/>
        </x:is>
      </x:c>
      <x:c r="N401" s="6" t="inlineStr">
        <x:is>
          <x:t xml:space="preserve"/>
        </x:is>
      </x:c>
    </x:row>
    <x:row r="402">
      <x:c r="A402" s="7">
        <x:f>IF(B402="","", "T-"&amp;TEXT(ROW()-1,"00000"))</x:f>
      </x:c>
      <x:c r="B402" s="7" t="inlineStr">
        <x:is>
          <x:t xml:space="preserve"/>
        </x:is>
      </x:c>
      <x:c r="C402" s="7" t="inlineStr">
        <x:is>
          <x:t xml:space="preserve"/>
        </x:is>
      </x:c>
      <x:c r="D402" s="7">
        <x:f>IF(B402="","",VALUE(MID(B402,2,4)))</x:f>
      </x:c>
      <x:c r="E402" s="7">
        <x:f>IF(B402="","",MID(B402,6,2))</x:f>
      </x:c>
      <x:c r="F402" s="8" t="inlineStr">
        <x:is>
          <x:t xml:space="preserve"/>
        </x:is>
      </x:c>
      <x:c r="G402" s="6" t="inlineStr">
        <x:is>
          <x:t xml:space="preserve"/>
        </x:is>
      </x:c>
      <x:c r="H402" s="7" t="inlineStr">
        <x:is>
          <x:t xml:space="preserve"/>
        </x:is>
      </x:c>
      <x:c r="I402" s="7" t="inlineStr">
        <x:is>
          <x:t xml:space="preserve"/>
        </x:is>
      </x:c>
      <x:c r="J402" s="7" t="inlineStr">
        <x:is>
          <x:t xml:space="preserve"/>
        </x:is>
      </x:c>
      <x:c r="K402" s="6" t="inlineStr">
        <x:is>
          <x:t xml:space="preserve"/>
        </x:is>
      </x:c>
      <x:c r="L402" s="7" t="inlineStr">
        <x:is>
          <x:t xml:space="preserve"/>
        </x:is>
      </x:c>
      <x:c r="M402" s="6" t="inlineStr">
        <x:is>
          <x:t xml:space="preserve"/>
        </x:is>
      </x:c>
      <x:c r="N402" s="6" t="inlineStr">
        <x:is>
          <x:t xml:space="preserve"/>
        </x:is>
      </x:c>
    </x:row>
    <x:row r="403">
      <x:c r="A403" s="7">
        <x:f>IF(B403="","", "T-"&amp;TEXT(ROW()-1,"00000"))</x:f>
      </x:c>
      <x:c r="B403" s="7" t="inlineStr">
        <x:is>
          <x:t xml:space="preserve"/>
        </x:is>
      </x:c>
      <x:c r="C403" s="7" t="inlineStr">
        <x:is>
          <x:t xml:space="preserve"/>
        </x:is>
      </x:c>
      <x:c r="D403" s="7">
        <x:f>IF(B403="","",VALUE(MID(B403,2,4)))</x:f>
      </x:c>
      <x:c r="E403" s="7">
        <x:f>IF(B403="","",MID(B403,6,2))</x:f>
      </x:c>
      <x:c r="F403" s="8" t="inlineStr">
        <x:is>
          <x:t xml:space="preserve"/>
        </x:is>
      </x:c>
      <x:c r="G403" s="6" t="inlineStr">
        <x:is>
          <x:t xml:space="preserve"/>
        </x:is>
      </x:c>
      <x:c r="H403" s="7" t="inlineStr">
        <x:is>
          <x:t xml:space="preserve"/>
        </x:is>
      </x:c>
      <x:c r="I403" s="7" t="inlineStr">
        <x:is>
          <x:t xml:space="preserve"/>
        </x:is>
      </x:c>
      <x:c r="J403" s="7" t="inlineStr">
        <x:is>
          <x:t xml:space="preserve"/>
        </x:is>
      </x:c>
      <x:c r="K403" s="6" t="inlineStr">
        <x:is>
          <x:t xml:space="preserve"/>
        </x:is>
      </x:c>
      <x:c r="L403" s="7" t="inlineStr">
        <x:is>
          <x:t xml:space="preserve"/>
        </x:is>
      </x:c>
      <x:c r="M403" s="6" t="inlineStr">
        <x:is>
          <x:t xml:space="preserve"/>
        </x:is>
      </x:c>
      <x:c r="N403" s="6" t="inlineStr">
        <x:is>
          <x:t xml:space="preserve"/>
        </x:is>
      </x:c>
    </x:row>
    <x:row r="404">
      <x:c r="A404" s="7">
        <x:f>IF(B404="","", "T-"&amp;TEXT(ROW()-1,"00000"))</x:f>
      </x:c>
      <x:c r="B404" s="7" t="inlineStr">
        <x:is>
          <x:t xml:space="preserve"/>
        </x:is>
      </x:c>
      <x:c r="C404" s="7" t="inlineStr">
        <x:is>
          <x:t xml:space="preserve"/>
        </x:is>
      </x:c>
      <x:c r="D404" s="7">
        <x:f>IF(B404="","",VALUE(MID(B404,2,4)))</x:f>
      </x:c>
      <x:c r="E404" s="7">
        <x:f>IF(B404="","",MID(B404,6,2))</x:f>
      </x:c>
      <x:c r="F404" s="8" t="inlineStr">
        <x:is>
          <x:t xml:space="preserve"/>
        </x:is>
      </x:c>
      <x:c r="G404" s="6" t="inlineStr">
        <x:is>
          <x:t xml:space="preserve"/>
        </x:is>
      </x:c>
      <x:c r="H404" s="7" t="inlineStr">
        <x:is>
          <x:t xml:space="preserve"/>
        </x:is>
      </x:c>
      <x:c r="I404" s="7" t="inlineStr">
        <x:is>
          <x:t xml:space="preserve"/>
        </x:is>
      </x:c>
      <x:c r="J404" s="7" t="inlineStr">
        <x:is>
          <x:t xml:space="preserve"/>
        </x:is>
      </x:c>
      <x:c r="K404" s="6" t="inlineStr">
        <x:is>
          <x:t xml:space="preserve"/>
        </x:is>
      </x:c>
      <x:c r="L404" s="7" t="inlineStr">
        <x:is>
          <x:t xml:space="preserve"/>
        </x:is>
      </x:c>
      <x:c r="M404" s="6" t="inlineStr">
        <x:is>
          <x:t xml:space="preserve"/>
        </x:is>
      </x:c>
      <x:c r="N404" s="6" t="inlineStr">
        <x:is>
          <x:t xml:space="preserve"/>
        </x:is>
      </x:c>
    </x:row>
    <x:row r="405">
      <x:c r="A405" s="7">
        <x:f>IF(B405="","", "T-"&amp;TEXT(ROW()-1,"00000"))</x:f>
      </x:c>
      <x:c r="B405" s="7" t="inlineStr">
        <x:is>
          <x:t xml:space="preserve"/>
        </x:is>
      </x:c>
      <x:c r="C405" s="7" t="inlineStr">
        <x:is>
          <x:t xml:space="preserve"/>
        </x:is>
      </x:c>
      <x:c r="D405" s="7">
        <x:f>IF(B405="","",VALUE(MID(B405,2,4)))</x:f>
      </x:c>
      <x:c r="E405" s="7">
        <x:f>IF(B405="","",MID(B405,6,2))</x:f>
      </x:c>
      <x:c r="F405" s="8" t="inlineStr">
        <x:is>
          <x:t xml:space="preserve"/>
        </x:is>
      </x:c>
      <x:c r="G405" s="6" t="inlineStr">
        <x:is>
          <x:t xml:space="preserve"/>
        </x:is>
      </x:c>
      <x:c r="H405" s="7" t="inlineStr">
        <x:is>
          <x:t xml:space="preserve"/>
        </x:is>
      </x:c>
      <x:c r="I405" s="7" t="inlineStr">
        <x:is>
          <x:t xml:space="preserve"/>
        </x:is>
      </x:c>
      <x:c r="J405" s="7" t="inlineStr">
        <x:is>
          <x:t xml:space="preserve"/>
        </x:is>
      </x:c>
      <x:c r="K405" s="6" t="inlineStr">
        <x:is>
          <x:t xml:space="preserve"/>
        </x:is>
      </x:c>
      <x:c r="L405" s="7" t="inlineStr">
        <x:is>
          <x:t xml:space="preserve"/>
        </x:is>
      </x:c>
      <x:c r="M405" s="6" t="inlineStr">
        <x:is>
          <x:t xml:space="preserve"/>
        </x:is>
      </x:c>
      <x:c r="N405" s="6" t="inlineStr">
        <x:is>
          <x:t xml:space="preserve"/>
        </x:is>
      </x:c>
    </x:row>
    <x:row r="406">
      <x:c r="A406" s="7">
        <x:f>IF(B406="","", "T-"&amp;TEXT(ROW()-1,"00000"))</x:f>
      </x:c>
      <x:c r="B406" s="7" t="inlineStr">
        <x:is>
          <x:t xml:space="preserve"/>
        </x:is>
      </x:c>
      <x:c r="C406" s="7" t="inlineStr">
        <x:is>
          <x:t xml:space="preserve"/>
        </x:is>
      </x:c>
      <x:c r="D406" s="7">
        <x:f>IF(B406="","",VALUE(MID(B406,2,4)))</x:f>
      </x:c>
      <x:c r="E406" s="7">
        <x:f>IF(B406="","",MID(B406,6,2))</x:f>
      </x:c>
      <x:c r="F406" s="8" t="inlineStr">
        <x:is>
          <x:t xml:space="preserve"/>
        </x:is>
      </x:c>
      <x:c r="G406" s="6" t="inlineStr">
        <x:is>
          <x:t xml:space="preserve"/>
        </x:is>
      </x:c>
      <x:c r="H406" s="7" t="inlineStr">
        <x:is>
          <x:t xml:space="preserve"/>
        </x:is>
      </x:c>
      <x:c r="I406" s="7" t="inlineStr">
        <x:is>
          <x:t xml:space="preserve"/>
        </x:is>
      </x:c>
      <x:c r="J406" s="7" t="inlineStr">
        <x:is>
          <x:t xml:space="preserve"/>
        </x:is>
      </x:c>
      <x:c r="K406" s="6" t="inlineStr">
        <x:is>
          <x:t xml:space="preserve"/>
        </x:is>
      </x:c>
      <x:c r="L406" s="7" t="inlineStr">
        <x:is>
          <x:t xml:space="preserve"/>
        </x:is>
      </x:c>
      <x:c r="M406" s="6" t="inlineStr">
        <x:is>
          <x:t xml:space="preserve"/>
        </x:is>
      </x:c>
      <x:c r="N406" s="6" t="inlineStr">
        <x:is>
          <x:t xml:space="preserve"/>
        </x:is>
      </x:c>
    </x:row>
    <x:row r="407">
      <x:c r="A407" s="7">
        <x:f>IF(B407="","", "T-"&amp;TEXT(ROW()-1,"00000"))</x:f>
      </x:c>
      <x:c r="B407" s="7" t="inlineStr">
        <x:is>
          <x:t xml:space="preserve"/>
        </x:is>
      </x:c>
      <x:c r="C407" s="7" t="inlineStr">
        <x:is>
          <x:t xml:space="preserve"/>
        </x:is>
      </x:c>
      <x:c r="D407" s="7">
        <x:f>IF(B407="","",VALUE(MID(B407,2,4)))</x:f>
      </x:c>
      <x:c r="E407" s="7">
        <x:f>IF(B407="","",MID(B407,6,2))</x:f>
      </x:c>
      <x:c r="F407" s="8" t="inlineStr">
        <x:is>
          <x:t xml:space="preserve"/>
        </x:is>
      </x:c>
      <x:c r="G407" s="6" t="inlineStr">
        <x:is>
          <x:t xml:space="preserve"/>
        </x:is>
      </x:c>
      <x:c r="H407" s="7" t="inlineStr">
        <x:is>
          <x:t xml:space="preserve"/>
        </x:is>
      </x:c>
      <x:c r="I407" s="7" t="inlineStr">
        <x:is>
          <x:t xml:space="preserve"/>
        </x:is>
      </x:c>
      <x:c r="J407" s="7" t="inlineStr">
        <x:is>
          <x:t xml:space="preserve"/>
        </x:is>
      </x:c>
      <x:c r="K407" s="6" t="inlineStr">
        <x:is>
          <x:t xml:space="preserve"/>
        </x:is>
      </x:c>
      <x:c r="L407" s="7" t="inlineStr">
        <x:is>
          <x:t xml:space="preserve"/>
        </x:is>
      </x:c>
      <x:c r="M407" s="6" t="inlineStr">
        <x:is>
          <x:t xml:space="preserve"/>
        </x:is>
      </x:c>
      <x:c r="N407" s="6" t="inlineStr">
        <x:is>
          <x:t xml:space="preserve"/>
        </x:is>
      </x:c>
    </x:row>
    <x:row r="408">
      <x:c r="A408" s="7">
        <x:f>IF(B408="","", "T-"&amp;TEXT(ROW()-1,"00000"))</x:f>
      </x:c>
      <x:c r="B408" s="7" t="inlineStr">
        <x:is>
          <x:t xml:space="preserve"/>
        </x:is>
      </x:c>
      <x:c r="C408" s="7" t="inlineStr">
        <x:is>
          <x:t xml:space="preserve"/>
        </x:is>
      </x:c>
      <x:c r="D408" s="7">
        <x:f>IF(B408="","",VALUE(MID(B408,2,4)))</x:f>
      </x:c>
      <x:c r="E408" s="7">
        <x:f>IF(B408="","",MID(B408,6,2))</x:f>
      </x:c>
      <x:c r="F408" s="8" t="inlineStr">
        <x:is>
          <x:t xml:space="preserve"/>
        </x:is>
      </x:c>
      <x:c r="G408" s="6" t="inlineStr">
        <x:is>
          <x:t xml:space="preserve"/>
        </x:is>
      </x:c>
      <x:c r="H408" s="7" t="inlineStr">
        <x:is>
          <x:t xml:space="preserve"/>
        </x:is>
      </x:c>
      <x:c r="I408" s="7" t="inlineStr">
        <x:is>
          <x:t xml:space="preserve"/>
        </x:is>
      </x:c>
      <x:c r="J408" s="7" t="inlineStr">
        <x:is>
          <x:t xml:space="preserve"/>
        </x:is>
      </x:c>
      <x:c r="K408" s="6" t="inlineStr">
        <x:is>
          <x:t xml:space="preserve"/>
        </x:is>
      </x:c>
      <x:c r="L408" s="7" t="inlineStr">
        <x:is>
          <x:t xml:space="preserve"/>
        </x:is>
      </x:c>
      <x:c r="M408" s="6" t="inlineStr">
        <x:is>
          <x:t xml:space="preserve"/>
        </x:is>
      </x:c>
      <x:c r="N408" s="6" t="inlineStr">
        <x:is>
          <x:t xml:space="preserve"/>
        </x:is>
      </x:c>
    </x:row>
    <x:row r="409">
      <x:c r="A409" s="7">
        <x:f>IF(B409="","", "T-"&amp;TEXT(ROW()-1,"00000"))</x:f>
      </x:c>
      <x:c r="B409" s="7" t="inlineStr">
        <x:is>
          <x:t xml:space="preserve"/>
        </x:is>
      </x:c>
      <x:c r="C409" s="7" t="inlineStr">
        <x:is>
          <x:t xml:space="preserve"/>
        </x:is>
      </x:c>
      <x:c r="D409" s="7">
        <x:f>IF(B409="","",VALUE(MID(B409,2,4)))</x:f>
      </x:c>
      <x:c r="E409" s="7">
        <x:f>IF(B409="","",MID(B409,6,2))</x:f>
      </x:c>
      <x:c r="F409" s="8" t="inlineStr">
        <x:is>
          <x:t xml:space="preserve"/>
        </x:is>
      </x:c>
      <x:c r="G409" s="6" t="inlineStr">
        <x:is>
          <x:t xml:space="preserve"/>
        </x:is>
      </x:c>
      <x:c r="H409" s="7" t="inlineStr">
        <x:is>
          <x:t xml:space="preserve"/>
        </x:is>
      </x:c>
      <x:c r="I409" s="7" t="inlineStr">
        <x:is>
          <x:t xml:space="preserve"/>
        </x:is>
      </x:c>
      <x:c r="J409" s="7" t="inlineStr">
        <x:is>
          <x:t xml:space="preserve"/>
        </x:is>
      </x:c>
      <x:c r="K409" s="6" t="inlineStr">
        <x:is>
          <x:t xml:space="preserve"/>
        </x:is>
      </x:c>
      <x:c r="L409" s="7" t="inlineStr">
        <x:is>
          <x:t xml:space="preserve"/>
        </x:is>
      </x:c>
      <x:c r="M409" s="6" t="inlineStr">
        <x:is>
          <x:t xml:space="preserve"/>
        </x:is>
      </x:c>
      <x:c r="N409" s="6" t="inlineStr">
        <x:is>
          <x:t xml:space="preserve"/>
        </x:is>
      </x:c>
    </x:row>
    <x:row r="410">
      <x:c r="A410" s="7">
        <x:f>IF(B410="","", "T-"&amp;TEXT(ROW()-1,"00000"))</x:f>
      </x:c>
      <x:c r="B410" s="7" t="inlineStr">
        <x:is>
          <x:t xml:space="preserve"/>
        </x:is>
      </x:c>
      <x:c r="C410" s="7" t="inlineStr">
        <x:is>
          <x:t xml:space="preserve"/>
        </x:is>
      </x:c>
      <x:c r="D410" s="7">
        <x:f>IF(B410="","",VALUE(MID(B410,2,4)))</x:f>
      </x:c>
      <x:c r="E410" s="7">
        <x:f>IF(B410="","",MID(B410,6,2))</x:f>
      </x:c>
      <x:c r="F410" s="8" t="inlineStr">
        <x:is>
          <x:t xml:space="preserve"/>
        </x:is>
      </x:c>
      <x:c r="G410" s="6" t="inlineStr">
        <x:is>
          <x:t xml:space="preserve"/>
        </x:is>
      </x:c>
      <x:c r="H410" s="7" t="inlineStr">
        <x:is>
          <x:t xml:space="preserve"/>
        </x:is>
      </x:c>
      <x:c r="I410" s="7" t="inlineStr">
        <x:is>
          <x:t xml:space="preserve"/>
        </x:is>
      </x:c>
      <x:c r="J410" s="7" t="inlineStr">
        <x:is>
          <x:t xml:space="preserve"/>
        </x:is>
      </x:c>
      <x:c r="K410" s="6" t="inlineStr">
        <x:is>
          <x:t xml:space="preserve"/>
        </x:is>
      </x:c>
      <x:c r="L410" s="7" t="inlineStr">
        <x:is>
          <x:t xml:space="preserve"/>
        </x:is>
      </x:c>
      <x:c r="M410" s="6" t="inlineStr">
        <x:is>
          <x:t xml:space="preserve"/>
        </x:is>
      </x:c>
      <x:c r="N410" s="6" t="inlineStr">
        <x:is>
          <x:t xml:space="preserve"/>
        </x:is>
      </x:c>
    </x:row>
    <x:row r="411">
      <x:c r="A411" s="7">
        <x:f>IF(B411="","", "T-"&amp;TEXT(ROW()-1,"00000"))</x:f>
      </x:c>
      <x:c r="B411" s="7" t="inlineStr">
        <x:is>
          <x:t xml:space="preserve"/>
        </x:is>
      </x:c>
      <x:c r="C411" s="7" t="inlineStr">
        <x:is>
          <x:t xml:space="preserve"/>
        </x:is>
      </x:c>
      <x:c r="D411" s="7">
        <x:f>IF(B411="","",VALUE(MID(B411,2,4)))</x:f>
      </x:c>
      <x:c r="E411" s="7">
        <x:f>IF(B411="","",MID(B411,6,2))</x:f>
      </x:c>
      <x:c r="F411" s="8" t="inlineStr">
        <x:is>
          <x:t xml:space="preserve"/>
        </x:is>
      </x:c>
      <x:c r="G411" s="6" t="inlineStr">
        <x:is>
          <x:t xml:space="preserve"/>
        </x:is>
      </x:c>
      <x:c r="H411" s="7" t="inlineStr">
        <x:is>
          <x:t xml:space="preserve"/>
        </x:is>
      </x:c>
      <x:c r="I411" s="7" t="inlineStr">
        <x:is>
          <x:t xml:space="preserve"/>
        </x:is>
      </x:c>
      <x:c r="J411" s="7" t="inlineStr">
        <x:is>
          <x:t xml:space="preserve"/>
        </x:is>
      </x:c>
      <x:c r="K411" s="6" t="inlineStr">
        <x:is>
          <x:t xml:space="preserve"/>
        </x:is>
      </x:c>
      <x:c r="L411" s="7" t="inlineStr">
        <x:is>
          <x:t xml:space="preserve"/>
        </x:is>
      </x:c>
      <x:c r="M411" s="6" t="inlineStr">
        <x:is>
          <x:t xml:space="preserve"/>
        </x:is>
      </x:c>
      <x:c r="N411" s="6" t="inlineStr">
        <x:is>
          <x:t xml:space="preserve"/>
        </x:is>
      </x:c>
    </x:row>
    <x:row r="412">
      <x:c r="A412" s="7">
        <x:f>IF(B412="","", "T-"&amp;TEXT(ROW()-1,"00000"))</x:f>
      </x:c>
      <x:c r="B412" s="7" t="inlineStr">
        <x:is>
          <x:t xml:space="preserve"/>
        </x:is>
      </x:c>
      <x:c r="C412" s="7" t="inlineStr">
        <x:is>
          <x:t xml:space="preserve"/>
        </x:is>
      </x:c>
      <x:c r="D412" s="7">
        <x:f>IF(B412="","",VALUE(MID(B412,2,4)))</x:f>
      </x:c>
      <x:c r="E412" s="7">
        <x:f>IF(B412="","",MID(B412,6,2))</x:f>
      </x:c>
      <x:c r="F412" s="8" t="inlineStr">
        <x:is>
          <x:t xml:space="preserve"/>
        </x:is>
      </x:c>
      <x:c r="G412" s="6" t="inlineStr">
        <x:is>
          <x:t xml:space="preserve"/>
        </x:is>
      </x:c>
      <x:c r="H412" s="7" t="inlineStr">
        <x:is>
          <x:t xml:space="preserve"/>
        </x:is>
      </x:c>
      <x:c r="I412" s="7" t="inlineStr">
        <x:is>
          <x:t xml:space="preserve"/>
        </x:is>
      </x:c>
      <x:c r="J412" s="7" t="inlineStr">
        <x:is>
          <x:t xml:space="preserve"/>
        </x:is>
      </x:c>
      <x:c r="K412" s="6" t="inlineStr">
        <x:is>
          <x:t xml:space="preserve"/>
        </x:is>
      </x:c>
      <x:c r="L412" s="7" t="inlineStr">
        <x:is>
          <x:t xml:space="preserve"/>
        </x:is>
      </x:c>
      <x:c r="M412" s="6" t="inlineStr">
        <x:is>
          <x:t xml:space="preserve"/>
        </x:is>
      </x:c>
      <x:c r="N412" s="6" t="inlineStr">
        <x:is>
          <x:t xml:space="preserve"/>
        </x:is>
      </x:c>
    </x:row>
    <x:row r="413">
      <x:c r="A413" s="7">
        <x:f>IF(B413="","", "T-"&amp;TEXT(ROW()-1,"00000"))</x:f>
      </x:c>
      <x:c r="B413" s="7" t="inlineStr">
        <x:is>
          <x:t xml:space="preserve"/>
        </x:is>
      </x:c>
      <x:c r="C413" s="7" t="inlineStr">
        <x:is>
          <x:t xml:space="preserve"/>
        </x:is>
      </x:c>
      <x:c r="D413" s="7">
        <x:f>IF(B413="","",VALUE(MID(B413,2,4)))</x:f>
      </x:c>
      <x:c r="E413" s="7">
        <x:f>IF(B413="","",MID(B413,6,2))</x:f>
      </x:c>
      <x:c r="F413" s="8" t="inlineStr">
        <x:is>
          <x:t xml:space="preserve"/>
        </x:is>
      </x:c>
      <x:c r="G413" s="6" t="inlineStr">
        <x:is>
          <x:t xml:space="preserve"/>
        </x:is>
      </x:c>
      <x:c r="H413" s="7" t="inlineStr">
        <x:is>
          <x:t xml:space="preserve"/>
        </x:is>
      </x:c>
      <x:c r="I413" s="7" t="inlineStr">
        <x:is>
          <x:t xml:space="preserve"/>
        </x:is>
      </x:c>
      <x:c r="J413" s="7" t="inlineStr">
        <x:is>
          <x:t xml:space="preserve"/>
        </x:is>
      </x:c>
      <x:c r="K413" s="6" t="inlineStr">
        <x:is>
          <x:t xml:space="preserve"/>
        </x:is>
      </x:c>
      <x:c r="L413" s="7" t="inlineStr">
        <x:is>
          <x:t xml:space="preserve"/>
        </x:is>
      </x:c>
      <x:c r="M413" s="6" t="inlineStr">
        <x:is>
          <x:t xml:space="preserve"/>
        </x:is>
      </x:c>
      <x:c r="N413" s="6" t="inlineStr">
        <x:is>
          <x:t xml:space="preserve"/>
        </x:is>
      </x:c>
    </x:row>
    <x:row r="414">
      <x:c r="A414" s="7">
        <x:f>IF(B414="","", "T-"&amp;TEXT(ROW()-1,"00000"))</x:f>
      </x:c>
      <x:c r="B414" s="7" t="inlineStr">
        <x:is>
          <x:t xml:space="preserve"/>
        </x:is>
      </x:c>
      <x:c r="C414" s="7" t="inlineStr">
        <x:is>
          <x:t xml:space="preserve"/>
        </x:is>
      </x:c>
      <x:c r="D414" s="7">
        <x:f>IF(B414="","",VALUE(MID(B414,2,4)))</x:f>
      </x:c>
      <x:c r="E414" s="7">
        <x:f>IF(B414="","",MID(B414,6,2))</x:f>
      </x:c>
      <x:c r="F414" s="8" t="inlineStr">
        <x:is>
          <x:t xml:space="preserve"/>
        </x:is>
      </x:c>
      <x:c r="G414" s="6" t="inlineStr">
        <x:is>
          <x:t xml:space="preserve"/>
        </x:is>
      </x:c>
      <x:c r="H414" s="7" t="inlineStr">
        <x:is>
          <x:t xml:space="preserve"/>
        </x:is>
      </x:c>
      <x:c r="I414" s="7" t="inlineStr">
        <x:is>
          <x:t xml:space="preserve"/>
        </x:is>
      </x:c>
      <x:c r="J414" s="7" t="inlineStr">
        <x:is>
          <x:t xml:space="preserve"/>
        </x:is>
      </x:c>
      <x:c r="K414" s="6" t="inlineStr">
        <x:is>
          <x:t xml:space="preserve"/>
        </x:is>
      </x:c>
      <x:c r="L414" s="7" t="inlineStr">
        <x:is>
          <x:t xml:space="preserve"/>
        </x:is>
      </x:c>
      <x:c r="M414" s="6" t="inlineStr">
        <x:is>
          <x:t xml:space="preserve"/>
        </x:is>
      </x:c>
      <x:c r="N414" s="6" t="inlineStr">
        <x:is>
          <x:t xml:space="preserve"/>
        </x:is>
      </x:c>
    </x:row>
    <x:row r="415">
      <x:c r="A415" s="7">
        <x:f>IF(B415="","", "T-"&amp;TEXT(ROW()-1,"00000"))</x:f>
      </x:c>
      <x:c r="B415" s="7" t="inlineStr">
        <x:is>
          <x:t xml:space="preserve"/>
        </x:is>
      </x:c>
      <x:c r="C415" s="7" t="inlineStr">
        <x:is>
          <x:t xml:space="preserve"/>
        </x:is>
      </x:c>
      <x:c r="D415" s="7">
        <x:f>IF(B415="","",VALUE(MID(B415,2,4)))</x:f>
      </x:c>
      <x:c r="E415" s="7">
        <x:f>IF(B415="","",MID(B415,6,2))</x:f>
      </x:c>
      <x:c r="F415" s="8" t="inlineStr">
        <x:is>
          <x:t xml:space="preserve"/>
        </x:is>
      </x:c>
      <x:c r="G415" s="6" t="inlineStr">
        <x:is>
          <x:t xml:space="preserve"/>
        </x:is>
      </x:c>
      <x:c r="H415" s="7" t="inlineStr">
        <x:is>
          <x:t xml:space="preserve"/>
        </x:is>
      </x:c>
      <x:c r="I415" s="7" t="inlineStr">
        <x:is>
          <x:t xml:space="preserve"/>
        </x:is>
      </x:c>
      <x:c r="J415" s="7" t="inlineStr">
        <x:is>
          <x:t xml:space="preserve"/>
        </x:is>
      </x:c>
      <x:c r="K415" s="6" t="inlineStr">
        <x:is>
          <x:t xml:space="preserve"/>
        </x:is>
      </x:c>
      <x:c r="L415" s="7" t="inlineStr">
        <x:is>
          <x:t xml:space="preserve"/>
        </x:is>
      </x:c>
      <x:c r="M415" s="6" t="inlineStr">
        <x:is>
          <x:t xml:space="preserve"/>
        </x:is>
      </x:c>
      <x:c r="N415" s="6" t="inlineStr">
        <x:is>
          <x:t xml:space="preserve"/>
        </x:is>
      </x:c>
    </x:row>
    <x:row r="416">
      <x:c r="A416" s="7">
        <x:f>IF(B416="","", "T-"&amp;TEXT(ROW()-1,"00000"))</x:f>
      </x:c>
      <x:c r="B416" s="7" t="inlineStr">
        <x:is>
          <x:t xml:space="preserve"/>
        </x:is>
      </x:c>
      <x:c r="C416" s="7" t="inlineStr">
        <x:is>
          <x:t xml:space="preserve"/>
        </x:is>
      </x:c>
      <x:c r="D416" s="7">
        <x:f>IF(B416="","",VALUE(MID(B416,2,4)))</x:f>
      </x:c>
      <x:c r="E416" s="7">
        <x:f>IF(B416="","",MID(B416,6,2))</x:f>
      </x:c>
      <x:c r="F416" s="8" t="inlineStr">
        <x:is>
          <x:t xml:space="preserve"/>
        </x:is>
      </x:c>
      <x:c r="G416" s="6" t="inlineStr">
        <x:is>
          <x:t xml:space="preserve"/>
        </x:is>
      </x:c>
      <x:c r="H416" s="7" t="inlineStr">
        <x:is>
          <x:t xml:space="preserve"/>
        </x:is>
      </x:c>
      <x:c r="I416" s="7" t="inlineStr">
        <x:is>
          <x:t xml:space="preserve"/>
        </x:is>
      </x:c>
      <x:c r="J416" s="7" t="inlineStr">
        <x:is>
          <x:t xml:space="preserve"/>
        </x:is>
      </x:c>
      <x:c r="K416" s="6" t="inlineStr">
        <x:is>
          <x:t xml:space="preserve"/>
        </x:is>
      </x:c>
      <x:c r="L416" s="7" t="inlineStr">
        <x:is>
          <x:t xml:space="preserve"/>
        </x:is>
      </x:c>
      <x:c r="M416" s="6" t="inlineStr">
        <x:is>
          <x:t xml:space="preserve"/>
        </x:is>
      </x:c>
      <x:c r="N416" s="6" t="inlineStr">
        <x:is>
          <x:t xml:space="preserve"/>
        </x:is>
      </x:c>
    </x:row>
    <x:row r="417">
      <x:c r="A417" s="7">
        <x:f>IF(B417="","", "T-"&amp;TEXT(ROW()-1,"00000"))</x:f>
      </x:c>
      <x:c r="B417" s="7" t="inlineStr">
        <x:is>
          <x:t xml:space="preserve"/>
        </x:is>
      </x:c>
      <x:c r="C417" s="7" t="inlineStr">
        <x:is>
          <x:t xml:space="preserve"/>
        </x:is>
      </x:c>
      <x:c r="D417" s="7">
        <x:f>IF(B417="","",VALUE(MID(B417,2,4)))</x:f>
      </x:c>
      <x:c r="E417" s="7">
        <x:f>IF(B417="","",MID(B417,6,2))</x:f>
      </x:c>
      <x:c r="F417" s="8" t="inlineStr">
        <x:is>
          <x:t xml:space="preserve"/>
        </x:is>
      </x:c>
      <x:c r="G417" s="6" t="inlineStr">
        <x:is>
          <x:t xml:space="preserve"/>
        </x:is>
      </x:c>
      <x:c r="H417" s="7" t="inlineStr">
        <x:is>
          <x:t xml:space="preserve"/>
        </x:is>
      </x:c>
      <x:c r="I417" s="7" t="inlineStr">
        <x:is>
          <x:t xml:space="preserve"/>
        </x:is>
      </x:c>
      <x:c r="J417" s="7" t="inlineStr">
        <x:is>
          <x:t xml:space="preserve"/>
        </x:is>
      </x:c>
      <x:c r="K417" s="6" t="inlineStr">
        <x:is>
          <x:t xml:space="preserve"/>
        </x:is>
      </x:c>
      <x:c r="L417" s="7" t="inlineStr">
        <x:is>
          <x:t xml:space="preserve"/>
        </x:is>
      </x:c>
      <x:c r="M417" s="6" t="inlineStr">
        <x:is>
          <x:t xml:space="preserve"/>
        </x:is>
      </x:c>
      <x:c r="N417" s="6" t="inlineStr">
        <x:is>
          <x:t xml:space="preserve"/>
        </x:is>
      </x:c>
    </x:row>
    <x:row r="418">
      <x:c r="A418" s="7">
        <x:f>IF(B418="","", "T-"&amp;TEXT(ROW()-1,"00000"))</x:f>
      </x:c>
      <x:c r="B418" s="7" t="inlineStr">
        <x:is>
          <x:t xml:space="preserve"/>
        </x:is>
      </x:c>
      <x:c r="C418" s="7" t="inlineStr">
        <x:is>
          <x:t xml:space="preserve"/>
        </x:is>
      </x:c>
      <x:c r="D418" s="7">
        <x:f>IF(B418="","",VALUE(MID(B418,2,4)))</x:f>
      </x:c>
      <x:c r="E418" s="7">
        <x:f>IF(B418="","",MID(B418,6,2))</x:f>
      </x:c>
      <x:c r="F418" s="8" t="inlineStr">
        <x:is>
          <x:t xml:space="preserve"/>
        </x:is>
      </x:c>
      <x:c r="G418" s="6" t="inlineStr">
        <x:is>
          <x:t xml:space="preserve"/>
        </x:is>
      </x:c>
      <x:c r="H418" s="7" t="inlineStr">
        <x:is>
          <x:t xml:space="preserve"/>
        </x:is>
      </x:c>
      <x:c r="I418" s="7" t="inlineStr">
        <x:is>
          <x:t xml:space="preserve"/>
        </x:is>
      </x:c>
      <x:c r="J418" s="7" t="inlineStr">
        <x:is>
          <x:t xml:space="preserve"/>
        </x:is>
      </x:c>
      <x:c r="K418" s="6" t="inlineStr">
        <x:is>
          <x:t xml:space="preserve"/>
        </x:is>
      </x:c>
      <x:c r="L418" s="7" t="inlineStr">
        <x:is>
          <x:t xml:space="preserve"/>
        </x:is>
      </x:c>
      <x:c r="M418" s="6" t="inlineStr">
        <x:is>
          <x:t xml:space="preserve"/>
        </x:is>
      </x:c>
      <x:c r="N418" s="6" t="inlineStr">
        <x:is>
          <x:t xml:space="preserve"/>
        </x:is>
      </x:c>
    </x:row>
    <x:row r="419">
      <x:c r="A419" s="7">
        <x:f>IF(B419="","", "T-"&amp;TEXT(ROW()-1,"00000"))</x:f>
      </x:c>
      <x:c r="B419" s="7" t="inlineStr">
        <x:is>
          <x:t xml:space="preserve"/>
        </x:is>
      </x:c>
      <x:c r="C419" s="7" t="inlineStr">
        <x:is>
          <x:t xml:space="preserve"/>
        </x:is>
      </x:c>
      <x:c r="D419" s="7">
        <x:f>IF(B419="","",VALUE(MID(B419,2,4)))</x:f>
      </x:c>
      <x:c r="E419" s="7">
        <x:f>IF(B419="","",MID(B419,6,2))</x:f>
      </x:c>
      <x:c r="F419" s="8" t="inlineStr">
        <x:is>
          <x:t xml:space="preserve"/>
        </x:is>
      </x:c>
      <x:c r="G419" s="6" t="inlineStr">
        <x:is>
          <x:t xml:space="preserve"/>
        </x:is>
      </x:c>
      <x:c r="H419" s="7" t="inlineStr">
        <x:is>
          <x:t xml:space="preserve"/>
        </x:is>
      </x:c>
      <x:c r="I419" s="7" t="inlineStr">
        <x:is>
          <x:t xml:space="preserve"/>
        </x:is>
      </x:c>
      <x:c r="J419" s="7" t="inlineStr">
        <x:is>
          <x:t xml:space="preserve"/>
        </x:is>
      </x:c>
      <x:c r="K419" s="6" t="inlineStr">
        <x:is>
          <x:t xml:space="preserve"/>
        </x:is>
      </x:c>
      <x:c r="L419" s="7" t="inlineStr">
        <x:is>
          <x:t xml:space="preserve"/>
        </x:is>
      </x:c>
      <x:c r="M419" s="6" t="inlineStr">
        <x:is>
          <x:t xml:space="preserve"/>
        </x:is>
      </x:c>
      <x:c r="N419" s="6" t="inlineStr">
        <x:is>
          <x:t xml:space="preserve"/>
        </x:is>
      </x:c>
    </x:row>
    <x:row r="420">
      <x:c r="A420" s="7">
        <x:f>IF(B420="","", "T-"&amp;TEXT(ROW()-1,"00000"))</x:f>
      </x:c>
      <x:c r="B420" s="7" t="inlineStr">
        <x:is>
          <x:t xml:space="preserve"/>
        </x:is>
      </x:c>
      <x:c r="C420" s="7" t="inlineStr">
        <x:is>
          <x:t xml:space="preserve"/>
        </x:is>
      </x:c>
      <x:c r="D420" s="7">
        <x:f>IF(B420="","",VALUE(MID(B420,2,4)))</x:f>
      </x:c>
      <x:c r="E420" s="7">
        <x:f>IF(B420="","",MID(B420,6,2))</x:f>
      </x:c>
      <x:c r="F420" s="8" t="inlineStr">
        <x:is>
          <x:t xml:space="preserve"/>
        </x:is>
      </x:c>
      <x:c r="G420" s="6" t="inlineStr">
        <x:is>
          <x:t xml:space="preserve"/>
        </x:is>
      </x:c>
      <x:c r="H420" s="7" t="inlineStr">
        <x:is>
          <x:t xml:space="preserve"/>
        </x:is>
      </x:c>
      <x:c r="I420" s="7" t="inlineStr">
        <x:is>
          <x:t xml:space="preserve"/>
        </x:is>
      </x:c>
      <x:c r="J420" s="7" t="inlineStr">
        <x:is>
          <x:t xml:space="preserve"/>
        </x:is>
      </x:c>
      <x:c r="K420" s="6" t="inlineStr">
        <x:is>
          <x:t xml:space="preserve"/>
        </x:is>
      </x:c>
      <x:c r="L420" s="7" t="inlineStr">
        <x:is>
          <x:t xml:space="preserve"/>
        </x:is>
      </x:c>
      <x:c r="M420" s="6" t="inlineStr">
        <x:is>
          <x:t xml:space="preserve"/>
        </x:is>
      </x:c>
      <x:c r="N420" s="6" t="inlineStr">
        <x:is>
          <x:t xml:space="preserve"/>
        </x:is>
      </x:c>
    </x:row>
    <x:row r="421">
      <x:c r="A421" s="7">
        <x:f>IF(B421="","", "T-"&amp;TEXT(ROW()-1,"00000"))</x:f>
      </x:c>
      <x:c r="B421" s="7" t="inlineStr">
        <x:is>
          <x:t xml:space="preserve"/>
        </x:is>
      </x:c>
      <x:c r="C421" s="7" t="inlineStr">
        <x:is>
          <x:t xml:space="preserve"/>
        </x:is>
      </x:c>
      <x:c r="D421" s="7">
        <x:f>IF(B421="","",VALUE(MID(B421,2,4)))</x:f>
      </x:c>
      <x:c r="E421" s="7">
        <x:f>IF(B421="","",MID(B421,6,2))</x:f>
      </x:c>
      <x:c r="F421" s="8" t="inlineStr">
        <x:is>
          <x:t xml:space="preserve"/>
        </x:is>
      </x:c>
      <x:c r="G421" s="6" t="inlineStr">
        <x:is>
          <x:t xml:space="preserve"/>
        </x:is>
      </x:c>
      <x:c r="H421" s="7" t="inlineStr">
        <x:is>
          <x:t xml:space="preserve"/>
        </x:is>
      </x:c>
      <x:c r="I421" s="7" t="inlineStr">
        <x:is>
          <x:t xml:space="preserve"/>
        </x:is>
      </x:c>
      <x:c r="J421" s="7" t="inlineStr">
        <x:is>
          <x:t xml:space="preserve"/>
        </x:is>
      </x:c>
      <x:c r="K421" s="6" t="inlineStr">
        <x:is>
          <x:t xml:space="preserve"/>
        </x:is>
      </x:c>
      <x:c r="L421" s="7" t="inlineStr">
        <x:is>
          <x:t xml:space="preserve"/>
        </x:is>
      </x:c>
      <x:c r="M421" s="6" t="inlineStr">
        <x:is>
          <x:t xml:space="preserve"/>
        </x:is>
      </x:c>
      <x:c r="N421" s="6" t="inlineStr">
        <x:is>
          <x:t xml:space="preserve"/>
        </x:is>
      </x:c>
    </x:row>
    <x:row r="422">
      <x:c r="A422" s="7">
        <x:f>IF(B422="","", "T-"&amp;TEXT(ROW()-1,"00000"))</x:f>
      </x:c>
      <x:c r="B422" s="7" t="inlineStr">
        <x:is>
          <x:t xml:space="preserve"/>
        </x:is>
      </x:c>
      <x:c r="C422" s="7" t="inlineStr">
        <x:is>
          <x:t xml:space="preserve"/>
        </x:is>
      </x:c>
      <x:c r="D422" s="7">
        <x:f>IF(B422="","",VALUE(MID(B422,2,4)))</x:f>
      </x:c>
      <x:c r="E422" s="7">
        <x:f>IF(B422="","",MID(B422,6,2))</x:f>
      </x:c>
      <x:c r="F422" s="8" t="inlineStr">
        <x:is>
          <x:t xml:space="preserve"/>
        </x:is>
      </x:c>
      <x:c r="G422" s="6" t="inlineStr">
        <x:is>
          <x:t xml:space="preserve"/>
        </x:is>
      </x:c>
      <x:c r="H422" s="7" t="inlineStr">
        <x:is>
          <x:t xml:space="preserve"/>
        </x:is>
      </x:c>
      <x:c r="I422" s="7" t="inlineStr">
        <x:is>
          <x:t xml:space="preserve"/>
        </x:is>
      </x:c>
      <x:c r="J422" s="7" t="inlineStr">
        <x:is>
          <x:t xml:space="preserve"/>
        </x:is>
      </x:c>
      <x:c r="K422" s="6" t="inlineStr">
        <x:is>
          <x:t xml:space="preserve"/>
        </x:is>
      </x:c>
      <x:c r="L422" s="7" t="inlineStr">
        <x:is>
          <x:t xml:space="preserve"/>
        </x:is>
      </x:c>
      <x:c r="M422" s="6" t="inlineStr">
        <x:is>
          <x:t xml:space="preserve"/>
        </x:is>
      </x:c>
      <x:c r="N422" s="6" t="inlineStr">
        <x:is>
          <x:t xml:space="preserve"/>
        </x:is>
      </x:c>
    </x:row>
    <x:row r="423">
      <x:c r="A423" s="7">
        <x:f>IF(B423="","", "T-"&amp;TEXT(ROW()-1,"00000"))</x:f>
      </x:c>
      <x:c r="B423" s="7" t="inlineStr">
        <x:is>
          <x:t xml:space="preserve"/>
        </x:is>
      </x:c>
      <x:c r="C423" s="7" t="inlineStr">
        <x:is>
          <x:t xml:space="preserve"/>
        </x:is>
      </x:c>
      <x:c r="D423" s="7">
        <x:f>IF(B423="","",VALUE(MID(B423,2,4)))</x:f>
      </x:c>
      <x:c r="E423" s="7">
        <x:f>IF(B423="","",MID(B423,6,2))</x:f>
      </x:c>
      <x:c r="F423" s="8" t="inlineStr">
        <x:is>
          <x:t xml:space="preserve"/>
        </x:is>
      </x:c>
      <x:c r="G423" s="6" t="inlineStr">
        <x:is>
          <x:t xml:space="preserve"/>
        </x:is>
      </x:c>
      <x:c r="H423" s="7" t="inlineStr">
        <x:is>
          <x:t xml:space="preserve"/>
        </x:is>
      </x:c>
      <x:c r="I423" s="7" t="inlineStr">
        <x:is>
          <x:t xml:space="preserve"/>
        </x:is>
      </x:c>
      <x:c r="J423" s="7" t="inlineStr">
        <x:is>
          <x:t xml:space="preserve"/>
        </x:is>
      </x:c>
      <x:c r="K423" s="6" t="inlineStr">
        <x:is>
          <x:t xml:space="preserve"/>
        </x:is>
      </x:c>
      <x:c r="L423" s="7" t="inlineStr">
        <x:is>
          <x:t xml:space="preserve"/>
        </x:is>
      </x:c>
      <x:c r="M423" s="6" t="inlineStr">
        <x:is>
          <x:t xml:space="preserve"/>
        </x:is>
      </x:c>
      <x:c r="N423" s="6" t="inlineStr">
        <x:is>
          <x:t xml:space="preserve"/>
        </x:is>
      </x:c>
    </x:row>
    <x:row r="424">
      <x:c r="A424" s="7">
        <x:f>IF(B424="","", "T-"&amp;TEXT(ROW()-1,"00000"))</x:f>
      </x:c>
      <x:c r="B424" s="7" t="inlineStr">
        <x:is>
          <x:t xml:space="preserve"/>
        </x:is>
      </x:c>
      <x:c r="C424" s="7" t="inlineStr">
        <x:is>
          <x:t xml:space="preserve"/>
        </x:is>
      </x:c>
      <x:c r="D424" s="7">
        <x:f>IF(B424="","",VALUE(MID(B424,2,4)))</x:f>
      </x:c>
      <x:c r="E424" s="7">
        <x:f>IF(B424="","",MID(B424,6,2))</x:f>
      </x:c>
      <x:c r="F424" s="8" t="inlineStr">
        <x:is>
          <x:t xml:space="preserve"/>
        </x:is>
      </x:c>
      <x:c r="G424" s="6" t="inlineStr">
        <x:is>
          <x:t xml:space="preserve"/>
        </x:is>
      </x:c>
      <x:c r="H424" s="7" t="inlineStr">
        <x:is>
          <x:t xml:space="preserve"/>
        </x:is>
      </x:c>
      <x:c r="I424" s="7" t="inlineStr">
        <x:is>
          <x:t xml:space="preserve"/>
        </x:is>
      </x:c>
      <x:c r="J424" s="7" t="inlineStr">
        <x:is>
          <x:t xml:space="preserve"/>
        </x:is>
      </x:c>
      <x:c r="K424" s="6" t="inlineStr">
        <x:is>
          <x:t xml:space="preserve"/>
        </x:is>
      </x:c>
      <x:c r="L424" s="7" t="inlineStr">
        <x:is>
          <x:t xml:space="preserve"/>
        </x:is>
      </x:c>
      <x:c r="M424" s="6" t="inlineStr">
        <x:is>
          <x:t xml:space="preserve"/>
        </x:is>
      </x:c>
      <x:c r="N424" s="6" t="inlineStr">
        <x:is>
          <x:t xml:space="preserve"/>
        </x:is>
      </x:c>
    </x:row>
    <x:row r="425">
      <x:c r="A425" s="7">
        <x:f>IF(B425="","", "T-"&amp;TEXT(ROW()-1,"00000"))</x:f>
      </x:c>
      <x:c r="B425" s="7" t="inlineStr">
        <x:is>
          <x:t xml:space="preserve"/>
        </x:is>
      </x:c>
      <x:c r="C425" s="7" t="inlineStr">
        <x:is>
          <x:t xml:space="preserve"/>
        </x:is>
      </x:c>
      <x:c r="D425" s="7">
        <x:f>IF(B425="","",VALUE(MID(B425,2,4)))</x:f>
      </x:c>
      <x:c r="E425" s="7">
        <x:f>IF(B425="","",MID(B425,6,2))</x:f>
      </x:c>
      <x:c r="F425" s="8" t="inlineStr">
        <x:is>
          <x:t xml:space="preserve"/>
        </x:is>
      </x:c>
      <x:c r="G425" s="6" t="inlineStr">
        <x:is>
          <x:t xml:space="preserve"/>
        </x:is>
      </x:c>
      <x:c r="H425" s="7" t="inlineStr">
        <x:is>
          <x:t xml:space="preserve"/>
        </x:is>
      </x:c>
      <x:c r="I425" s="7" t="inlineStr">
        <x:is>
          <x:t xml:space="preserve"/>
        </x:is>
      </x:c>
      <x:c r="J425" s="7" t="inlineStr">
        <x:is>
          <x:t xml:space="preserve"/>
        </x:is>
      </x:c>
      <x:c r="K425" s="6" t="inlineStr">
        <x:is>
          <x:t xml:space="preserve"/>
        </x:is>
      </x:c>
      <x:c r="L425" s="7" t="inlineStr">
        <x:is>
          <x:t xml:space="preserve"/>
        </x:is>
      </x:c>
      <x:c r="M425" s="6" t="inlineStr">
        <x:is>
          <x:t xml:space="preserve"/>
        </x:is>
      </x:c>
      <x:c r="N425" s="6" t="inlineStr">
        <x:is>
          <x:t xml:space="preserve"/>
        </x:is>
      </x:c>
    </x:row>
    <x:row r="426">
      <x:c r="A426" s="7">
        <x:f>IF(B426="","", "T-"&amp;TEXT(ROW()-1,"00000"))</x:f>
      </x:c>
      <x:c r="B426" s="7" t="inlineStr">
        <x:is>
          <x:t xml:space="preserve"/>
        </x:is>
      </x:c>
      <x:c r="C426" s="7" t="inlineStr">
        <x:is>
          <x:t xml:space="preserve"/>
        </x:is>
      </x:c>
      <x:c r="D426" s="7">
        <x:f>IF(B426="","",VALUE(MID(B426,2,4)))</x:f>
      </x:c>
      <x:c r="E426" s="7">
        <x:f>IF(B426="","",MID(B426,6,2))</x:f>
      </x:c>
      <x:c r="F426" s="8" t="inlineStr">
        <x:is>
          <x:t xml:space="preserve"/>
        </x:is>
      </x:c>
      <x:c r="G426" s="6" t="inlineStr">
        <x:is>
          <x:t xml:space="preserve"/>
        </x:is>
      </x:c>
      <x:c r="H426" s="7" t="inlineStr">
        <x:is>
          <x:t xml:space="preserve"/>
        </x:is>
      </x:c>
      <x:c r="I426" s="7" t="inlineStr">
        <x:is>
          <x:t xml:space="preserve"/>
        </x:is>
      </x:c>
      <x:c r="J426" s="7" t="inlineStr">
        <x:is>
          <x:t xml:space="preserve"/>
        </x:is>
      </x:c>
      <x:c r="K426" s="6" t="inlineStr">
        <x:is>
          <x:t xml:space="preserve"/>
        </x:is>
      </x:c>
      <x:c r="L426" s="7" t="inlineStr">
        <x:is>
          <x:t xml:space="preserve"/>
        </x:is>
      </x:c>
      <x:c r="M426" s="6" t="inlineStr">
        <x:is>
          <x:t xml:space="preserve"/>
        </x:is>
      </x:c>
      <x:c r="N426" s="6" t="inlineStr">
        <x:is>
          <x:t xml:space="preserve"/>
        </x:is>
      </x:c>
    </x:row>
    <x:row r="427">
      <x:c r="A427" s="7">
        <x:f>IF(B427="","", "T-"&amp;TEXT(ROW()-1,"00000"))</x:f>
      </x:c>
      <x:c r="B427" s="7" t="inlineStr">
        <x:is>
          <x:t xml:space="preserve"/>
        </x:is>
      </x:c>
      <x:c r="C427" s="7" t="inlineStr">
        <x:is>
          <x:t xml:space="preserve"/>
        </x:is>
      </x:c>
      <x:c r="D427" s="7">
        <x:f>IF(B427="","",VALUE(MID(B427,2,4)))</x:f>
      </x:c>
      <x:c r="E427" s="7">
        <x:f>IF(B427="","",MID(B427,6,2))</x:f>
      </x:c>
      <x:c r="F427" s="8" t="inlineStr">
        <x:is>
          <x:t xml:space="preserve"/>
        </x:is>
      </x:c>
      <x:c r="G427" s="6" t="inlineStr">
        <x:is>
          <x:t xml:space="preserve"/>
        </x:is>
      </x:c>
      <x:c r="H427" s="7" t="inlineStr">
        <x:is>
          <x:t xml:space="preserve"/>
        </x:is>
      </x:c>
      <x:c r="I427" s="7" t="inlineStr">
        <x:is>
          <x:t xml:space="preserve"/>
        </x:is>
      </x:c>
      <x:c r="J427" s="7" t="inlineStr">
        <x:is>
          <x:t xml:space="preserve"/>
        </x:is>
      </x:c>
      <x:c r="K427" s="6" t="inlineStr">
        <x:is>
          <x:t xml:space="preserve"/>
        </x:is>
      </x:c>
      <x:c r="L427" s="7" t="inlineStr">
        <x:is>
          <x:t xml:space="preserve"/>
        </x:is>
      </x:c>
      <x:c r="M427" s="6" t="inlineStr">
        <x:is>
          <x:t xml:space="preserve"/>
        </x:is>
      </x:c>
      <x:c r="N427" s="6" t="inlineStr">
        <x:is>
          <x:t xml:space="preserve"/>
        </x:is>
      </x:c>
    </x:row>
    <x:row r="428">
      <x:c r="A428" s="7">
        <x:f>IF(B428="","", "T-"&amp;TEXT(ROW()-1,"00000"))</x:f>
      </x:c>
      <x:c r="B428" s="7" t="inlineStr">
        <x:is>
          <x:t xml:space="preserve"/>
        </x:is>
      </x:c>
      <x:c r="C428" s="7" t="inlineStr">
        <x:is>
          <x:t xml:space="preserve"/>
        </x:is>
      </x:c>
      <x:c r="D428" s="7">
        <x:f>IF(B428="","",VALUE(MID(B428,2,4)))</x:f>
      </x:c>
      <x:c r="E428" s="7">
        <x:f>IF(B428="","",MID(B428,6,2))</x:f>
      </x:c>
      <x:c r="F428" s="8" t="inlineStr">
        <x:is>
          <x:t xml:space="preserve"/>
        </x:is>
      </x:c>
      <x:c r="G428" s="6" t="inlineStr">
        <x:is>
          <x:t xml:space="preserve"/>
        </x:is>
      </x:c>
      <x:c r="H428" s="7" t="inlineStr">
        <x:is>
          <x:t xml:space="preserve"/>
        </x:is>
      </x:c>
      <x:c r="I428" s="7" t="inlineStr">
        <x:is>
          <x:t xml:space="preserve"/>
        </x:is>
      </x:c>
      <x:c r="J428" s="7" t="inlineStr">
        <x:is>
          <x:t xml:space="preserve"/>
        </x:is>
      </x:c>
      <x:c r="K428" s="6" t="inlineStr">
        <x:is>
          <x:t xml:space="preserve"/>
        </x:is>
      </x:c>
      <x:c r="L428" s="7" t="inlineStr">
        <x:is>
          <x:t xml:space="preserve"/>
        </x:is>
      </x:c>
      <x:c r="M428" s="6" t="inlineStr">
        <x:is>
          <x:t xml:space="preserve"/>
        </x:is>
      </x:c>
      <x:c r="N428" s="6" t="inlineStr">
        <x:is>
          <x:t xml:space="preserve"/>
        </x:is>
      </x:c>
    </x:row>
    <x:row r="429">
      <x:c r="A429" s="7">
        <x:f>IF(B429="","", "T-"&amp;TEXT(ROW()-1,"00000"))</x:f>
      </x:c>
      <x:c r="B429" s="7" t="inlineStr">
        <x:is>
          <x:t xml:space="preserve"/>
        </x:is>
      </x:c>
      <x:c r="C429" s="7" t="inlineStr">
        <x:is>
          <x:t xml:space="preserve"/>
        </x:is>
      </x:c>
      <x:c r="D429" s="7">
        <x:f>IF(B429="","",VALUE(MID(B429,2,4)))</x:f>
      </x:c>
      <x:c r="E429" s="7">
        <x:f>IF(B429="","",MID(B429,6,2))</x:f>
      </x:c>
      <x:c r="F429" s="8" t="inlineStr">
        <x:is>
          <x:t xml:space="preserve"/>
        </x:is>
      </x:c>
      <x:c r="G429" s="6" t="inlineStr">
        <x:is>
          <x:t xml:space="preserve"/>
        </x:is>
      </x:c>
      <x:c r="H429" s="7" t="inlineStr">
        <x:is>
          <x:t xml:space="preserve"/>
        </x:is>
      </x:c>
      <x:c r="I429" s="7" t="inlineStr">
        <x:is>
          <x:t xml:space="preserve"/>
        </x:is>
      </x:c>
      <x:c r="J429" s="7" t="inlineStr">
        <x:is>
          <x:t xml:space="preserve"/>
        </x:is>
      </x:c>
      <x:c r="K429" s="6" t="inlineStr">
        <x:is>
          <x:t xml:space="preserve"/>
        </x:is>
      </x:c>
      <x:c r="L429" s="7" t="inlineStr">
        <x:is>
          <x:t xml:space="preserve"/>
        </x:is>
      </x:c>
      <x:c r="M429" s="6" t="inlineStr">
        <x:is>
          <x:t xml:space="preserve"/>
        </x:is>
      </x:c>
      <x:c r="N429" s="6" t="inlineStr">
        <x:is>
          <x:t xml:space="preserve"/>
        </x:is>
      </x:c>
    </x:row>
    <x:row r="430">
      <x:c r="A430" s="7">
        <x:f>IF(B430="","", "T-"&amp;TEXT(ROW()-1,"00000"))</x:f>
      </x:c>
      <x:c r="B430" s="7" t="inlineStr">
        <x:is>
          <x:t xml:space="preserve"/>
        </x:is>
      </x:c>
      <x:c r="C430" s="7" t="inlineStr">
        <x:is>
          <x:t xml:space="preserve"/>
        </x:is>
      </x:c>
      <x:c r="D430" s="7">
        <x:f>IF(B430="","",VALUE(MID(B430,2,4)))</x:f>
      </x:c>
      <x:c r="E430" s="7">
        <x:f>IF(B430="","",MID(B430,6,2))</x:f>
      </x:c>
      <x:c r="F430" s="8" t="inlineStr">
        <x:is>
          <x:t xml:space="preserve"/>
        </x:is>
      </x:c>
      <x:c r="G430" s="6" t="inlineStr">
        <x:is>
          <x:t xml:space="preserve"/>
        </x:is>
      </x:c>
      <x:c r="H430" s="7" t="inlineStr">
        <x:is>
          <x:t xml:space="preserve"/>
        </x:is>
      </x:c>
      <x:c r="I430" s="7" t="inlineStr">
        <x:is>
          <x:t xml:space="preserve"/>
        </x:is>
      </x:c>
      <x:c r="J430" s="7" t="inlineStr">
        <x:is>
          <x:t xml:space="preserve"/>
        </x:is>
      </x:c>
      <x:c r="K430" s="6" t="inlineStr">
        <x:is>
          <x:t xml:space="preserve"/>
        </x:is>
      </x:c>
      <x:c r="L430" s="7" t="inlineStr">
        <x:is>
          <x:t xml:space="preserve"/>
        </x:is>
      </x:c>
      <x:c r="M430" s="6" t="inlineStr">
        <x:is>
          <x:t xml:space="preserve"/>
        </x:is>
      </x:c>
      <x:c r="N430" s="6" t="inlineStr">
        <x:is>
          <x:t xml:space="preserve"/>
        </x:is>
      </x:c>
    </x:row>
    <x:row r="431">
      <x:c r="A431" s="7">
        <x:f>IF(B431="","", "T-"&amp;TEXT(ROW()-1,"00000"))</x:f>
      </x:c>
      <x:c r="B431" s="7" t="inlineStr">
        <x:is>
          <x:t xml:space="preserve"/>
        </x:is>
      </x:c>
      <x:c r="C431" s="7" t="inlineStr">
        <x:is>
          <x:t xml:space="preserve"/>
        </x:is>
      </x:c>
      <x:c r="D431" s="7">
        <x:f>IF(B431="","",VALUE(MID(B431,2,4)))</x:f>
      </x:c>
      <x:c r="E431" s="7">
        <x:f>IF(B431="","",MID(B431,6,2))</x:f>
      </x:c>
      <x:c r="F431" s="8" t="inlineStr">
        <x:is>
          <x:t xml:space="preserve"/>
        </x:is>
      </x:c>
      <x:c r="G431" s="6" t="inlineStr">
        <x:is>
          <x:t xml:space="preserve"/>
        </x:is>
      </x:c>
      <x:c r="H431" s="7" t="inlineStr">
        <x:is>
          <x:t xml:space="preserve"/>
        </x:is>
      </x:c>
      <x:c r="I431" s="7" t="inlineStr">
        <x:is>
          <x:t xml:space="preserve"/>
        </x:is>
      </x:c>
      <x:c r="J431" s="7" t="inlineStr">
        <x:is>
          <x:t xml:space="preserve"/>
        </x:is>
      </x:c>
      <x:c r="K431" s="6" t="inlineStr">
        <x:is>
          <x:t xml:space="preserve"/>
        </x:is>
      </x:c>
      <x:c r="L431" s="7" t="inlineStr">
        <x:is>
          <x:t xml:space="preserve"/>
        </x:is>
      </x:c>
      <x:c r="M431" s="6" t="inlineStr">
        <x:is>
          <x:t xml:space="preserve"/>
        </x:is>
      </x:c>
      <x:c r="N431" s="6" t="inlineStr">
        <x:is>
          <x:t xml:space="preserve"/>
        </x:is>
      </x:c>
    </x:row>
    <x:row r="432">
      <x:c r="A432" s="7">
        <x:f>IF(B432="","", "T-"&amp;TEXT(ROW()-1,"00000"))</x:f>
      </x:c>
      <x:c r="B432" s="7" t="inlineStr">
        <x:is>
          <x:t xml:space="preserve"/>
        </x:is>
      </x:c>
      <x:c r="C432" s="7" t="inlineStr">
        <x:is>
          <x:t xml:space="preserve"/>
        </x:is>
      </x:c>
      <x:c r="D432" s="7">
        <x:f>IF(B432="","",VALUE(MID(B432,2,4)))</x:f>
      </x:c>
      <x:c r="E432" s="7">
        <x:f>IF(B432="","",MID(B432,6,2))</x:f>
      </x:c>
      <x:c r="F432" s="8" t="inlineStr">
        <x:is>
          <x:t xml:space="preserve"/>
        </x:is>
      </x:c>
      <x:c r="G432" s="6" t="inlineStr">
        <x:is>
          <x:t xml:space="preserve"/>
        </x:is>
      </x:c>
      <x:c r="H432" s="7" t="inlineStr">
        <x:is>
          <x:t xml:space="preserve"/>
        </x:is>
      </x:c>
      <x:c r="I432" s="7" t="inlineStr">
        <x:is>
          <x:t xml:space="preserve"/>
        </x:is>
      </x:c>
      <x:c r="J432" s="7" t="inlineStr">
        <x:is>
          <x:t xml:space="preserve"/>
        </x:is>
      </x:c>
      <x:c r="K432" s="6" t="inlineStr">
        <x:is>
          <x:t xml:space="preserve"/>
        </x:is>
      </x:c>
      <x:c r="L432" s="7" t="inlineStr">
        <x:is>
          <x:t xml:space="preserve"/>
        </x:is>
      </x:c>
      <x:c r="M432" s="6" t="inlineStr">
        <x:is>
          <x:t xml:space="preserve"/>
        </x:is>
      </x:c>
      <x:c r="N432" s="6" t="inlineStr">
        <x:is>
          <x:t xml:space="preserve"/>
        </x:is>
      </x:c>
    </x:row>
    <x:row r="433">
      <x:c r="A433" s="7">
        <x:f>IF(B433="","", "T-"&amp;TEXT(ROW()-1,"00000"))</x:f>
      </x:c>
      <x:c r="B433" s="7" t="inlineStr">
        <x:is>
          <x:t xml:space="preserve"/>
        </x:is>
      </x:c>
      <x:c r="C433" s="7" t="inlineStr">
        <x:is>
          <x:t xml:space="preserve"/>
        </x:is>
      </x:c>
      <x:c r="D433" s="7">
        <x:f>IF(B433="","",VALUE(MID(B433,2,4)))</x:f>
      </x:c>
      <x:c r="E433" s="7">
        <x:f>IF(B433="","",MID(B433,6,2))</x:f>
      </x:c>
      <x:c r="F433" s="8" t="inlineStr">
        <x:is>
          <x:t xml:space="preserve"/>
        </x:is>
      </x:c>
      <x:c r="G433" s="6" t="inlineStr">
        <x:is>
          <x:t xml:space="preserve"/>
        </x:is>
      </x:c>
      <x:c r="H433" s="7" t="inlineStr">
        <x:is>
          <x:t xml:space="preserve"/>
        </x:is>
      </x:c>
      <x:c r="I433" s="7" t="inlineStr">
        <x:is>
          <x:t xml:space="preserve"/>
        </x:is>
      </x:c>
      <x:c r="J433" s="7" t="inlineStr">
        <x:is>
          <x:t xml:space="preserve"/>
        </x:is>
      </x:c>
      <x:c r="K433" s="6" t="inlineStr">
        <x:is>
          <x:t xml:space="preserve"/>
        </x:is>
      </x:c>
      <x:c r="L433" s="7" t="inlineStr">
        <x:is>
          <x:t xml:space="preserve"/>
        </x:is>
      </x:c>
      <x:c r="M433" s="6" t="inlineStr">
        <x:is>
          <x:t xml:space="preserve"/>
        </x:is>
      </x:c>
      <x:c r="N433" s="6" t="inlineStr">
        <x:is>
          <x:t xml:space="preserve"/>
        </x:is>
      </x:c>
    </x:row>
    <x:row r="434">
      <x:c r="A434" s="7">
        <x:f>IF(B434="","", "T-"&amp;TEXT(ROW()-1,"00000"))</x:f>
      </x:c>
      <x:c r="B434" s="7" t="inlineStr">
        <x:is>
          <x:t xml:space="preserve"/>
        </x:is>
      </x:c>
      <x:c r="C434" s="7" t="inlineStr">
        <x:is>
          <x:t xml:space="preserve"/>
        </x:is>
      </x:c>
      <x:c r="D434" s="7">
        <x:f>IF(B434="","",VALUE(MID(B434,2,4)))</x:f>
      </x:c>
      <x:c r="E434" s="7">
        <x:f>IF(B434="","",MID(B434,6,2))</x:f>
      </x:c>
      <x:c r="F434" s="8" t="inlineStr">
        <x:is>
          <x:t xml:space="preserve"/>
        </x:is>
      </x:c>
      <x:c r="G434" s="6" t="inlineStr">
        <x:is>
          <x:t xml:space="preserve"/>
        </x:is>
      </x:c>
      <x:c r="H434" s="7" t="inlineStr">
        <x:is>
          <x:t xml:space="preserve"/>
        </x:is>
      </x:c>
      <x:c r="I434" s="7" t="inlineStr">
        <x:is>
          <x:t xml:space="preserve"/>
        </x:is>
      </x:c>
      <x:c r="J434" s="7" t="inlineStr">
        <x:is>
          <x:t xml:space="preserve"/>
        </x:is>
      </x:c>
      <x:c r="K434" s="6" t="inlineStr">
        <x:is>
          <x:t xml:space="preserve"/>
        </x:is>
      </x:c>
      <x:c r="L434" s="7" t="inlineStr">
        <x:is>
          <x:t xml:space="preserve"/>
        </x:is>
      </x:c>
      <x:c r="M434" s="6" t="inlineStr">
        <x:is>
          <x:t xml:space="preserve"/>
        </x:is>
      </x:c>
      <x:c r="N434" s="6" t="inlineStr">
        <x:is>
          <x:t xml:space="preserve"/>
        </x:is>
      </x:c>
    </x:row>
    <x:row r="435">
      <x:c r="A435" s="7">
        <x:f>IF(B435="","", "T-"&amp;TEXT(ROW()-1,"00000"))</x:f>
      </x:c>
      <x:c r="B435" s="7" t="inlineStr">
        <x:is>
          <x:t xml:space="preserve"/>
        </x:is>
      </x:c>
      <x:c r="C435" s="7" t="inlineStr">
        <x:is>
          <x:t xml:space="preserve"/>
        </x:is>
      </x:c>
      <x:c r="D435" s="7">
        <x:f>IF(B435="","",VALUE(MID(B435,2,4)))</x:f>
      </x:c>
      <x:c r="E435" s="7">
        <x:f>IF(B435="","",MID(B435,6,2))</x:f>
      </x:c>
      <x:c r="F435" s="8" t="inlineStr">
        <x:is>
          <x:t xml:space="preserve"/>
        </x:is>
      </x:c>
      <x:c r="G435" s="6" t="inlineStr">
        <x:is>
          <x:t xml:space="preserve"/>
        </x:is>
      </x:c>
      <x:c r="H435" s="7" t="inlineStr">
        <x:is>
          <x:t xml:space="preserve"/>
        </x:is>
      </x:c>
      <x:c r="I435" s="7" t="inlineStr">
        <x:is>
          <x:t xml:space="preserve"/>
        </x:is>
      </x:c>
      <x:c r="J435" s="7" t="inlineStr">
        <x:is>
          <x:t xml:space="preserve"/>
        </x:is>
      </x:c>
      <x:c r="K435" s="6" t="inlineStr">
        <x:is>
          <x:t xml:space="preserve"/>
        </x:is>
      </x:c>
      <x:c r="L435" s="7" t="inlineStr">
        <x:is>
          <x:t xml:space="preserve"/>
        </x:is>
      </x:c>
      <x:c r="M435" s="6" t="inlineStr">
        <x:is>
          <x:t xml:space="preserve"/>
        </x:is>
      </x:c>
      <x:c r="N435" s="6" t="inlineStr">
        <x:is>
          <x:t xml:space="preserve"/>
        </x:is>
      </x:c>
    </x:row>
    <x:row r="436">
      <x:c r="A436" s="7">
        <x:f>IF(B436="","", "T-"&amp;TEXT(ROW()-1,"00000"))</x:f>
      </x:c>
      <x:c r="B436" s="7" t="inlineStr">
        <x:is>
          <x:t xml:space="preserve"/>
        </x:is>
      </x:c>
      <x:c r="C436" s="7" t="inlineStr">
        <x:is>
          <x:t xml:space="preserve"/>
        </x:is>
      </x:c>
      <x:c r="D436" s="7">
        <x:f>IF(B436="","",VALUE(MID(B436,2,4)))</x:f>
      </x:c>
      <x:c r="E436" s="7">
        <x:f>IF(B436="","",MID(B436,6,2))</x:f>
      </x:c>
      <x:c r="F436" s="8" t="inlineStr">
        <x:is>
          <x:t xml:space="preserve"/>
        </x:is>
      </x:c>
      <x:c r="G436" s="6" t="inlineStr">
        <x:is>
          <x:t xml:space="preserve"/>
        </x:is>
      </x:c>
      <x:c r="H436" s="7" t="inlineStr">
        <x:is>
          <x:t xml:space="preserve"/>
        </x:is>
      </x:c>
      <x:c r="I436" s="7" t="inlineStr">
        <x:is>
          <x:t xml:space="preserve"/>
        </x:is>
      </x:c>
      <x:c r="J436" s="7" t="inlineStr">
        <x:is>
          <x:t xml:space="preserve"/>
        </x:is>
      </x:c>
      <x:c r="K436" s="6" t="inlineStr">
        <x:is>
          <x:t xml:space="preserve"/>
        </x:is>
      </x:c>
      <x:c r="L436" s="7" t="inlineStr">
        <x:is>
          <x:t xml:space="preserve"/>
        </x:is>
      </x:c>
      <x:c r="M436" s="6" t="inlineStr">
        <x:is>
          <x:t xml:space="preserve"/>
        </x:is>
      </x:c>
      <x:c r="N436" s="6" t="inlineStr">
        <x:is>
          <x:t xml:space="preserve"/>
        </x:is>
      </x:c>
    </x:row>
    <x:row r="437">
      <x:c r="A437" s="7">
        <x:f>IF(B437="","", "T-"&amp;TEXT(ROW()-1,"00000"))</x:f>
      </x:c>
      <x:c r="B437" s="7" t="inlineStr">
        <x:is>
          <x:t xml:space="preserve"/>
        </x:is>
      </x:c>
      <x:c r="C437" s="7" t="inlineStr">
        <x:is>
          <x:t xml:space="preserve"/>
        </x:is>
      </x:c>
      <x:c r="D437" s="7">
        <x:f>IF(B437="","",VALUE(MID(B437,2,4)))</x:f>
      </x:c>
      <x:c r="E437" s="7">
        <x:f>IF(B437="","",MID(B437,6,2))</x:f>
      </x:c>
      <x:c r="F437" s="8" t="inlineStr">
        <x:is>
          <x:t xml:space="preserve"/>
        </x:is>
      </x:c>
      <x:c r="G437" s="6" t="inlineStr">
        <x:is>
          <x:t xml:space="preserve"/>
        </x:is>
      </x:c>
      <x:c r="H437" s="7" t="inlineStr">
        <x:is>
          <x:t xml:space="preserve"/>
        </x:is>
      </x:c>
      <x:c r="I437" s="7" t="inlineStr">
        <x:is>
          <x:t xml:space="preserve"/>
        </x:is>
      </x:c>
      <x:c r="J437" s="7" t="inlineStr">
        <x:is>
          <x:t xml:space="preserve"/>
        </x:is>
      </x:c>
      <x:c r="K437" s="6" t="inlineStr">
        <x:is>
          <x:t xml:space="preserve"/>
        </x:is>
      </x:c>
      <x:c r="L437" s="7" t="inlineStr">
        <x:is>
          <x:t xml:space="preserve"/>
        </x:is>
      </x:c>
      <x:c r="M437" s="6" t="inlineStr">
        <x:is>
          <x:t xml:space="preserve"/>
        </x:is>
      </x:c>
      <x:c r="N437" s="6" t="inlineStr">
        <x:is>
          <x:t xml:space="preserve"/>
        </x:is>
      </x:c>
    </x:row>
    <x:row r="438">
      <x:c r="A438" s="7">
        <x:f>IF(B438="","", "T-"&amp;TEXT(ROW()-1,"00000"))</x:f>
      </x:c>
      <x:c r="B438" s="7" t="inlineStr">
        <x:is>
          <x:t xml:space="preserve"/>
        </x:is>
      </x:c>
      <x:c r="C438" s="7" t="inlineStr">
        <x:is>
          <x:t xml:space="preserve"/>
        </x:is>
      </x:c>
      <x:c r="D438" s="7">
        <x:f>IF(B438="","",VALUE(MID(B438,2,4)))</x:f>
      </x:c>
      <x:c r="E438" s="7">
        <x:f>IF(B438="","",MID(B438,6,2))</x:f>
      </x:c>
      <x:c r="F438" s="8" t="inlineStr">
        <x:is>
          <x:t xml:space="preserve"/>
        </x:is>
      </x:c>
      <x:c r="G438" s="6" t="inlineStr">
        <x:is>
          <x:t xml:space="preserve"/>
        </x:is>
      </x:c>
      <x:c r="H438" s="7" t="inlineStr">
        <x:is>
          <x:t xml:space="preserve"/>
        </x:is>
      </x:c>
      <x:c r="I438" s="7" t="inlineStr">
        <x:is>
          <x:t xml:space="preserve"/>
        </x:is>
      </x:c>
      <x:c r="J438" s="7" t="inlineStr">
        <x:is>
          <x:t xml:space="preserve"/>
        </x:is>
      </x:c>
      <x:c r="K438" s="6" t="inlineStr">
        <x:is>
          <x:t xml:space="preserve"/>
        </x:is>
      </x:c>
      <x:c r="L438" s="7" t="inlineStr">
        <x:is>
          <x:t xml:space="preserve"/>
        </x:is>
      </x:c>
      <x:c r="M438" s="6" t="inlineStr">
        <x:is>
          <x:t xml:space="preserve"/>
        </x:is>
      </x:c>
      <x:c r="N438" s="6" t="inlineStr">
        <x:is>
          <x:t xml:space="preserve"/>
        </x:is>
      </x:c>
    </x:row>
    <x:row r="439">
      <x:c r="A439" s="7">
        <x:f>IF(B439="","", "T-"&amp;TEXT(ROW()-1,"00000"))</x:f>
      </x:c>
      <x:c r="B439" s="7" t="inlineStr">
        <x:is>
          <x:t xml:space="preserve"/>
        </x:is>
      </x:c>
      <x:c r="C439" s="7" t="inlineStr">
        <x:is>
          <x:t xml:space="preserve"/>
        </x:is>
      </x:c>
      <x:c r="D439" s="7">
        <x:f>IF(B439="","",VALUE(MID(B439,2,4)))</x:f>
      </x:c>
      <x:c r="E439" s="7">
        <x:f>IF(B439="","",MID(B439,6,2))</x:f>
      </x:c>
      <x:c r="F439" s="8" t="inlineStr">
        <x:is>
          <x:t xml:space="preserve"/>
        </x:is>
      </x:c>
      <x:c r="G439" s="6" t="inlineStr">
        <x:is>
          <x:t xml:space="preserve"/>
        </x:is>
      </x:c>
      <x:c r="H439" s="7" t="inlineStr">
        <x:is>
          <x:t xml:space="preserve"/>
        </x:is>
      </x:c>
      <x:c r="I439" s="7" t="inlineStr">
        <x:is>
          <x:t xml:space="preserve"/>
        </x:is>
      </x:c>
      <x:c r="J439" s="7" t="inlineStr">
        <x:is>
          <x:t xml:space="preserve"/>
        </x:is>
      </x:c>
      <x:c r="K439" s="6" t="inlineStr">
        <x:is>
          <x:t xml:space="preserve"/>
        </x:is>
      </x:c>
      <x:c r="L439" s="7" t="inlineStr">
        <x:is>
          <x:t xml:space="preserve"/>
        </x:is>
      </x:c>
      <x:c r="M439" s="6" t="inlineStr">
        <x:is>
          <x:t xml:space="preserve"/>
        </x:is>
      </x:c>
      <x:c r="N439" s="6" t="inlineStr">
        <x:is>
          <x:t xml:space="preserve"/>
        </x:is>
      </x:c>
    </x:row>
    <x:row r="440">
      <x:c r="A440" s="7">
        <x:f>IF(B440="","", "T-"&amp;TEXT(ROW()-1,"00000"))</x:f>
      </x:c>
      <x:c r="B440" s="7" t="inlineStr">
        <x:is>
          <x:t xml:space="preserve"/>
        </x:is>
      </x:c>
      <x:c r="C440" s="7" t="inlineStr">
        <x:is>
          <x:t xml:space="preserve"/>
        </x:is>
      </x:c>
      <x:c r="D440" s="7">
        <x:f>IF(B440="","",VALUE(MID(B440,2,4)))</x:f>
      </x:c>
      <x:c r="E440" s="7">
        <x:f>IF(B440="","",MID(B440,6,2))</x:f>
      </x:c>
      <x:c r="F440" s="8" t="inlineStr">
        <x:is>
          <x:t xml:space="preserve"/>
        </x:is>
      </x:c>
      <x:c r="G440" s="6" t="inlineStr">
        <x:is>
          <x:t xml:space="preserve"/>
        </x:is>
      </x:c>
      <x:c r="H440" s="7" t="inlineStr">
        <x:is>
          <x:t xml:space="preserve"/>
        </x:is>
      </x:c>
      <x:c r="I440" s="7" t="inlineStr">
        <x:is>
          <x:t xml:space="preserve"/>
        </x:is>
      </x:c>
      <x:c r="J440" s="7" t="inlineStr">
        <x:is>
          <x:t xml:space="preserve"/>
        </x:is>
      </x:c>
      <x:c r="K440" s="6" t="inlineStr">
        <x:is>
          <x:t xml:space="preserve"/>
        </x:is>
      </x:c>
      <x:c r="L440" s="7" t="inlineStr">
        <x:is>
          <x:t xml:space="preserve"/>
        </x:is>
      </x:c>
      <x:c r="M440" s="6" t="inlineStr">
        <x:is>
          <x:t xml:space="preserve"/>
        </x:is>
      </x:c>
      <x:c r="N440" s="6" t="inlineStr">
        <x:is>
          <x:t xml:space="preserve"/>
        </x:is>
      </x:c>
    </x:row>
    <x:row r="441">
      <x:c r="A441" s="7">
        <x:f>IF(B441="","", "T-"&amp;TEXT(ROW()-1,"00000"))</x:f>
      </x:c>
      <x:c r="B441" s="7" t="inlineStr">
        <x:is>
          <x:t xml:space="preserve"/>
        </x:is>
      </x:c>
      <x:c r="C441" s="7" t="inlineStr">
        <x:is>
          <x:t xml:space="preserve"/>
        </x:is>
      </x:c>
      <x:c r="D441" s="7">
        <x:f>IF(B441="","",VALUE(MID(B441,2,4)))</x:f>
      </x:c>
      <x:c r="E441" s="7">
        <x:f>IF(B441="","",MID(B441,6,2))</x:f>
      </x:c>
      <x:c r="F441" s="8" t="inlineStr">
        <x:is>
          <x:t xml:space="preserve"/>
        </x:is>
      </x:c>
      <x:c r="G441" s="6" t="inlineStr">
        <x:is>
          <x:t xml:space="preserve"/>
        </x:is>
      </x:c>
      <x:c r="H441" s="7" t="inlineStr">
        <x:is>
          <x:t xml:space="preserve"/>
        </x:is>
      </x:c>
      <x:c r="I441" s="7" t="inlineStr">
        <x:is>
          <x:t xml:space="preserve"/>
        </x:is>
      </x:c>
      <x:c r="J441" s="7" t="inlineStr">
        <x:is>
          <x:t xml:space="preserve"/>
        </x:is>
      </x:c>
      <x:c r="K441" s="6" t="inlineStr">
        <x:is>
          <x:t xml:space="preserve"/>
        </x:is>
      </x:c>
      <x:c r="L441" s="7" t="inlineStr">
        <x:is>
          <x:t xml:space="preserve"/>
        </x:is>
      </x:c>
      <x:c r="M441" s="6" t="inlineStr">
        <x:is>
          <x:t xml:space="preserve"/>
        </x:is>
      </x:c>
      <x:c r="N441" s="6" t="inlineStr">
        <x:is>
          <x:t xml:space="preserve"/>
        </x:is>
      </x:c>
    </x:row>
    <x:row r="442">
      <x:c r="A442" s="7">
        <x:f>IF(B442="","", "T-"&amp;TEXT(ROW()-1,"00000"))</x:f>
      </x:c>
      <x:c r="B442" s="7" t="inlineStr">
        <x:is>
          <x:t xml:space="preserve"/>
        </x:is>
      </x:c>
      <x:c r="C442" s="7" t="inlineStr">
        <x:is>
          <x:t xml:space="preserve"/>
        </x:is>
      </x:c>
      <x:c r="D442" s="7">
        <x:f>IF(B442="","",VALUE(MID(B442,2,4)))</x:f>
      </x:c>
      <x:c r="E442" s="7">
        <x:f>IF(B442="","",MID(B442,6,2))</x:f>
      </x:c>
      <x:c r="F442" s="8" t="inlineStr">
        <x:is>
          <x:t xml:space="preserve"/>
        </x:is>
      </x:c>
      <x:c r="G442" s="6" t="inlineStr">
        <x:is>
          <x:t xml:space="preserve"/>
        </x:is>
      </x:c>
      <x:c r="H442" s="7" t="inlineStr">
        <x:is>
          <x:t xml:space="preserve"/>
        </x:is>
      </x:c>
      <x:c r="I442" s="7" t="inlineStr">
        <x:is>
          <x:t xml:space="preserve"/>
        </x:is>
      </x:c>
      <x:c r="J442" s="7" t="inlineStr">
        <x:is>
          <x:t xml:space="preserve"/>
        </x:is>
      </x:c>
      <x:c r="K442" s="6" t="inlineStr">
        <x:is>
          <x:t xml:space="preserve"/>
        </x:is>
      </x:c>
      <x:c r="L442" s="7" t="inlineStr">
        <x:is>
          <x:t xml:space="preserve"/>
        </x:is>
      </x:c>
      <x:c r="M442" s="6" t="inlineStr">
        <x:is>
          <x:t xml:space="preserve"/>
        </x:is>
      </x:c>
      <x:c r="N442" s="6" t="inlineStr">
        <x:is>
          <x:t xml:space="preserve"/>
        </x:is>
      </x:c>
    </x:row>
    <x:row r="443">
      <x:c r="A443" s="7">
        <x:f>IF(B443="","", "T-"&amp;TEXT(ROW()-1,"00000"))</x:f>
      </x:c>
      <x:c r="B443" s="7" t="inlineStr">
        <x:is>
          <x:t xml:space="preserve"/>
        </x:is>
      </x:c>
      <x:c r="C443" s="7" t="inlineStr">
        <x:is>
          <x:t xml:space="preserve"/>
        </x:is>
      </x:c>
      <x:c r="D443" s="7">
        <x:f>IF(B443="","",VALUE(MID(B443,2,4)))</x:f>
      </x:c>
      <x:c r="E443" s="7">
        <x:f>IF(B443="","",MID(B443,6,2))</x:f>
      </x:c>
      <x:c r="F443" s="8" t="inlineStr">
        <x:is>
          <x:t xml:space="preserve"/>
        </x:is>
      </x:c>
      <x:c r="G443" s="6" t="inlineStr">
        <x:is>
          <x:t xml:space="preserve"/>
        </x:is>
      </x:c>
      <x:c r="H443" s="7" t="inlineStr">
        <x:is>
          <x:t xml:space="preserve"/>
        </x:is>
      </x:c>
      <x:c r="I443" s="7" t="inlineStr">
        <x:is>
          <x:t xml:space="preserve"/>
        </x:is>
      </x:c>
      <x:c r="J443" s="7" t="inlineStr">
        <x:is>
          <x:t xml:space="preserve"/>
        </x:is>
      </x:c>
      <x:c r="K443" s="6" t="inlineStr">
        <x:is>
          <x:t xml:space="preserve"/>
        </x:is>
      </x:c>
      <x:c r="L443" s="7" t="inlineStr">
        <x:is>
          <x:t xml:space="preserve"/>
        </x:is>
      </x:c>
      <x:c r="M443" s="6" t="inlineStr">
        <x:is>
          <x:t xml:space="preserve"/>
        </x:is>
      </x:c>
      <x:c r="N443" s="6" t="inlineStr">
        <x:is>
          <x:t xml:space="preserve"/>
        </x:is>
      </x:c>
    </x:row>
    <x:row r="444">
      <x:c r="A444" s="7">
        <x:f>IF(B444="","", "T-"&amp;TEXT(ROW()-1,"00000"))</x:f>
      </x:c>
      <x:c r="B444" s="7" t="inlineStr">
        <x:is>
          <x:t xml:space="preserve"/>
        </x:is>
      </x:c>
      <x:c r="C444" s="7" t="inlineStr">
        <x:is>
          <x:t xml:space="preserve"/>
        </x:is>
      </x:c>
      <x:c r="D444" s="7">
        <x:f>IF(B444="","",VALUE(MID(B444,2,4)))</x:f>
      </x:c>
      <x:c r="E444" s="7">
        <x:f>IF(B444="","",MID(B444,6,2))</x:f>
      </x:c>
      <x:c r="F444" s="8" t="inlineStr">
        <x:is>
          <x:t xml:space="preserve"/>
        </x:is>
      </x:c>
      <x:c r="G444" s="6" t="inlineStr">
        <x:is>
          <x:t xml:space="preserve"/>
        </x:is>
      </x:c>
      <x:c r="H444" s="7" t="inlineStr">
        <x:is>
          <x:t xml:space="preserve"/>
        </x:is>
      </x:c>
      <x:c r="I444" s="7" t="inlineStr">
        <x:is>
          <x:t xml:space="preserve"/>
        </x:is>
      </x:c>
      <x:c r="J444" s="7" t="inlineStr">
        <x:is>
          <x:t xml:space="preserve"/>
        </x:is>
      </x:c>
      <x:c r="K444" s="6" t="inlineStr">
        <x:is>
          <x:t xml:space="preserve"/>
        </x:is>
      </x:c>
      <x:c r="L444" s="7" t="inlineStr">
        <x:is>
          <x:t xml:space="preserve"/>
        </x:is>
      </x:c>
      <x:c r="M444" s="6" t="inlineStr">
        <x:is>
          <x:t xml:space="preserve"/>
        </x:is>
      </x:c>
      <x:c r="N444" s="6" t="inlineStr">
        <x:is>
          <x:t xml:space="preserve"/>
        </x:is>
      </x:c>
    </x:row>
    <x:row r="445">
      <x:c r="A445" s="7">
        <x:f>IF(B445="","", "T-"&amp;TEXT(ROW()-1,"00000"))</x:f>
      </x:c>
      <x:c r="B445" s="7" t="inlineStr">
        <x:is>
          <x:t xml:space="preserve"/>
        </x:is>
      </x:c>
      <x:c r="C445" s="7" t="inlineStr">
        <x:is>
          <x:t xml:space="preserve"/>
        </x:is>
      </x:c>
      <x:c r="D445" s="7">
        <x:f>IF(B445="","",VALUE(MID(B445,2,4)))</x:f>
      </x:c>
      <x:c r="E445" s="7">
        <x:f>IF(B445="","",MID(B445,6,2))</x:f>
      </x:c>
      <x:c r="F445" s="8" t="inlineStr">
        <x:is>
          <x:t xml:space="preserve"/>
        </x:is>
      </x:c>
      <x:c r="G445" s="6" t="inlineStr">
        <x:is>
          <x:t xml:space="preserve"/>
        </x:is>
      </x:c>
      <x:c r="H445" s="7" t="inlineStr">
        <x:is>
          <x:t xml:space="preserve"/>
        </x:is>
      </x:c>
      <x:c r="I445" s="7" t="inlineStr">
        <x:is>
          <x:t xml:space="preserve"/>
        </x:is>
      </x:c>
      <x:c r="J445" s="7" t="inlineStr">
        <x:is>
          <x:t xml:space="preserve"/>
        </x:is>
      </x:c>
      <x:c r="K445" s="6" t="inlineStr">
        <x:is>
          <x:t xml:space="preserve"/>
        </x:is>
      </x:c>
      <x:c r="L445" s="7" t="inlineStr">
        <x:is>
          <x:t xml:space="preserve"/>
        </x:is>
      </x:c>
      <x:c r="M445" s="6" t="inlineStr">
        <x:is>
          <x:t xml:space="preserve"/>
        </x:is>
      </x:c>
      <x:c r="N445" s="6" t="inlineStr">
        <x:is>
          <x:t xml:space="preserve"/>
        </x:is>
      </x:c>
    </x:row>
    <x:row r="446">
      <x:c r="A446" s="7">
        <x:f>IF(B446="","", "T-"&amp;TEXT(ROW()-1,"00000"))</x:f>
      </x:c>
      <x:c r="B446" s="7" t="inlineStr">
        <x:is>
          <x:t xml:space="preserve"/>
        </x:is>
      </x:c>
      <x:c r="C446" s="7" t="inlineStr">
        <x:is>
          <x:t xml:space="preserve"/>
        </x:is>
      </x:c>
      <x:c r="D446" s="7">
        <x:f>IF(B446="","",VALUE(MID(B446,2,4)))</x:f>
      </x:c>
      <x:c r="E446" s="7">
        <x:f>IF(B446="","",MID(B446,6,2))</x:f>
      </x:c>
      <x:c r="F446" s="8" t="inlineStr">
        <x:is>
          <x:t xml:space="preserve"/>
        </x:is>
      </x:c>
      <x:c r="G446" s="6" t="inlineStr">
        <x:is>
          <x:t xml:space="preserve"/>
        </x:is>
      </x:c>
      <x:c r="H446" s="7" t="inlineStr">
        <x:is>
          <x:t xml:space="preserve"/>
        </x:is>
      </x:c>
      <x:c r="I446" s="7" t="inlineStr">
        <x:is>
          <x:t xml:space="preserve"/>
        </x:is>
      </x:c>
      <x:c r="J446" s="7" t="inlineStr">
        <x:is>
          <x:t xml:space="preserve"/>
        </x:is>
      </x:c>
      <x:c r="K446" s="6" t="inlineStr">
        <x:is>
          <x:t xml:space="preserve"/>
        </x:is>
      </x:c>
      <x:c r="L446" s="7" t="inlineStr">
        <x:is>
          <x:t xml:space="preserve"/>
        </x:is>
      </x:c>
      <x:c r="M446" s="6" t="inlineStr">
        <x:is>
          <x:t xml:space="preserve"/>
        </x:is>
      </x:c>
      <x:c r="N446" s="6" t="inlineStr">
        <x:is>
          <x:t xml:space="preserve"/>
        </x:is>
      </x:c>
    </x:row>
    <x:row r="447">
      <x:c r="A447" s="7">
        <x:f>IF(B447="","", "T-"&amp;TEXT(ROW()-1,"00000"))</x:f>
      </x:c>
      <x:c r="B447" s="7" t="inlineStr">
        <x:is>
          <x:t xml:space="preserve"/>
        </x:is>
      </x:c>
      <x:c r="C447" s="7" t="inlineStr">
        <x:is>
          <x:t xml:space="preserve"/>
        </x:is>
      </x:c>
      <x:c r="D447" s="7">
        <x:f>IF(B447="","",VALUE(MID(B447,2,4)))</x:f>
      </x:c>
      <x:c r="E447" s="7">
        <x:f>IF(B447="","",MID(B447,6,2))</x:f>
      </x:c>
      <x:c r="F447" s="8" t="inlineStr">
        <x:is>
          <x:t xml:space="preserve"/>
        </x:is>
      </x:c>
      <x:c r="G447" s="6" t="inlineStr">
        <x:is>
          <x:t xml:space="preserve"/>
        </x:is>
      </x:c>
      <x:c r="H447" s="7" t="inlineStr">
        <x:is>
          <x:t xml:space="preserve"/>
        </x:is>
      </x:c>
      <x:c r="I447" s="7" t="inlineStr">
        <x:is>
          <x:t xml:space="preserve"/>
        </x:is>
      </x:c>
      <x:c r="J447" s="7" t="inlineStr">
        <x:is>
          <x:t xml:space="preserve"/>
        </x:is>
      </x:c>
      <x:c r="K447" s="6" t="inlineStr">
        <x:is>
          <x:t xml:space="preserve"/>
        </x:is>
      </x:c>
      <x:c r="L447" s="7" t="inlineStr">
        <x:is>
          <x:t xml:space="preserve"/>
        </x:is>
      </x:c>
      <x:c r="M447" s="6" t="inlineStr">
        <x:is>
          <x:t xml:space="preserve"/>
        </x:is>
      </x:c>
      <x:c r="N447" s="6" t="inlineStr">
        <x:is>
          <x:t xml:space="preserve"/>
        </x:is>
      </x:c>
    </x:row>
    <x:row r="448">
      <x:c r="A448" s="7">
        <x:f>IF(B448="","", "T-"&amp;TEXT(ROW()-1,"00000"))</x:f>
      </x:c>
      <x:c r="B448" s="7" t="inlineStr">
        <x:is>
          <x:t xml:space="preserve"/>
        </x:is>
      </x:c>
      <x:c r="C448" s="7" t="inlineStr">
        <x:is>
          <x:t xml:space="preserve"/>
        </x:is>
      </x:c>
      <x:c r="D448" s="7">
        <x:f>IF(B448="","",VALUE(MID(B448,2,4)))</x:f>
      </x:c>
      <x:c r="E448" s="7">
        <x:f>IF(B448="","",MID(B448,6,2))</x:f>
      </x:c>
      <x:c r="F448" s="8" t="inlineStr">
        <x:is>
          <x:t xml:space="preserve"/>
        </x:is>
      </x:c>
      <x:c r="G448" s="6" t="inlineStr">
        <x:is>
          <x:t xml:space="preserve"/>
        </x:is>
      </x:c>
      <x:c r="H448" s="7" t="inlineStr">
        <x:is>
          <x:t xml:space="preserve"/>
        </x:is>
      </x:c>
      <x:c r="I448" s="7" t="inlineStr">
        <x:is>
          <x:t xml:space="preserve"/>
        </x:is>
      </x:c>
      <x:c r="J448" s="7" t="inlineStr">
        <x:is>
          <x:t xml:space="preserve"/>
        </x:is>
      </x:c>
      <x:c r="K448" s="6" t="inlineStr">
        <x:is>
          <x:t xml:space="preserve"/>
        </x:is>
      </x:c>
      <x:c r="L448" s="7" t="inlineStr">
        <x:is>
          <x:t xml:space="preserve"/>
        </x:is>
      </x:c>
      <x:c r="M448" s="6" t="inlineStr">
        <x:is>
          <x:t xml:space="preserve"/>
        </x:is>
      </x:c>
      <x:c r="N448" s="6" t="inlineStr">
        <x:is>
          <x:t xml:space="preserve"/>
        </x:is>
      </x:c>
    </x:row>
    <x:row r="449">
      <x:c r="A449" s="7">
        <x:f>IF(B449="","", "T-"&amp;TEXT(ROW()-1,"00000"))</x:f>
      </x:c>
      <x:c r="B449" s="7" t="inlineStr">
        <x:is>
          <x:t xml:space="preserve"/>
        </x:is>
      </x:c>
      <x:c r="C449" s="7" t="inlineStr">
        <x:is>
          <x:t xml:space="preserve"/>
        </x:is>
      </x:c>
      <x:c r="D449" s="7">
        <x:f>IF(B449="","",VALUE(MID(B449,2,4)))</x:f>
      </x:c>
      <x:c r="E449" s="7">
        <x:f>IF(B449="","",MID(B449,6,2))</x:f>
      </x:c>
      <x:c r="F449" s="8" t="inlineStr">
        <x:is>
          <x:t xml:space="preserve"/>
        </x:is>
      </x:c>
      <x:c r="G449" s="6" t="inlineStr">
        <x:is>
          <x:t xml:space="preserve"/>
        </x:is>
      </x:c>
      <x:c r="H449" s="7" t="inlineStr">
        <x:is>
          <x:t xml:space="preserve"/>
        </x:is>
      </x:c>
      <x:c r="I449" s="7" t="inlineStr">
        <x:is>
          <x:t xml:space="preserve"/>
        </x:is>
      </x:c>
      <x:c r="J449" s="7" t="inlineStr">
        <x:is>
          <x:t xml:space="preserve"/>
        </x:is>
      </x:c>
      <x:c r="K449" s="6" t="inlineStr">
        <x:is>
          <x:t xml:space="preserve"/>
        </x:is>
      </x:c>
      <x:c r="L449" s="7" t="inlineStr">
        <x:is>
          <x:t xml:space="preserve"/>
        </x:is>
      </x:c>
      <x:c r="M449" s="6" t="inlineStr">
        <x:is>
          <x:t xml:space="preserve"/>
        </x:is>
      </x:c>
      <x:c r="N449" s="6" t="inlineStr">
        <x:is>
          <x:t xml:space="preserve"/>
        </x:is>
      </x:c>
    </x:row>
    <x:row r="450">
      <x:c r="A450" s="7">
        <x:f>IF(B450="","", "T-"&amp;TEXT(ROW()-1,"00000"))</x:f>
      </x:c>
      <x:c r="B450" s="7" t="inlineStr">
        <x:is>
          <x:t xml:space="preserve"/>
        </x:is>
      </x:c>
      <x:c r="C450" s="7" t="inlineStr">
        <x:is>
          <x:t xml:space="preserve"/>
        </x:is>
      </x:c>
      <x:c r="D450" s="7">
        <x:f>IF(B450="","",VALUE(MID(B450,2,4)))</x:f>
      </x:c>
      <x:c r="E450" s="7">
        <x:f>IF(B450="","",MID(B450,6,2))</x:f>
      </x:c>
      <x:c r="F450" s="8" t="inlineStr">
        <x:is>
          <x:t xml:space="preserve"/>
        </x:is>
      </x:c>
      <x:c r="G450" s="6" t="inlineStr">
        <x:is>
          <x:t xml:space="preserve"/>
        </x:is>
      </x:c>
      <x:c r="H450" s="7" t="inlineStr">
        <x:is>
          <x:t xml:space="preserve"/>
        </x:is>
      </x:c>
      <x:c r="I450" s="7" t="inlineStr">
        <x:is>
          <x:t xml:space="preserve"/>
        </x:is>
      </x:c>
      <x:c r="J450" s="7" t="inlineStr">
        <x:is>
          <x:t xml:space="preserve"/>
        </x:is>
      </x:c>
      <x:c r="K450" s="6" t="inlineStr">
        <x:is>
          <x:t xml:space="preserve"/>
        </x:is>
      </x:c>
      <x:c r="L450" s="7" t="inlineStr">
        <x:is>
          <x:t xml:space="preserve"/>
        </x:is>
      </x:c>
      <x:c r="M450" s="6" t="inlineStr">
        <x:is>
          <x:t xml:space="preserve"/>
        </x:is>
      </x:c>
      <x:c r="N450" s="6" t="inlineStr">
        <x:is>
          <x:t xml:space="preserve"/>
        </x:is>
      </x:c>
    </x:row>
    <x:row r="451">
      <x:c r="A451" s="7">
        <x:f>IF(B451="","", "T-"&amp;TEXT(ROW()-1,"00000"))</x:f>
      </x:c>
      <x:c r="B451" s="7" t="inlineStr">
        <x:is>
          <x:t xml:space="preserve"/>
        </x:is>
      </x:c>
      <x:c r="C451" s="7" t="inlineStr">
        <x:is>
          <x:t xml:space="preserve"/>
        </x:is>
      </x:c>
      <x:c r="D451" s="7">
        <x:f>IF(B451="","",VALUE(MID(B451,2,4)))</x:f>
      </x:c>
      <x:c r="E451" s="7">
        <x:f>IF(B451="","",MID(B451,6,2))</x:f>
      </x:c>
      <x:c r="F451" s="8" t="inlineStr">
        <x:is>
          <x:t xml:space="preserve"/>
        </x:is>
      </x:c>
      <x:c r="G451" s="6" t="inlineStr">
        <x:is>
          <x:t xml:space="preserve"/>
        </x:is>
      </x:c>
      <x:c r="H451" s="7" t="inlineStr">
        <x:is>
          <x:t xml:space="preserve"/>
        </x:is>
      </x:c>
      <x:c r="I451" s="7" t="inlineStr">
        <x:is>
          <x:t xml:space="preserve"/>
        </x:is>
      </x:c>
      <x:c r="J451" s="7" t="inlineStr">
        <x:is>
          <x:t xml:space="preserve"/>
        </x:is>
      </x:c>
      <x:c r="K451" s="6" t="inlineStr">
        <x:is>
          <x:t xml:space="preserve"/>
        </x:is>
      </x:c>
      <x:c r="L451" s="7" t="inlineStr">
        <x:is>
          <x:t xml:space="preserve"/>
        </x:is>
      </x:c>
      <x:c r="M451" s="6" t="inlineStr">
        <x:is>
          <x:t xml:space="preserve"/>
        </x:is>
      </x:c>
      <x:c r="N451" s="6" t="inlineStr">
        <x:is>
          <x:t xml:space="preserve"/>
        </x:is>
      </x:c>
    </x:row>
    <x:row r="452">
      <x:c r="A452" s="7">
        <x:f>IF(B452="","", "T-"&amp;TEXT(ROW()-1,"00000"))</x:f>
      </x:c>
      <x:c r="B452" s="7" t="inlineStr">
        <x:is>
          <x:t xml:space="preserve"/>
        </x:is>
      </x:c>
      <x:c r="C452" s="7" t="inlineStr">
        <x:is>
          <x:t xml:space="preserve"/>
        </x:is>
      </x:c>
      <x:c r="D452" s="7">
        <x:f>IF(B452="","",VALUE(MID(B452,2,4)))</x:f>
      </x:c>
      <x:c r="E452" s="7">
        <x:f>IF(B452="","",MID(B452,6,2))</x:f>
      </x:c>
      <x:c r="F452" s="8" t="inlineStr">
        <x:is>
          <x:t xml:space="preserve"/>
        </x:is>
      </x:c>
      <x:c r="G452" s="6" t="inlineStr">
        <x:is>
          <x:t xml:space="preserve"/>
        </x:is>
      </x:c>
      <x:c r="H452" s="7" t="inlineStr">
        <x:is>
          <x:t xml:space="preserve"/>
        </x:is>
      </x:c>
      <x:c r="I452" s="7" t="inlineStr">
        <x:is>
          <x:t xml:space="preserve"/>
        </x:is>
      </x:c>
      <x:c r="J452" s="7" t="inlineStr">
        <x:is>
          <x:t xml:space="preserve"/>
        </x:is>
      </x:c>
      <x:c r="K452" s="6" t="inlineStr">
        <x:is>
          <x:t xml:space="preserve"/>
        </x:is>
      </x:c>
      <x:c r="L452" s="7" t="inlineStr">
        <x:is>
          <x:t xml:space="preserve"/>
        </x:is>
      </x:c>
      <x:c r="M452" s="6" t="inlineStr">
        <x:is>
          <x:t xml:space="preserve"/>
        </x:is>
      </x:c>
      <x:c r="N452" s="6" t="inlineStr">
        <x:is>
          <x:t xml:space="preserve"/>
        </x:is>
      </x:c>
    </x:row>
    <x:row r="453">
      <x:c r="A453" s="7">
        <x:f>IF(B453="","", "T-"&amp;TEXT(ROW()-1,"00000"))</x:f>
      </x:c>
      <x:c r="B453" s="7" t="inlineStr">
        <x:is>
          <x:t xml:space="preserve"/>
        </x:is>
      </x:c>
      <x:c r="C453" s="7" t="inlineStr">
        <x:is>
          <x:t xml:space="preserve"/>
        </x:is>
      </x:c>
      <x:c r="D453" s="7">
        <x:f>IF(B453="","",VALUE(MID(B453,2,4)))</x:f>
      </x:c>
      <x:c r="E453" s="7">
        <x:f>IF(B453="","",MID(B453,6,2))</x:f>
      </x:c>
      <x:c r="F453" s="8" t="inlineStr">
        <x:is>
          <x:t xml:space="preserve"/>
        </x:is>
      </x:c>
      <x:c r="G453" s="6" t="inlineStr">
        <x:is>
          <x:t xml:space="preserve"/>
        </x:is>
      </x:c>
      <x:c r="H453" s="7" t="inlineStr">
        <x:is>
          <x:t xml:space="preserve"/>
        </x:is>
      </x:c>
      <x:c r="I453" s="7" t="inlineStr">
        <x:is>
          <x:t xml:space="preserve"/>
        </x:is>
      </x:c>
      <x:c r="J453" s="7" t="inlineStr">
        <x:is>
          <x:t xml:space="preserve"/>
        </x:is>
      </x:c>
      <x:c r="K453" s="6" t="inlineStr">
        <x:is>
          <x:t xml:space="preserve"/>
        </x:is>
      </x:c>
      <x:c r="L453" s="7" t="inlineStr">
        <x:is>
          <x:t xml:space="preserve"/>
        </x:is>
      </x:c>
      <x:c r="M453" s="6" t="inlineStr">
        <x:is>
          <x:t xml:space="preserve"/>
        </x:is>
      </x:c>
      <x:c r="N453" s="6" t="inlineStr">
        <x:is>
          <x:t xml:space="preserve"/>
        </x:is>
      </x:c>
    </x:row>
    <x:row r="454">
      <x:c r="A454" s="7">
        <x:f>IF(B454="","", "T-"&amp;TEXT(ROW()-1,"00000"))</x:f>
      </x:c>
      <x:c r="B454" s="7" t="inlineStr">
        <x:is>
          <x:t xml:space="preserve"/>
        </x:is>
      </x:c>
      <x:c r="C454" s="7" t="inlineStr">
        <x:is>
          <x:t xml:space="preserve"/>
        </x:is>
      </x:c>
      <x:c r="D454" s="7">
        <x:f>IF(B454="","",VALUE(MID(B454,2,4)))</x:f>
      </x:c>
      <x:c r="E454" s="7">
        <x:f>IF(B454="","",MID(B454,6,2))</x:f>
      </x:c>
      <x:c r="F454" s="8" t="inlineStr">
        <x:is>
          <x:t xml:space="preserve"/>
        </x:is>
      </x:c>
      <x:c r="G454" s="6" t="inlineStr">
        <x:is>
          <x:t xml:space="preserve"/>
        </x:is>
      </x:c>
      <x:c r="H454" s="7" t="inlineStr">
        <x:is>
          <x:t xml:space="preserve"/>
        </x:is>
      </x:c>
      <x:c r="I454" s="7" t="inlineStr">
        <x:is>
          <x:t xml:space="preserve"/>
        </x:is>
      </x:c>
      <x:c r="J454" s="7" t="inlineStr">
        <x:is>
          <x:t xml:space="preserve"/>
        </x:is>
      </x:c>
      <x:c r="K454" s="6" t="inlineStr">
        <x:is>
          <x:t xml:space="preserve"/>
        </x:is>
      </x:c>
      <x:c r="L454" s="7" t="inlineStr">
        <x:is>
          <x:t xml:space="preserve"/>
        </x:is>
      </x:c>
      <x:c r="M454" s="6" t="inlineStr">
        <x:is>
          <x:t xml:space="preserve"/>
        </x:is>
      </x:c>
      <x:c r="N454" s="6" t="inlineStr">
        <x:is>
          <x:t xml:space="preserve"/>
        </x:is>
      </x:c>
    </x:row>
    <x:row r="455">
      <x:c r="A455" s="7">
        <x:f>IF(B455="","", "T-"&amp;TEXT(ROW()-1,"00000"))</x:f>
      </x:c>
      <x:c r="B455" s="7" t="inlineStr">
        <x:is>
          <x:t xml:space="preserve"/>
        </x:is>
      </x:c>
      <x:c r="C455" s="7" t="inlineStr">
        <x:is>
          <x:t xml:space="preserve"/>
        </x:is>
      </x:c>
      <x:c r="D455" s="7">
        <x:f>IF(B455="","",VALUE(MID(B455,2,4)))</x:f>
      </x:c>
      <x:c r="E455" s="7">
        <x:f>IF(B455="","",MID(B455,6,2))</x:f>
      </x:c>
      <x:c r="F455" s="8" t="inlineStr">
        <x:is>
          <x:t xml:space="preserve"/>
        </x:is>
      </x:c>
      <x:c r="G455" s="6" t="inlineStr">
        <x:is>
          <x:t xml:space="preserve"/>
        </x:is>
      </x:c>
      <x:c r="H455" s="7" t="inlineStr">
        <x:is>
          <x:t xml:space="preserve"/>
        </x:is>
      </x:c>
      <x:c r="I455" s="7" t="inlineStr">
        <x:is>
          <x:t xml:space="preserve"/>
        </x:is>
      </x:c>
      <x:c r="J455" s="7" t="inlineStr">
        <x:is>
          <x:t xml:space="preserve"/>
        </x:is>
      </x:c>
      <x:c r="K455" s="6" t="inlineStr">
        <x:is>
          <x:t xml:space="preserve"/>
        </x:is>
      </x:c>
      <x:c r="L455" s="7" t="inlineStr">
        <x:is>
          <x:t xml:space="preserve"/>
        </x:is>
      </x:c>
      <x:c r="M455" s="6" t="inlineStr">
        <x:is>
          <x:t xml:space="preserve"/>
        </x:is>
      </x:c>
      <x:c r="N455" s="6" t="inlineStr">
        <x:is>
          <x:t xml:space="preserve"/>
        </x:is>
      </x:c>
    </x:row>
    <x:row r="456">
      <x:c r="A456" s="7">
        <x:f>IF(B456="","", "T-"&amp;TEXT(ROW()-1,"00000"))</x:f>
      </x:c>
      <x:c r="B456" s="7" t="inlineStr">
        <x:is>
          <x:t xml:space="preserve"/>
        </x:is>
      </x:c>
      <x:c r="C456" s="7" t="inlineStr">
        <x:is>
          <x:t xml:space="preserve"/>
        </x:is>
      </x:c>
      <x:c r="D456" s="7">
        <x:f>IF(B456="","",VALUE(MID(B456,2,4)))</x:f>
      </x:c>
      <x:c r="E456" s="7">
        <x:f>IF(B456="","",MID(B456,6,2))</x:f>
      </x:c>
      <x:c r="F456" s="8" t="inlineStr">
        <x:is>
          <x:t xml:space="preserve"/>
        </x:is>
      </x:c>
      <x:c r="G456" s="6" t="inlineStr">
        <x:is>
          <x:t xml:space="preserve"/>
        </x:is>
      </x:c>
      <x:c r="H456" s="7" t="inlineStr">
        <x:is>
          <x:t xml:space="preserve"/>
        </x:is>
      </x:c>
      <x:c r="I456" s="7" t="inlineStr">
        <x:is>
          <x:t xml:space="preserve"/>
        </x:is>
      </x:c>
      <x:c r="J456" s="7" t="inlineStr">
        <x:is>
          <x:t xml:space="preserve"/>
        </x:is>
      </x:c>
      <x:c r="K456" s="6" t="inlineStr">
        <x:is>
          <x:t xml:space="preserve"/>
        </x:is>
      </x:c>
      <x:c r="L456" s="7" t="inlineStr">
        <x:is>
          <x:t xml:space="preserve"/>
        </x:is>
      </x:c>
      <x:c r="M456" s="6" t="inlineStr">
        <x:is>
          <x:t xml:space="preserve"/>
        </x:is>
      </x:c>
      <x:c r="N456" s="6" t="inlineStr">
        <x:is>
          <x:t xml:space="preserve"/>
        </x:is>
      </x:c>
    </x:row>
    <x:row r="457">
      <x:c r="A457" s="7">
        <x:f>IF(B457="","", "T-"&amp;TEXT(ROW()-1,"00000"))</x:f>
      </x:c>
      <x:c r="B457" s="7" t="inlineStr">
        <x:is>
          <x:t xml:space="preserve"/>
        </x:is>
      </x:c>
      <x:c r="C457" s="7" t="inlineStr">
        <x:is>
          <x:t xml:space="preserve"/>
        </x:is>
      </x:c>
      <x:c r="D457" s="7">
        <x:f>IF(B457="","",VALUE(MID(B457,2,4)))</x:f>
      </x:c>
      <x:c r="E457" s="7">
        <x:f>IF(B457="","",MID(B457,6,2))</x:f>
      </x:c>
      <x:c r="F457" s="8" t="inlineStr">
        <x:is>
          <x:t xml:space="preserve"/>
        </x:is>
      </x:c>
      <x:c r="G457" s="6" t="inlineStr">
        <x:is>
          <x:t xml:space="preserve"/>
        </x:is>
      </x:c>
      <x:c r="H457" s="7" t="inlineStr">
        <x:is>
          <x:t xml:space="preserve"/>
        </x:is>
      </x:c>
      <x:c r="I457" s="7" t="inlineStr">
        <x:is>
          <x:t xml:space="preserve"/>
        </x:is>
      </x:c>
      <x:c r="J457" s="7" t="inlineStr">
        <x:is>
          <x:t xml:space="preserve"/>
        </x:is>
      </x:c>
      <x:c r="K457" s="6" t="inlineStr">
        <x:is>
          <x:t xml:space="preserve"/>
        </x:is>
      </x:c>
      <x:c r="L457" s="7" t="inlineStr">
        <x:is>
          <x:t xml:space="preserve"/>
        </x:is>
      </x:c>
      <x:c r="M457" s="6" t="inlineStr">
        <x:is>
          <x:t xml:space="preserve"/>
        </x:is>
      </x:c>
      <x:c r="N457" s="6" t="inlineStr">
        <x:is>
          <x:t xml:space="preserve"/>
        </x:is>
      </x:c>
    </x:row>
    <x:row r="458">
      <x:c r="A458" s="7">
        <x:f>IF(B458="","", "T-"&amp;TEXT(ROW()-1,"00000"))</x:f>
      </x:c>
      <x:c r="B458" s="7" t="inlineStr">
        <x:is>
          <x:t xml:space="preserve"/>
        </x:is>
      </x:c>
      <x:c r="C458" s="7" t="inlineStr">
        <x:is>
          <x:t xml:space="preserve"/>
        </x:is>
      </x:c>
      <x:c r="D458" s="7">
        <x:f>IF(B458="","",VALUE(MID(B458,2,4)))</x:f>
      </x:c>
      <x:c r="E458" s="7">
        <x:f>IF(B458="","",MID(B458,6,2))</x:f>
      </x:c>
      <x:c r="F458" s="8" t="inlineStr">
        <x:is>
          <x:t xml:space="preserve"/>
        </x:is>
      </x:c>
      <x:c r="G458" s="6" t="inlineStr">
        <x:is>
          <x:t xml:space="preserve"/>
        </x:is>
      </x:c>
      <x:c r="H458" s="7" t="inlineStr">
        <x:is>
          <x:t xml:space="preserve"/>
        </x:is>
      </x:c>
      <x:c r="I458" s="7" t="inlineStr">
        <x:is>
          <x:t xml:space="preserve"/>
        </x:is>
      </x:c>
      <x:c r="J458" s="7" t="inlineStr">
        <x:is>
          <x:t xml:space="preserve"/>
        </x:is>
      </x:c>
      <x:c r="K458" s="6" t="inlineStr">
        <x:is>
          <x:t xml:space="preserve"/>
        </x:is>
      </x:c>
      <x:c r="L458" s="7" t="inlineStr">
        <x:is>
          <x:t xml:space="preserve"/>
        </x:is>
      </x:c>
      <x:c r="M458" s="6" t="inlineStr">
        <x:is>
          <x:t xml:space="preserve"/>
        </x:is>
      </x:c>
      <x:c r="N458" s="6" t="inlineStr">
        <x:is>
          <x:t xml:space="preserve"/>
        </x:is>
      </x:c>
    </x:row>
    <x:row r="459">
      <x:c r="A459" s="7">
        <x:f>IF(B459="","", "T-"&amp;TEXT(ROW()-1,"00000"))</x:f>
      </x:c>
      <x:c r="B459" s="7" t="inlineStr">
        <x:is>
          <x:t xml:space="preserve"/>
        </x:is>
      </x:c>
      <x:c r="C459" s="7" t="inlineStr">
        <x:is>
          <x:t xml:space="preserve"/>
        </x:is>
      </x:c>
      <x:c r="D459" s="7">
        <x:f>IF(B459="","",VALUE(MID(B459,2,4)))</x:f>
      </x:c>
      <x:c r="E459" s="7">
        <x:f>IF(B459="","",MID(B459,6,2))</x:f>
      </x:c>
      <x:c r="F459" s="8" t="inlineStr">
        <x:is>
          <x:t xml:space="preserve"/>
        </x:is>
      </x:c>
      <x:c r="G459" s="6" t="inlineStr">
        <x:is>
          <x:t xml:space="preserve"/>
        </x:is>
      </x:c>
      <x:c r="H459" s="7" t="inlineStr">
        <x:is>
          <x:t xml:space="preserve"/>
        </x:is>
      </x:c>
      <x:c r="I459" s="7" t="inlineStr">
        <x:is>
          <x:t xml:space="preserve"/>
        </x:is>
      </x:c>
      <x:c r="J459" s="7" t="inlineStr">
        <x:is>
          <x:t xml:space="preserve"/>
        </x:is>
      </x:c>
      <x:c r="K459" s="6" t="inlineStr">
        <x:is>
          <x:t xml:space="preserve"/>
        </x:is>
      </x:c>
      <x:c r="L459" s="7" t="inlineStr">
        <x:is>
          <x:t xml:space="preserve"/>
        </x:is>
      </x:c>
      <x:c r="M459" s="6" t="inlineStr">
        <x:is>
          <x:t xml:space="preserve"/>
        </x:is>
      </x:c>
      <x:c r="N459" s="6" t="inlineStr">
        <x:is>
          <x:t xml:space="preserve"/>
        </x:is>
      </x:c>
    </x:row>
    <x:row r="460">
      <x:c r="A460" s="7">
        <x:f>IF(B460="","", "T-"&amp;TEXT(ROW()-1,"00000"))</x:f>
      </x:c>
      <x:c r="B460" s="7" t="inlineStr">
        <x:is>
          <x:t xml:space="preserve"/>
        </x:is>
      </x:c>
      <x:c r="C460" s="7" t="inlineStr">
        <x:is>
          <x:t xml:space="preserve"/>
        </x:is>
      </x:c>
      <x:c r="D460" s="7">
        <x:f>IF(B460="","",VALUE(MID(B460,2,4)))</x:f>
      </x:c>
      <x:c r="E460" s="7">
        <x:f>IF(B460="","",MID(B460,6,2))</x:f>
      </x:c>
      <x:c r="F460" s="8" t="inlineStr">
        <x:is>
          <x:t xml:space="preserve"/>
        </x:is>
      </x:c>
      <x:c r="G460" s="6" t="inlineStr">
        <x:is>
          <x:t xml:space="preserve"/>
        </x:is>
      </x:c>
      <x:c r="H460" s="7" t="inlineStr">
        <x:is>
          <x:t xml:space="preserve"/>
        </x:is>
      </x:c>
      <x:c r="I460" s="7" t="inlineStr">
        <x:is>
          <x:t xml:space="preserve"/>
        </x:is>
      </x:c>
      <x:c r="J460" s="7" t="inlineStr">
        <x:is>
          <x:t xml:space="preserve"/>
        </x:is>
      </x:c>
      <x:c r="K460" s="6" t="inlineStr">
        <x:is>
          <x:t xml:space="preserve"/>
        </x:is>
      </x:c>
      <x:c r="L460" s="7" t="inlineStr">
        <x:is>
          <x:t xml:space="preserve"/>
        </x:is>
      </x:c>
      <x:c r="M460" s="6" t="inlineStr">
        <x:is>
          <x:t xml:space="preserve"/>
        </x:is>
      </x:c>
      <x:c r="N460" s="6" t="inlineStr">
        <x:is>
          <x:t xml:space="preserve"/>
        </x:is>
      </x:c>
    </x:row>
    <x:row r="461">
      <x:c r="A461" s="7">
        <x:f>IF(B461="","", "T-"&amp;TEXT(ROW()-1,"00000"))</x:f>
      </x:c>
      <x:c r="B461" s="7" t="inlineStr">
        <x:is>
          <x:t xml:space="preserve"/>
        </x:is>
      </x:c>
      <x:c r="C461" s="7" t="inlineStr">
        <x:is>
          <x:t xml:space="preserve"/>
        </x:is>
      </x:c>
      <x:c r="D461" s="7">
        <x:f>IF(B461="","",VALUE(MID(B461,2,4)))</x:f>
      </x:c>
      <x:c r="E461" s="7">
        <x:f>IF(B461="","",MID(B461,6,2))</x:f>
      </x:c>
      <x:c r="F461" s="8" t="inlineStr">
        <x:is>
          <x:t xml:space="preserve"/>
        </x:is>
      </x:c>
      <x:c r="G461" s="6" t="inlineStr">
        <x:is>
          <x:t xml:space="preserve"/>
        </x:is>
      </x:c>
      <x:c r="H461" s="7" t="inlineStr">
        <x:is>
          <x:t xml:space="preserve"/>
        </x:is>
      </x:c>
      <x:c r="I461" s="7" t="inlineStr">
        <x:is>
          <x:t xml:space="preserve"/>
        </x:is>
      </x:c>
      <x:c r="J461" s="7" t="inlineStr">
        <x:is>
          <x:t xml:space="preserve"/>
        </x:is>
      </x:c>
      <x:c r="K461" s="6" t="inlineStr">
        <x:is>
          <x:t xml:space="preserve"/>
        </x:is>
      </x:c>
      <x:c r="L461" s="7" t="inlineStr">
        <x:is>
          <x:t xml:space="preserve"/>
        </x:is>
      </x:c>
      <x:c r="M461" s="6" t="inlineStr">
        <x:is>
          <x:t xml:space="preserve"/>
        </x:is>
      </x:c>
      <x:c r="N461" s="6" t="inlineStr">
        <x:is>
          <x:t xml:space="preserve"/>
        </x:is>
      </x:c>
    </x:row>
    <x:row r="462">
      <x:c r="A462" s="7">
        <x:f>IF(B462="","", "T-"&amp;TEXT(ROW()-1,"00000"))</x:f>
      </x:c>
      <x:c r="B462" s="7" t="inlineStr">
        <x:is>
          <x:t xml:space="preserve"/>
        </x:is>
      </x:c>
      <x:c r="C462" s="7" t="inlineStr">
        <x:is>
          <x:t xml:space="preserve"/>
        </x:is>
      </x:c>
      <x:c r="D462" s="7">
        <x:f>IF(B462="","",VALUE(MID(B462,2,4)))</x:f>
      </x:c>
      <x:c r="E462" s="7">
        <x:f>IF(B462="","",MID(B462,6,2))</x:f>
      </x:c>
      <x:c r="F462" s="8" t="inlineStr">
        <x:is>
          <x:t xml:space="preserve"/>
        </x:is>
      </x:c>
      <x:c r="G462" s="6" t="inlineStr">
        <x:is>
          <x:t xml:space="preserve"/>
        </x:is>
      </x:c>
      <x:c r="H462" s="7" t="inlineStr">
        <x:is>
          <x:t xml:space="preserve"/>
        </x:is>
      </x:c>
      <x:c r="I462" s="7" t="inlineStr">
        <x:is>
          <x:t xml:space="preserve"/>
        </x:is>
      </x:c>
      <x:c r="J462" s="7" t="inlineStr">
        <x:is>
          <x:t xml:space="preserve"/>
        </x:is>
      </x:c>
      <x:c r="K462" s="6" t="inlineStr">
        <x:is>
          <x:t xml:space="preserve"/>
        </x:is>
      </x:c>
      <x:c r="L462" s="7" t="inlineStr">
        <x:is>
          <x:t xml:space="preserve"/>
        </x:is>
      </x:c>
      <x:c r="M462" s="6" t="inlineStr">
        <x:is>
          <x:t xml:space="preserve"/>
        </x:is>
      </x:c>
      <x:c r="N462" s="6" t="inlineStr">
        <x:is>
          <x:t xml:space="preserve"/>
        </x:is>
      </x:c>
    </x:row>
    <x:row r="463">
      <x:c r="A463" s="7">
        <x:f>IF(B463="","", "T-"&amp;TEXT(ROW()-1,"00000"))</x:f>
      </x:c>
      <x:c r="B463" s="7" t="inlineStr">
        <x:is>
          <x:t xml:space="preserve"/>
        </x:is>
      </x:c>
      <x:c r="C463" s="7" t="inlineStr">
        <x:is>
          <x:t xml:space="preserve"/>
        </x:is>
      </x:c>
      <x:c r="D463" s="7">
        <x:f>IF(B463="","",VALUE(MID(B463,2,4)))</x:f>
      </x:c>
      <x:c r="E463" s="7">
        <x:f>IF(B463="","",MID(B463,6,2))</x:f>
      </x:c>
      <x:c r="F463" s="8" t="inlineStr">
        <x:is>
          <x:t xml:space="preserve"/>
        </x:is>
      </x:c>
      <x:c r="G463" s="6" t="inlineStr">
        <x:is>
          <x:t xml:space="preserve"/>
        </x:is>
      </x:c>
      <x:c r="H463" s="7" t="inlineStr">
        <x:is>
          <x:t xml:space="preserve"/>
        </x:is>
      </x:c>
      <x:c r="I463" s="7" t="inlineStr">
        <x:is>
          <x:t xml:space="preserve"/>
        </x:is>
      </x:c>
      <x:c r="J463" s="7" t="inlineStr">
        <x:is>
          <x:t xml:space="preserve"/>
        </x:is>
      </x:c>
      <x:c r="K463" s="6" t="inlineStr">
        <x:is>
          <x:t xml:space="preserve"/>
        </x:is>
      </x:c>
      <x:c r="L463" s="7" t="inlineStr">
        <x:is>
          <x:t xml:space="preserve"/>
        </x:is>
      </x:c>
      <x:c r="M463" s="6" t="inlineStr">
        <x:is>
          <x:t xml:space="preserve"/>
        </x:is>
      </x:c>
      <x:c r="N463" s="6" t="inlineStr">
        <x:is>
          <x:t xml:space="preserve"/>
        </x:is>
      </x:c>
    </x:row>
    <x:row r="464">
      <x:c r="A464" s="7">
        <x:f>IF(B464="","", "T-"&amp;TEXT(ROW()-1,"00000"))</x:f>
      </x:c>
      <x:c r="B464" s="7" t="inlineStr">
        <x:is>
          <x:t xml:space="preserve"/>
        </x:is>
      </x:c>
      <x:c r="C464" s="7" t="inlineStr">
        <x:is>
          <x:t xml:space="preserve"/>
        </x:is>
      </x:c>
      <x:c r="D464" s="7">
        <x:f>IF(B464="","",VALUE(MID(B464,2,4)))</x:f>
      </x:c>
      <x:c r="E464" s="7">
        <x:f>IF(B464="","",MID(B464,6,2))</x:f>
      </x:c>
      <x:c r="F464" s="8" t="inlineStr">
        <x:is>
          <x:t xml:space="preserve"/>
        </x:is>
      </x:c>
      <x:c r="G464" s="6" t="inlineStr">
        <x:is>
          <x:t xml:space="preserve"/>
        </x:is>
      </x:c>
      <x:c r="H464" s="7" t="inlineStr">
        <x:is>
          <x:t xml:space="preserve"/>
        </x:is>
      </x:c>
      <x:c r="I464" s="7" t="inlineStr">
        <x:is>
          <x:t xml:space="preserve"/>
        </x:is>
      </x:c>
      <x:c r="J464" s="7" t="inlineStr">
        <x:is>
          <x:t xml:space="preserve"/>
        </x:is>
      </x:c>
      <x:c r="K464" s="6" t="inlineStr">
        <x:is>
          <x:t xml:space="preserve"/>
        </x:is>
      </x:c>
      <x:c r="L464" s="7" t="inlineStr">
        <x:is>
          <x:t xml:space="preserve"/>
        </x:is>
      </x:c>
      <x:c r="M464" s="6" t="inlineStr">
        <x:is>
          <x:t xml:space="preserve"/>
        </x:is>
      </x:c>
      <x:c r="N464" s="6" t="inlineStr">
        <x:is>
          <x:t xml:space="preserve"/>
        </x:is>
      </x:c>
    </x:row>
    <x:row r="465">
      <x:c r="A465" s="7">
        <x:f>IF(B465="","", "T-"&amp;TEXT(ROW()-1,"00000"))</x:f>
      </x:c>
      <x:c r="B465" s="7" t="inlineStr">
        <x:is>
          <x:t xml:space="preserve"/>
        </x:is>
      </x:c>
      <x:c r="C465" s="7" t="inlineStr">
        <x:is>
          <x:t xml:space="preserve"/>
        </x:is>
      </x:c>
      <x:c r="D465" s="7">
        <x:f>IF(B465="","",VALUE(MID(B465,2,4)))</x:f>
      </x:c>
      <x:c r="E465" s="7">
        <x:f>IF(B465="","",MID(B465,6,2))</x:f>
      </x:c>
      <x:c r="F465" s="8" t="inlineStr">
        <x:is>
          <x:t xml:space="preserve"/>
        </x:is>
      </x:c>
      <x:c r="G465" s="6" t="inlineStr">
        <x:is>
          <x:t xml:space="preserve"/>
        </x:is>
      </x:c>
      <x:c r="H465" s="7" t="inlineStr">
        <x:is>
          <x:t xml:space="preserve"/>
        </x:is>
      </x:c>
      <x:c r="I465" s="7" t="inlineStr">
        <x:is>
          <x:t xml:space="preserve"/>
        </x:is>
      </x:c>
      <x:c r="J465" s="7" t="inlineStr">
        <x:is>
          <x:t xml:space="preserve"/>
        </x:is>
      </x:c>
      <x:c r="K465" s="6" t="inlineStr">
        <x:is>
          <x:t xml:space="preserve"/>
        </x:is>
      </x:c>
      <x:c r="L465" s="7" t="inlineStr">
        <x:is>
          <x:t xml:space="preserve"/>
        </x:is>
      </x:c>
      <x:c r="M465" s="6" t="inlineStr">
        <x:is>
          <x:t xml:space="preserve"/>
        </x:is>
      </x:c>
      <x:c r="N465" s="6" t="inlineStr">
        <x:is>
          <x:t xml:space="preserve"/>
        </x:is>
      </x:c>
    </x:row>
    <x:row r="466">
      <x:c r="A466" s="7">
        <x:f>IF(B466="","", "T-"&amp;TEXT(ROW()-1,"00000"))</x:f>
      </x:c>
      <x:c r="B466" s="7" t="inlineStr">
        <x:is>
          <x:t xml:space="preserve"/>
        </x:is>
      </x:c>
      <x:c r="C466" s="7" t="inlineStr">
        <x:is>
          <x:t xml:space="preserve"/>
        </x:is>
      </x:c>
      <x:c r="D466" s="7">
        <x:f>IF(B466="","",VALUE(MID(B466,2,4)))</x:f>
      </x:c>
      <x:c r="E466" s="7">
        <x:f>IF(B466="","",MID(B466,6,2))</x:f>
      </x:c>
      <x:c r="F466" s="8" t="inlineStr">
        <x:is>
          <x:t xml:space="preserve"/>
        </x:is>
      </x:c>
      <x:c r="G466" s="6" t="inlineStr">
        <x:is>
          <x:t xml:space="preserve"/>
        </x:is>
      </x:c>
      <x:c r="H466" s="7" t="inlineStr">
        <x:is>
          <x:t xml:space="preserve"/>
        </x:is>
      </x:c>
      <x:c r="I466" s="7" t="inlineStr">
        <x:is>
          <x:t xml:space="preserve"/>
        </x:is>
      </x:c>
      <x:c r="J466" s="7" t="inlineStr">
        <x:is>
          <x:t xml:space="preserve"/>
        </x:is>
      </x:c>
      <x:c r="K466" s="6" t="inlineStr">
        <x:is>
          <x:t xml:space="preserve"/>
        </x:is>
      </x:c>
      <x:c r="L466" s="7" t="inlineStr">
        <x:is>
          <x:t xml:space="preserve"/>
        </x:is>
      </x:c>
      <x:c r="M466" s="6" t="inlineStr">
        <x:is>
          <x:t xml:space="preserve"/>
        </x:is>
      </x:c>
      <x:c r="N466" s="6" t="inlineStr">
        <x:is>
          <x:t xml:space="preserve"/>
        </x:is>
      </x:c>
    </x:row>
    <x:row r="467">
      <x:c r="A467" s="7">
        <x:f>IF(B467="","", "T-"&amp;TEXT(ROW()-1,"00000"))</x:f>
      </x:c>
      <x:c r="B467" s="7" t="inlineStr">
        <x:is>
          <x:t xml:space="preserve"/>
        </x:is>
      </x:c>
      <x:c r="C467" s="7" t="inlineStr">
        <x:is>
          <x:t xml:space="preserve"/>
        </x:is>
      </x:c>
      <x:c r="D467" s="7">
        <x:f>IF(B467="","",VALUE(MID(B467,2,4)))</x:f>
      </x:c>
      <x:c r="E467" s="7">
        <x:f>IF(B467="","",MID(B467,6,2))</x:f>
      </x:c>
      <x:c r="F467" s="8" t="inlineStr">
        <x:is>
          <x:t xml:space="preserve"/>
        </x:is>
      </x:c>
      <x:c r="G467" s="6" t="inlineStr">
        <x:is>
          <x:t xml:space="preserve"/>
        </x:is>
      </x:c>
      <x:c r="H467" s="7" t="inlineStr">
        <x:is>
          <x:t xml:space="preserve"/>
        </x:is>
      </x:c>
      <x:c r="I467" s="7" t="inlineStr">
        <x:is>
          <x:t xml:space="preserve"/>
        </x:is>
      </x:c>
      <x:c r="J467" s="7" t="inlineStr">
        <x:is>
          <x:t xml:space="preserve"/>
        </x:is>
      </x:c>
      <x:c r="K467" s="6" t="inlineStr">
        <x:is>
          <x:t xml:space="preserve"/>
        </x:is>
      </x:c>
      <x:c r="L467" s="7" t="inlineStr">
        <x:is>
          <x:t xml:space="preserve"/>
        </x:is>
      </x:c>
      <x:c r="M467" s="6" t="inlineStr">
        <x:is>
          <x:t xml:space="preserve"/>
        </x:is>
      </x:c>
      <x:c r="N467" s="6" t="inlineStr">
        <x:is>
          <x:t xml:space="preserve"/>
        </x:is>
      </x:c>
    </x:row>
    <x:row r="468">
      <x:c r="A468" s="7">
        <x:f>IF(B468="","", "T-"&amp;TEXT(ROW()-1,"00000"))</x:f>
      </x:c>
      <x:c r="B468" s="7" t="inlineStr">
        <x:is>
          <x:t xml:space="preserve"/>
        </x:is>
      </x:c>
      <x:c r="C468" s="7" t="inlineStr">
        <x:is>
          <x:t xml:space="preserve"/>
        </x:is>
      </x:c>
      <x:c r="D468" s="7">
        <x:f>IF(B468="","",VALUE(MID(B468,2,4)))</x:f>
      </x:c>
      <x:c r="E468" s="7">
        <x:f>IF(B468="","",MID(B468,6,2))</x:f>
      </x:c>
      <x:c r="F468" s="8" t="inlineStr">
        <x:is>
          <x:t xml:space="preserve"/>
        </x:is>
      </x:c>
      <x:c r="G468" s="6" t="inlineStr">
        <x:is>
          <x:t xml:space="preserve"/>
        </x:is>
      </x:c>
      <x:c r="H468" s="7" t="inlineStr">
        <x:is>
          <x:t xml:space="preserve"/>
        </x:is>
      </x:c>
      <x:c r="I468" s="7" t="inlineStr">
        <x:is>
          <x:t xml:space="preserve"/>
        </x:is>
      </x:c>
      <x:c r="J468" s="7" t="inlineStr">
        <x:is>
          <x:t xml:space="preserve"/>
        </x:is>
      </x:c>
      <x:c r="K468" s="6" t="inlineStr">
        <x:is>
          <x:t xml:space="preserve"/>
        </x:is>
      </x:c>
      <x:c r="L468" s="7" t="inlineStr">
        <x:is>
          <x:t xml:space="preserve"/>
        </x:is>
      </x:c>
      <x:c r="M468" s="6" t="inlineStr">
        <x:is>
          <x:t xml:space="preserve"/>
        </x:is>
      </x:c>
      <x:c r="N468" s="6" t="inlineStr">
        <x:is>
          <x:t xml:space="preserve"/>
        </x:is>
      </x:c>
    </x:row>
    <x:row r="469">
      <x:c r="A469" s="7">
        <x:f>IF(B469="","", "T-"&amp;TEXT(ROW()-1,"00000"))</x:f>
      </x:c>
      <x:c r="B469" s="7" t="inlineStr">
        <x:is>
          <x:t xml:space="preserve"/>
        </x:is>
      </x:c>
      <x:c r="C469" s="7" t="inlineStr">
        <x:is>
          <x:t xml:space="preserve"/>
        </x:is>
      </x:c>
      <x:c r="D469" s="7">
        <x:f>IF(B469="","",VALUE(MID(B469,2,4)))</x:f>
      </x:c>
      <x:c r="E469" s="7">
        <x:f>IF(B469="","",MID(B469,6,2))</x:f>
      </x:c>
      <x:c r="F469" s="8" t="inlineStr">
        <x:is>
          <x:t xml:space="preserve"/>
        </x:is>
      </x:c>
      <x:c r="G469" s="6" t="inlineStr">
        <x:is>
          <x:t xml:space="preserve"/>
        </x:is>
      </x:c>
      <x:c r="H469" s="7" t="inlineStr">
        <x:is>
          <x:t xml:space="preserve"/>
        </x:is>
      </x:c>
      <x:c r="I469" s="7" t="inlineStr">
        <x:is>
          <x:t xml:space="preserve"/>
        </x:is>
      </x:c>
      <x:c r="J469" s="7" t="inlineStr">
        <x:is>
          <x:t xml:space="preserve"/>
        </x:is>
      </x:c>
      <x:c r="K469" s="6" t="inlineStr">
        <x:is>
          <x:t xml:space="preserve"/>
        </x:is>
      </x:c>
      <x:c r="L469" s="7" t="inlineStr">
        <x:is>
          <x:t xml:space="preserve"/>
        </x:is>
      </x:c>
      <x:c r="M469" s="6" t="inlineStr">
        <x:is>
          <x:t xml:space="preserve"/>
        </x:is>
      </x:c>
      <x:c r="N469" s="6" t="inlineStr">
        <x:is>
          <x:t xml:space="preserve"/>
        </x:is>
      </x:c>
    </x:row>
    <x:row r="470">
      <x:c r="A470" s="7">
        <x:f>IF(B470="","", "T-"&amp;TEXT(ROW()-1,"00000"))</x:f>
      </x:c>
      <x:c r="B470" s="7" t="inlineStr">
        <x:is>
          <x:t xml:space="preserve"/>
        </x:is>
      </x:c>
      <x:c r="C470" s="7" t="inlineStr">
        <x:is>
          <x:t xml:space="preserve"/>
        </x:is>
      </x:c>
      <x:c r="D470" s="7">
        <x:f>IF(B470="","",VALUE(MID(B470,2,4)))</x:f>
      </x:c>
      <x:c r="E470" s="7">
        <x:f>IF(B470="","",MID(B470,6,2))</x:f>
      </x:c>
      <x:c r="F470" s="8" t="inlineStr">
        <x:is>
          <x:t xml:space="preserve"/>
        </x:is>
      </x:c>
      <x:c r="G470" s="6" t="inlineStr">
        <x:is>
          <x:t xml:space="preserve"/>
        </x:is>
      </x:c>
      <x:c r="H470" s="7" t="inlineStr">
        <x:is>
          <x:t xml:space="preserve"/>
        </x:is>
      </x:c>
      <x:c r="I470" s="7" t="inlineStr">
        <x:is>
          <x:t xml:space="preserve"/>
        </x:is>
      </x:c>
      <x:c r="J470" s="7" t="inlineStr">
        <x:is>
          <x:t xml:space="preserve"/>
        </x:is>
      </x:c>
      <x:c r="K470" s="6" t="inlineStr">
        <x:is>
          <x:t xml:space="preserve"/>
        </x:is>
      </x:c>
      <x:c r="L470" s="7" t="inlineStr">
        <x:is>
          <x:t xml:space="preserve"/>
        </x:is>
      </x:c>
      <x:c r="M470" s="6" t="inlineStr">
        <x:is>
          <x:t xml:space="preserve"/>
        </x:is>
      </x:c>
      <x:c r="N470" s="6" t="inlineStr">
        <x:is>
          <x:t xml:space="preserve"/>
        </x:is>
      </x:c>
    </x:row>
    <x:row r="471">
      <x:c r="A471" s="7">
        <x:f>IF(B471="","", "T-"&amp;TEXT(ROW()-1,"00000"))</x:f>
      </x:c>
      <x:c r="B471" s="7" t="inlineStr">
        <x:is>
          <x:t xml:space="preserve"/>
        </x:is>
      </x:c>
      <x:c r="C471" s="7" t="inlineStr">
        <x:is>
          <x:t xml:space="preserve"/>
        </x:is>
      </x:c>
      <x:c r="D471" s="7">
        <x:f>IF(B471="","",VALUE(MID(B471,2,4)))</x:f>
      </x:c>
      <x:c r="E471" s="7">
        <x:f>IF(B471="","",MID(B471,6,2))</x:f>
      </x:c>
      <x:c r="F471" s="8" t="inlineStr">
        <x:is>
          <x:t xml:space="preserve"/>
        </x:is>
      </x:c>
      <x:c r="G471" s="6" t="inlineStr">
        <x:is>
          <x:t xml:space="preserve"/>
        </x:is>
      </x:c>
      <x:c r="H471" s="7" t="inlineStr">
        <x:is>
          <x:t xml:space="preserve"/>
        </x:is>
      </x:c>
      <x:c r="I471" s="7" t="inlineStr">
        <x:is>
          <x:t xml:space="preserve"/>
        </x:is>
      </x:c>
      <x:c r="J471" s="7" t="inlineStr">
        <x:is>
          <x:t xml:space="preserve"/>
        </x:is>
      </x:c>
      <x:c r="K471" s="6" t="inlineStr">
        <x:is>
          <x:t xml:space="preserve"/>
        </x:is>
      </x:c>
      <x:c r="L471" s="7" t="inlineStr">
        <x:is>
          <x:t xml:space="preserve"/>
        </x:is>
      </x:c>
      <x:c r="M471" s="6" t="inlineStr">
        <x:is>
          <x:t xml:space="preserve"/>
        </x:is>
      </x:c>
      <x:c r="N471" s="6" t="inlineStr">
        <x:is>
          <x:t xml:space="preserve"/>
        </x:is>
      </x:c>
    </x:row>
    <x:row r="472">
      <x:c r="A472" s="7">
        <x:f>IF(B472="","", "T-"&amp;TEXT(ROW()-1,"00000"))</x:f>
      </x:c>
      <x:c r="B472" s="7" t="inlineStr">
        <x:is>
          <x:t xml:space="preserve"/>
        </x:is>
      </x:c>
      <x:c r="C472" s="7" t="inlineStr">
        <x:is>
          <x:t xml:space="preserve"/>
        </x:is>
      </x:c>
      <x:c r="D472" s="7">
        <x:f>IF(B472="","",VALUE(MID(B472,2,4)))</x:f>
      </x:c>
      <x:c r="E472" s="7">
        <x:f>IF(B472="","",MID(B472,6,2))</x:f>
      </x:c>
      <x:c r="F472" s="8" t="inlineStr">
        <x:is>
          <x:t xml:space="preserve"/>
        </x:is>
      </x:c>
      <x:c r="G472" s="6" t="inlineStr">
        <x:is>
          <x:t xml:space="preserve"/>
        </x:is>
      </x:c>
      <x:c r="H472" s="7" t="inlineStr">
        <x:is>
          <x:t xml:space="preserve"/>
        </x:is>
      </x:c>
      <x:c r="I472" s="7" t="inlineStr">
        <x:is>
          <x:t xml:space="preserve"/>
        </x:is>
      </x:c>
      <x:c r="J472" s="7" t="inlineStr">
        <x:is>
          <x:t xml:space="preserve"/>
        </x:is>
      </x:c>
      <x:c r="K472" s="6" t="inlineStr">
        <x:is>
          <x:t xml:space="preserve"/>
        </x:is>
      </x:c>
      <x:c r="L472" s="7" t="inlineStr">
        <x:is>
          <x:t xml:space="preserve"/>
        </x:is>
      </x:c>
      <x:c r="M472" s="6" t="inlineStr">
        <x:is>
          <x:t xml:space="preserve"/>
        </x:is>
      </x:c>
      <x:c r="N472" s="6" t="inlineStr">
        <x:is>
          <x:t xml:space="preserve"/>
        </x:is>
      </x:c>
    </x:row>
    <x:row r="473">
      <x:c r="A473" s="7">
        <x:f>IF(B473="","", "T-"&amp;TEXT(ROW()-1,"00000"))</x:f>
      </x:c>
      <x:c r="B473" s="7" t="inlineStr">
        <x:is>
          <x:t xml:space="preserve"/>
        </x:is>
      </x:c>
      <x:c r="C473" s="7" t="inlineStr">
        <x:is>
          <x:t xml:space="preserve"/>
        </x:is>
      </x:c>
      <x:c r="D473" s="7">
        <x:f>IF(B473="","",VALUE(MID(B473,2,4)))</x:f>
      </x:c>
      <x:c r="E473" s="7">
        <x:f>IF(B473="","",MID(B473,6,2))</x:f>
      </x:c>
      <x:c r="F473" s="8" t="inlineStr">
        <x:is>
          <x:t xml:space="preserve"/>
        </x:is>
      </x:c>
      <x:c r="G473" s="6" t="inlineStr">
        <x:is>
          <x:t xml:space="preserve"/>
        </x:is>
      </x:c>
      <x:c r="H473" s="7" t="inlineStr">
        <x:is>
          <x:t xml:space="preserve"/>
        </x:is>
      </x:c>
      <x:c r="I473" s="7" t="inlineStr">
        <x:is>
          <x:t xml:space="preserve"/>
        </x:is>
      </x:c>
      <x:c r="J473" s="7" t="inlineStr">
        <x:is>
          <x:t xml:space="preserve"/>
        </x:is>
      </x:c>
      <x:c r="K473" s="6" t="inlineStr">
        <x:is>
          <x:t xml:space="preserve"/>
        </x:is>
      </x:c>
      <x:c r="L473" s="7" t="inlineStr">
        <x:is>
          <x:t xml:space="preserve"/>
        </x:is>
      </x:c>
      <x:c r="M473" s="6" t="inlineStr">
        <x:is>
          <x:t xml:space="preserve"/>
        </x:is>
      </x:c>
      <x:c r="N473" s="6" t="inlineStr">
        <x:is>
          <x:t xml:space="preserve"/>
        </x:is>
      </x:c>
    </x:row>
    <x:row r="474">
      <x:c r="A474" s="7">
        <x:f>IF(B474="","", "T-"&amp;TEXT(ROW()-1,"00000"))</x:f>
      </x:c>
      <x:c r="B474" s="7" t="inlineStr">
        <x:is>
          <x:t xml:space="preserve"/>
        </x:is>
      </x:c>
      <x:c r="C474" s="7" t="inlineStr">
        <x:is>
          <x:t xml:space="preserve"/>
        </x:is>
      </x:c>
      <x:c r="D474" s="7">
        <x:f>IF(B474="","",VALUE(MID(B474,2,4)))</x:f>
      </x:c>
      <x:c r="E474" s="7">
        <x:f>IF(B474="","",MID(B474,6,2))</x:f>
      </x:c>
      <x:c r="F474" s="8" t="inlineStr">
        <x:is>
          <x:t xml:space="preserve"/>
        </x:is>
      </x:c>
      <x:c r="G474" s="6" t="inlineStr">
        <x:is>
          <x:t xml:space="preserve"/>
        </x:is>
      </x:c>
      <x:c r="H474" s="7" t="inlineStr">
        <x:is>
          <x:t xml:space="preserve"/>
        </x:is>
      </x:c>
      <x:c r="I474" s="7" t="inlineStr">
        <x:is>
          <x:t xml:space="preserve"/>
        </x:is>
      </x:c>
      <x:c r="J474" s="7" t="inlineStr">
        <x:is>
          <x:t xml:space="preserve"/>
        </x:is>
      </x:c>
      <x:c r="K474" s="6" t="inlineStr">
        <x:is>
          <x:t xml:space="preserve"/>
        </x:is>
      </x:c>
      <x:c r="L474" s="7" t="inlineStr">
        <x:is>
          <x:t xml:space="preserve"/>
        </x:is>
      </x:c>
      <x:c r="M474" s="6" t="inlineStr">
        <x:is>
          <x:t xml:space="preserve"/>
        </x:is>
      </x:c>
      <x:c r="N474" s="6" t="inlineStr">
        <x:is>
          <x:t xml:space="preserve"/>
        </x:is>
      </x:c>
    </x:row>
    <x:row r="475">
      <x:c r="A475" s="7">
        <x:f>IF(B475="","", "T-"&amp;TEXT(ROW()-1,"00000"))</x:f>
      </x:c>
      <x:c r="B475" s="7" t="inlineStr">
        <x:is>
          <x:t xml:space="preserve"/>
        </x:is>
      </x:c>
      <x:c r="C475" s="7" t="inlineStr">
        <x:is>
          <x:t xml:space="preserve"/>
        </x:is>
      </x:c>
      <x:c r="D475" s="7">
        <x:f>IF(B475="","",VALUE(MID(B475,2,4)))</x:f>
      </x:c>
      <x:c r="E475" s="7">
        <x:f>IF(B475="","",MID(B475,6,2))</x:f>
      </x:c>
      <x:c r="F475" s="8" t="inlineStr">
        <x:is>
          <x:t xml:space="preserve"/>
        </x:is>
      </x:c>
      <x:c r="G475" s="6" t="inlineStr">
        <x:is>
          <x:t xml:space="preserve"/>
        </x:is>
      </x:c>
      <x:c r="H475" s="7" t="inlineStr">
        <x:is>
          <x:t xml:space="preserve"/>
        </x:is>
      </x:c>
      <x:c r="I475" s="7" t="inlineStr">
        <x:is>
          <x:t xml:space="preserve"/>
        </x:is>
      </x:c>
      <x:c r="J475" s="7" t="inlineStr">
        <x:is>
          <x:t xml:space="preserve"/>
        </x:is>
      </x:c>
      <x:c r="K475" s="6" t="inlineStr">
        <x:is>
          <x:t xml:space="preserve"/>
        </x:is>
      </x:c>
      <x:c r="L475" s="7" t="inlineStr">
        <x:is>
          <x:t xml:space="preserve"/>
        </x:is>
      </x:c>
      <x:c r="M475" s="6" t="inlineStr">
        <x:is>
          <x:t xml:space="preserve"/>
        </x:is>
      </x:c>
      <x:c r="N475" s="6" t="inlineStr">
        <x:is>
          <x:t xml:space="preserve"/>
        </x:is>
      </x:c>
    </x:row>
    <x:row r="476">
      <x:c r="A476" s="7">
        <x:f>IF(B476="","", "T-"&amp;TEXT(ROW()-1,"00000"))</x:f>
      </x:c>
      <x:c r="B476" s="7" t="inlineStr">
        <x:is>
          <x:t xml:space="preserve"/>
        </x:is>
      </x:c>
      <x:c r="C476" s="7" t="inlineStr">
        <x:is>
          <x:t xml:space="preserve"/>
        </x:is>
      </x:c>
      <x:c r="D476" s="7">
        <x:f>IF(B476="","",VALUE(MID(B476,2,4)))</x:f>
      </x:c>
      <x:c r="E476" s="7">
        <x:f>IF(B476="","",MID(B476,6,2))</x:f>
      </x:c>
      <x:c r="F476" s="8" t="inlineStr">
        <x:is>
          <x:t xml:space="preserve"/>
        </x:is>
      </x:c>
      <x:c r="G476" s="6" t="inlineStr">
        <x:is>
          <x:t xml:space="preserve"/>
        </x:is>
      </x:c>
      <x:c r="H476" s="7" t="inlineStr">
        <x:is>
          <x:t xml:space="preserve"/>
        </x:is>
      </x:c>
      <x:c r="I476" s="7" t="inlineStr">
        <x:is>
          <x:t xml:space="preserve"/>
        </x:is>
      </x:c>
      <x:c r="J476" s="7" t="inlineStr">
        <x:is>
          <x:t xml:space="preserve"/>
        </x:is>
      </x:c>
      <x:c r="K476" s="6" t="inlineStr">
        <x:is>
          <x:t xml:space="preserve"/>
        </x:is>
      </x:c>
      <x:c r="L476" s="7" t="inlineStr">
        <x:is>
          <x:t xml:space="preserve"/>
        </x:is>
      </x:c>
      <x:c r="M476" s="6" t="inlineStr">
        <x:is>
          <x:t xml:space="preserve"/>
        </x:is>
      </x:c>
      <x:c r="N476" s="6" t="inlineStr">
        <x:is>
          <x:t xml:space="preserve"/>
        </x:is>
      </x:c>
    </x:row>
    <x:row r="477">
      <x:c r="A477" s="7">
        <x:f>IF(B477="","", "T-"&amp;TEXT(ROW()-1,"00000"))</x:f>
      </x:c>
      <x:c r="B477" s="7" t="inlineStr">
        <x:is>
          <x:t xml:space="preserve"/>
        </x:is>
      </x:c>
      <x:c r="C477" s="7" t="inlineStr">
        <x:is>
          <x:t xml:space="preserve"/>
        </x:is>
      </x:c>
      <x:c r="D477" s="7">
        <x:f>IF(B477="","",VALUE(MID(B477,2,4)))</x:f>
      </x:c>
      <x:c r="E477" s="7">
        <x:f>IF(B477="","",MID(B477,6,2))</x:f>
      </x:c>
      <x:c r="F477" s="8" t="inlineStr">
        <x:is>
          <x:t xml:space="preserve"/>
        </x:is>
      </x:c>
      <x:c r="G477" s="6" t="inlineStr">
        <x:is>
          <x:t xml:space="preserve"/>
        </x:is>
      </x:c>
      <x:c r="H477" s="7" t="inlineStr">
        <x:is>
          <x:t xml:space="preserve"/>
        </x:is>
      </x:c>
      <x:c r="I477" s="7" t="inlineStr">
        <x:is>
          <x:t xml:space="preserve"/>
        </x:is>
      </x:c>
      <x:c r="J477" s="7" t="inlineStr">
        <x:is>
          <x:t xml:space="preserve"/>
        </x:is>
      </x:c>
      <x:c r="K477" s="6" t="inlineStr">
        <x:is>
          <x:t xml:space="preserve"/>
        </x:is>
      </x:c>
      <x:c r="L477" s="7" t="inlineStr">
        <x:is>
          <x:t xml:space="preserve"/>
        </x:is>
      </x:c>
      <x:c r="M477" s="6" t="inlineStr">
        <x:is>
          <x:t xml:space="preserve"/>
        </x:is>
      </x:c>
      <x:c r="N477" s="6" t="inlineStr">
        <x:is>
          <x:t xml:space="preserve"/>
        </x:is>
      </x:c>
    </x:row>
    <x:row r="478">
      <x:c r="A478" s="7">
        <x:f>IF(B478="","", "T-"&amp;TEXT(ROW()-1,"00000"))</x:f>
      </x:c>
      <x:c r="B478" s="7" t="inlineStr">
        <x:is>
          <x:t xml:space="preserve"/>
        </x:is>
      </x:c>
      <x:c r="C478" s="7" t="inlineStr">
        <x:is>
          <x:t xml:space="preserve"/>
        </x:is>
      </x:c>
      <x:c r="D478" s="7">
        <x:f>IF(B478="","",VALUE(MID(B478,2,4)))</x:f>
      </x:c>
      <x:c r="E478" s="7">
        <x:f>IF(B478="","",MID(B478,6,2))</x:f>
      </x:c>
      <x:c r="F478" s="8" t="inlineStr">
        <x:is>
          <x:t xml:space="preserve"/>
        </x:is>
      </x:c>
      <x:c r="G478" s="6" t="inlineStr">
        <x:is>
          <x:t xml:space="preserve"/>
        </x:is>
      </x:c>
      <x:c r="H478" s="7" t="inlineStr">
        <x:is>
          <x:t xml:space="preserve"/>
        </x:is>
      </x:c>
      <x:c r="I478" s="7" t="inlineStr">
        <x:is>
          <x:t xml:space="preserve"/>
        </x:is>
      </x:c>
      <x:c r="J478" s="7" t="inlineStr">
        <x:is>
          <x:t xml:space="preserve"/>
        </x:is>
      </x:c>
      <x:c r="K478" s="6" t="inlineStr">
        <x:is>
          <x:t xml:space="preserve"/>
        </x:is>
      </x:c>
      <x:c r="L478" s="7" t="inlineStr">
        <x:is>
          <x:t xml:space="preserve"/>
        </x:is>
      </x:c>
      <x:c r="M478" s="6" t="inlineStr">
        <x:is>
          <x:t xml:space="preserve"/>
        </x:is>
      </x:c>
      <x:c r="N478" s="6" t="inlineStr">
        <x:is>
          <x:t xml:space="preserve"/>
        </x:is>
      </x:c>
    </x:row>
    <x:row r="479">
      <x:c r="A479" s="7">
        <x:f>IF(B479="","", "T-"&amp;TEXT(ROW()-1,"00000"))</x:f>
      </x:c>
      <x:c r="B479" s="7" t="inlineStr">
        <x:is>
          <x:t xml:space="preserve"/>
        </x:is>
      </x:c>
      <x:c r="C479" s="7" t="inlineStr">
        <x:is>
          <x:t xml:space="preserve"/>
        </x:is>
      </x:c>
      <x:c r="D479" s="7">
        <x:f>IF(B479="","",VALUE(MID(B479,2,4)))</x:f>
      </x:c>
      <x:c r="E479" s="7">
        <x:f>IF(B479="","",MID(B479,6,2))</x:f>
      </x:c>
      <x:c r="F479" s="8" t="inlineStr">
        <x:is>
          <x:t xml:space="preserve"/>
        </x:is>
      </x:c>
      <x:c r="G479" s="6" t="inlineStr">
        <x:is>
          <x:t xml:space="preserve"/>
        </x:is>
      </x:c>
      <x:c r="H479" s="7" t="inlineStr">
        <x:is>
          <x:t xml:space="preserve"/>
        </x:is>
      </x:c>
      <x:c r="I479" s="7" t="inlineStr">
        <x:is>
          <x:t xml:space="preserve"/>
        </x:is>
      </x:c>
      <x:c r="J479" s="7" t="inlineStr">
        <x:is>
          <x:t xml:space="preserve"/>
        </x:is>
      </x:c>
      <x:c r="K479" s="6" t="inlineStr">
        <x:is>
          <x:t xml:space="preserve"/>
        </x:is>
      </x:c>
      <x:c r="L479" s="7" t="inlineStr">
        <x:is>
          <x:t xml:space="preserve"/>
        </x:is>
      </x:c>
      <x:c r="M479" s="6" t="inlineStr">
        <x:is>
          <x:t xml:space="preserve"/>
        </x:is>
      </x:c>
      <x:c r="N479" s="6" t="inlineStr">
        <x:is>
          <x:t xml:space="preserve"/>
        </x:is>
      </x:c>
    </x:row>
    <x:row r="480">
      <x:c r="A480" s="7">
        <x:f>IF(B480="","", "T-"&amp;TEXT(ROW()-1,"00000"))</x:f>
      </x:c>
      <x:c r="B480" s="7" t="inlineStr">
        <x:is>
          <x:t xml:space="preserve"/>
        </x:is>
      </x:c>
      <x:c r="C480" s="7" t="inlineStr">
        <x:is>
          <x:t xml:space="preserve"/>
        </x:is>
      </x:c>
      <x:c r="D480" s="7">
        <x:f>IF(B480="","",VALUE(MID(B480,2,4)))</x:f>
      </x:c>
      <x:c r="E480" s="7">
        <x:f>IF(B480="","",MID(B480,6,2))</x:f>
      </x:c>
      <x:c r="F480" s="8" t="inlineStr">
        <x:is>
          <x:t xml:space="preserve"/>
        </x:is>
      </x:c>
      <x:c r="G480" s="6" t="inlineStr">
        <x:is>
          <x:t xml:space="preserve"/>
        </x:is>
      </x:c>
      <x:c r="H480" s="7" t="inlineStr">
        <x:is>
          <x:t xml:space="preserve"/>
        </x:is>
      </x:c>
      <x:c r="I480" s="7" t="inlineStr">
        <x:is>
          <x:t xml:space="preserve"/>
        </x:is>
      </x:c>
      <x:c r="J480" s="7" t="inlineStr">
        <x:is>
          <x:t xml:space="preserve"/>
        </x:is>
      </x:c>
      <x:c r="K480" s="6" t="inlineStr">
        <x:is>
          <x:t xml:space="preserve"/>
        </x:is>
      </x:c>
      <x:c r="L480" s="7" t="inlineStr">
        <x:is>
          <x:t xml:space="preserve"/>
        </x:is>
      </x:c>
      <x:c r="M480" s="6" t="inlineStr">
        <x:is>
          <x:t xml:space="preserve"/>
        </x:is>
      </x:c>
      <x:c r="N480" s="6" t="inlineStr">
        <x:is>
          <x:t xml:space="preserve"/>
        </x:is>
      </x:c>
    </x:row>
    <x:row r="481">
      <x:c r="A481" s="7">
        <x:f>IF(B481="","", "T-"&amp;TEXT(ROW()-1,"00000"))</x:f>
      </x:c>
      <x:c r="B481" s="7" t="inlineStr">
        <x:is>
          <x:t xml:space="preserve"/>
        </x:is>
      </x:c>
      <x:c r="C481" s="7" t="inlineStr">
        <x:is>
          <x:t xml:space="preserve"/>
        </x:is>
      </x:c>
      <x:c r="D481" s="7">
        <x:f>IF(B481="","",VALUE(MID(B481,2,4)))</x:f>
      </x:c>
      <x:c r="E481" s="7">
        <x:f>IF(B481="","",MID(B481,6,2))</x:f>
      </x:c>
      <x:c r="F481" s="8" t="inlineStr">
        <x:is>
          <x:t xml:space="preserve"/>
        </x:is>
      </x:c>
      <x:c r="G481" s="6" t="inlineStr">
        <x:is>
          <x:t xml:space="preserve"/>
        </x:is>
      </x:c>
      <x:c r="H481" s="7" t="inlineStr">
        <x:is>
          <x:t xml:space="preserve"/>
        </x:is>
      </x:c>
      <x:c r="I481" s="7" t="inlineStr">
        <x:is>
          <x:t xml:space="preserve"/>
        </x:is>
      </x:c>
      <x:c r="J481" s="7" t="inlineStr">
        <x:is>
          <x:t xml:space="preserve"/>
        </x:is>
      </x:c>
      <x:c r="K481" s="6" t="inlineStr">
        <x:is>
          <x:t xml:space="preserve"/>
        </x:is>
      </x:c>
      <x:c r="L481" s="7" t="inlineStr">
        <x:is>
          <x:t xml:space="preserve"/>
        </x:is>
      </x:c>
      <x:c r="M481" s="6" t="inlineStr">
        <x:is>
          <x:t xml:space="preserve"/>
        </x:is>
      </x:c>
      <x:c r="N481" s="6" t="inlineStr">
        <x:is>
          <x:t xml:space="preserve"/>
        </x:is>
      </x:c>
    </x:row>
    <x:row r="482">
      <x:c r="A482" s="7">
        <x:f>IF(B482="","", "T-"&amp;TEXT(ROW()-1,"00000"))</x:f>
      </x:c>
      <x:c r="B482" s="7" t="inlineStr">
        <x:is>
          <x:t xml:space="preserve"/>
        </x:is>
      </x:c>
      <x:c r="C482" s="7" t="inlineStr">
        <x:is>
          <x:t xml:space="preserve"/>
        </x:is>
      </x:c>
      <x:c r="D482" s="7">
        <x:f>IF(B482="","",VALUE(MID(B482,2,4)))</x:f>
      </x:c>
      <x:c r="E482" s="7">
        <x:f>IF(B482="","",MID(B482,6,2))</x:f>
      </x:c>
      <x:c r="F482" s="8" t="inlineStr">
        <x:is>
          <x:t xml:space="preserve"/>
        </x:is>
      </x:c>
      <x:c r="G482" s="6" t="inlineStr">
        <x:is>
          <x:t xml:space="preserve"/>
        </x:is>
      </x:c>
      <x:c r="H482" s="7" t="inlineStr">
        <x:is>
          <x:t xml:space="preserve"/>
        </x:is>
      </x:c>
      <x:c r="I482" s="7" t="inlineStr">
        <x:is>
          <x:t xml:space="preserve"/>
        </x:is>
      </x:c>
      <x:c r="J482" s="7" t="inlineStr">
        <x:is>
          <x:t xml:space="preserve"/>
        </x:is>
      </x:c>
      <x:c r="K482" s="6" t="inlineStr">
        <x:is>
          <x:t xml:space="preserve"/>
        </x:is>
      </x:c>
      <x:c r="L482" s="7" t="inlineStr">
        <x:is>
          <x:t xml:space="preserve"/>
        </x:is>
      </x:c>
      <x:c r="M482" s="6" t="inlineStr">
        <x:is>
          <x:t xml:space="preserve"/>
        </x:is>
      </x:c>
      <x:c r="N482" s="6" t="inlineStr">
        <x:is>
          <x:t xml:space="preserve"/>
        </x:is>
      </x:c>
    </x:row>
    <x:row r="483">
      <x:c r="A483" s="7">
        <x:f>IF(B483="","", "T-"&amp;TEXT(ROW()-1,"00000"))</x:f>
      </x:c>
      <x:c r="B483" s="7" t="inlineStr">
        <x:is>
          <x:t xml:space="preserve"/>
        </x:is>
      </x:c>
      <x:c r="C483" s="7" t="inlineStr">
        <x:is>
          <x:t xml:space="preserve"/>
        </x:is>
      </x:c>
      <x:c r="D483" s="7">
        <x:f>IF(B483="","",VALUE(MID(B483,2,4)))</x:f>
      </x:c>
      <x:c r="E483" s="7">
        <x:f>IF(B483="","",MID(B483,6,2))</x:f>
      </x:c>
      <x:c r="F483" s="8" t="inlineStr">
        <x:is>
          <x:t xml:space="preserve"/>
        </x:is>
      </x:c>
      <x:c r="G483" s="6" t="inlineStr">
        <x:is>
          <x:t xml:space="preserve"/>
        </x:is>
      </x:c>
      <x:c r="H483" s="7" t="inlineStr">
        <x:is>
          <x:t xml:space="preserve"/>
        </x:is>
      </x:c>
      <x:c r="I483" s="7" t="inlineStr">
        <x:is>
          <x:t xml:space="preserve"/>
        </x:is>
      </x:c>
      <x:c r="J483" s="7" t="inlineStr">
        <x:is>
          <x:t xml:space="preserve"/>
        </x:is>
      </x:c>
      <x:c r="K483" s="6" t="inlineStr">
        <x:is>
          <x:t xml:space="preserve"/>
        </x:is>
      </x:c>
      <x:c r="L483" s="7" t="inlineStr">
        <x:is>
          <x:t xml:space="preserve"/>
        </x:is>
      </x:c>
      <x:c r="M483" s="6" t="inlineStr">
        <x:is>
          <x:t xml:space="preserve"/>
        </x:is>
      </x:c>
      <x:c r="N483" s="6" t="inlineStr">
        <x:is>
          <x:t xml:space="preserve"/>
        </x:is>
      </x:c>
    </x:row>
    <x:row r="484">
      <x:c r="A484" s="7">
        <x:f>IF(B484="","", "T-"&amp;TEXT(ROW()-1,"00000"))</x:f>
      </x:c>
      <x:c r="B484" s="7" t="inlineStr">
        <x:is>
          <x:t xml:space="preserve"/>
        </x:is>
      </x:c>
      <x:c r="C484" s="7" t="inlineStr">
        <x:is>
          <x:t xml:space="preserve"/>
        </x:is>
      </x:c>
      <x:c r="D484" s="7">
        <x:f>IF(B484="","",VALUE(MID(B484,2,4)))</x:f>
      </x:c>
      <x:c r="E484" s="7">
        <x:f>IF(B484="","",MID(B484,6,2))</x:f>
      </x:c>
      <x:c r="F484" s="8" t="inlineStr">
        <x:is>
          <x:t xml:space="preserve"/>
        </x:is>
      </x:c>
      <x:c r="G484" s="6" t="inlineStr">
        <x:is>
          <x:t xml:space="preserve"/>
        </x:is>
      </x:c>
      <x:c r="H484" s="7" t="inlineStr">
        <x:is>
          <x:t xml:space="preserve"/>
        </x:is>
      </x:c>
      <x:c r="I484" s="7" t="inlineStr">
        <x:is>
          <x:t xml:space="preserve"/>
        </x:is>
      </x:c>
      <x:c r="J484" s="7" t="inlineStr">
        <x:is>
          <x:t xml:space="preserve"/>
        </x:is>
      </x:c>
      <x:c r="K484" s="6" t="inlineStr">
        <x:is>
          <x:t xml:space="preserve"/>
        </x:is>
      </x:c>
      <x:c r="L484" s="7" t="inlineStr">
        <x:is>
          <x:t xml:space="preserve"/>
        </x:is>
      </x:c>
      <x:c r="M484" s="6" t="inlineStr">
        <x:is>
          <x:t xml:space="preserve"/>
        </x:is>
      </x:c>
      <x:c r="N484" s="6" t="inlineStr">
        <x:is>
          <x:t xml:space="preserve"/>
        </x:is>
      </x:c>
    </x:row>
    <x:row r="485">
      <x:c r="A485" s="7">
        <x:f>IF(B485="","", "T-"&amp;TEXT(ROW()-1,"00000"))</x:f>
      </x:c>
      <x:c r="B485" s="7" t="inlineStr">
        <x:is>
          <x:t xml:space="preserve"/>
        </x:is>
      </x:c>
      <x:c r="C485" s="7" t="inlineStr">
        <x:is>
          <x:t xml:space="preserve"/>
        </x:is>
      </x:c>
      <x:c r="D485" s="7">
        <x:f>IF(B485="","",VALUE(MID(B485,2,4)))</x:f>
      </x:c>
      <x:c r="E485" s="7">
        <x:f>IF(B485="","",MID(B485,6,2))</x:f>
      </x:c>
      <x:c r="F485" s="8" t="inlineStr">
        <x:is>
          <x:t xml:space="preserve"/>
        </x:is>
      </x:c>
      <x:c r="G485" s="6" t="inlineStr">
        <x:is>
          <x:t xml:space="preserve"/>
        </x:is>
      </x:c>
      <x:c r="H485" s="7" t="inlineStr">
        <x:is>
          <x:t xml:space="preserve"/>
        </x:is>
      </x:c>
      <x:c r="I485" s="7" t="inlineStr">
        <x:is>
          <x:t xml:space="preserve"/>
        </x:is>
      </x:c>
      <x:c r="J485" s="7" t="inlineStr">
        <x:is>
          <x:t xml:space="preserve"/>
        </x:is>
      </x:c>
      <x:c r="K485" s="6" t="inlineStr">
        <x:is>
          <x:t xml:space="preserve"/>
        </x:is>
      </x:c>
      <x:c r="L485" s="7" t="inlineStr">
        <x:is>
          <x:t xml:space="preserve"/>
        </x:is>
      </x:c>
      <x:c r="M485" s="6" t="inlineStr">
        <x:is>
          <x:t xml:space="preserve"/>
        </x:is>
      </x:c>
      <x:c r="N485" s="6" t="inlineStr">
        <x:is>
          <x:t xml:space="preserve"/>
        </x:is>
      </x:c>
    </x:row>
    <x:row r="486">
      <x:c r="A486" s="7">
        <x:f>IF(B486="","", "T-"&amp;TEXT(ROW()-1,"00000"))</x:f>
      </x:c>
      <x:c r="B486" s="7" t="inlineStr">
        <x:is>
          <x:t xml:space="preserve"/>
        </x:is>
      </x:c>
      <x:c r="C486" s="7" t="inlineStr">
        <x:is>
          <x:t xml:space="preserve"/>
        </x:is>
      </x:c>
      <x:c r="D486" s="7">
        <x:f>IF(B486="","",VALUE(MID(B486,2,4)))</x:f>
      </x:c>
      <x:c r="E486" s="7">
        <x:f>IF(B486="","",MID(B486,6,2))</x:f>
      </x:c>
      <x:c r="F486" s="8" t="inlineStr">
        <x:is>
          <x:t xml:space="preserve"/>
        </x:is>
      </x:c>
      <x:c r="G486" s="6" t="inlineStr">
        <x:is>
          <x:t xml:space="preserve"/>
        </x:is>
      </x:c>
      <x:c r="H486" s="7" t="inlineStr">
        <x:is>
          <x:t xml:space="preserve"/>
        </x:is>
      </x:c>
      <x:c r="I486" s="7" t="inlineStr">
        <x:is>
          <x:t xml:space="preserve"/>
        </x:is>
      </x:c>
      <x:c r="J486" s="7" t="inlineStr">
        <x:is>
          <x:t xml:space="preserve"/>
        </x:is>
      </x:c>
      <x:c r="K486" s="6" t="inlineStr">
        <x:is>
          <x:t xml:space="preserve"/>
        </x:is>
      </x:c>
      <x:c r="L486" s="7" t="inlineStr">
        <x:is>
          <x:t xml:space="preserve"/>
        </x:is>
      </x:c>
      <x:c r="M486" s="6" t="inlineStr">
        <x:is>
          <x:t xml:space="preserve"/>
        </x:is>
      </x:c>
      <x:c r="N486" s="6" t="inlineStr">
        <x:is>
          <x:t xml:space="preserve"/>
        </x:is>
      </x:c>
    </x:row>
    <x:row r="487">
      <x:c r="A487" s="7">
        <x:f>IF(B487="","", "T-"&amp;TEXT(ROW()-1,"00000"))</x:f>
      </x:c>
      <x:c r="B487" s="7" t="inlineStr">
        <x:is>
          <x:t xml:space="preserve"/>
        </x:is>
      </x:c>
      <x:c r="C487" s="7" t="inlineStr">
        <x:is>
          <x:t xml:space="preserve"/>
        </x:is>
      </x:c>
      <x:c r="D487" s="7">
        <x:f>IF(B487="","",VALUE(MID(B487,2,4)))</x:f>
      </x:c>
      <x:c r="E487" s="7">
        <x:f>IF(B487="","",MID(B487,6,2))</x:f>
      </x:c>
      <x:c r="F487" s="8" t="inlineStr">
        <x:is>
          <x:t xml:space="preserve"/>
        </x:is>
      </x:c>
      <x:c r="G487" s="6" t="inlineStr">
        <x:is>
          <x:t xml:space="preserve"/>
        </x:is>
      </x:c>
      <x:c r="H487" s="7" t="inlineStr">
        <x:is>
          <x:t xml:space="preserve"/>
        </x:is>
      </x:c>
      <x:c r="I487" s="7" t="inlineStr">
        <x:is>
          <x:t xml:space="preserve"/>
        </x:is>
      </x:c>
      <x:c r="J487" s="7" t="inlineStr">
        <x:is>
          <x:t xml:space="preserve"/>
        </x:is>
      </x:c>
      <x:c r="K487" s="6" t="inlineStr">
        <x:is>
          <x:t xml:space="preserve"/>
        </x:is>
      </x:c>
      <x:c r="L487" s="7" t="inlineStr">
        <x:is>
          <x:t xml:space="preserve"/>
        </x:is>
      </x:c>
      <x:c r="M487" s="6" t="inlineStr">
        <x:is>
          <x:t xml:space="preserve"/>
        </x:is>
      </x:c>
      <x:c r="N487" s="6" t="inlineStr">
        <x:is>
          <x:t xml:space="preserve"/>
        </x:is>
      </x:c>
    </x:row>
    <x:row r="488">
      <x:c r="A488" s="7">
        <x:f>IF(B488="","", "T-"&amp;TEXT(ROW()-1,"00000"))</x:f>
      </x:c>
      <x:c r="B488" s="7" t="inlineStr">
        <x:is>
          <x:t xml:space="preserve"/>
        </x:is>
      </x:c>
      <x:c r="C488" s="7" t="inlineStr">
        <x:is>
          <x:t xml:space="preserve"/>
        </x:is>
      </x:c>
      <x:c r="D488" s="7">
        <x:f>IF(B488="","",VALUE(MID(B488,2,4)))</x:f>
      </x:c>
      <x:c r="E488" s="7">
        <x:f>IF(B488="","",MID(B488,6,2))</x:f>
      </x:c>
      <x:c r="F488" s="8" t="inlineStr">
        <x:is>
          <x:t xml:space="preserve"/>
        </x:is>
      </x:c>
      <x:c r="G488" s="6" t="inlineStr">
        <x:is>
          <x:t xml:space="preserve"/>
        </x:is>
      </x:c>
      <x:c r="H488" s="7" t="inlineStr">
        <x:is>
          <x:t xml:space="preserve"/>
        </x:is>
      </x:c>
      <x:c r="I488" s="7" t="inlineStr">
        <x:is>
          <x:t xml:space="preserve"/>
        </x:is>
      </x:c>
      <x:c r="J488" s="7" t="inlineStr">
        <x:is>
          <x:t xml:space="preserve"/>
        </x:is>
      </x:c>
      <x:c r="K488" s="6" t="inlineStr">
        <x:is>
          <x:t xml:space="preserve"/>
        </x:is>
      </x:c>
      <x:c r="L488" s="7" t="inlineStr">
        <x:is>
          <x:t xml:space="preserve"/>
        </x:is>
      </x:c>
      <x:c r="M488" s="6" t="inlineStr">
        <x:is>
          <x:t xml:space="preserve"/>
        </x:is>
      </x:c>
      <x:c r="N488" s="6" t="inlineStr">
        <x:is>
          <x:t xml:space="preserve"/>
        </x:is>
      </x:c>
    </x:row>
    <x:row r="489">
      <x:c r="A489" s="7">
        <x:f>IF(B489="","", "T-"&amp;TEXT(ROW()-1,"00000"))</x:f>
      </x:c>
      <x:c r="B489" s="7" t="inlineStr">
        <x:is>
          <x:t xml:space="preserve"/>
        </x:is>
      </x:c>
      <x:c r="C489" s="7" t="inlineStr">
        <x:is>
          <x:t xml:space="preserve"/>
        </x:is>
      </x:c>
      <x:c r="D489" s="7">
        <x:f>IF(B489="","",VALUE(MID(B489,2,4)))</x:f>
      </x:c>
      <x:c r="E489" s="7">
        <x:f>IF(B489="","",MID(B489,6,2))</x:f>
      </x:c>
      <x:c r="F489" s="8" t="inlineStr">
        <x:is>
          <x:t xml:space="preserve"/>
        </x:is>
      </x:c>
      <x:c r="G489" s="6" t="inlineStr">
        <x:is>
          <x:t xml:space="preserve"/>
        </x:is>
      </x:c>
      <x:c r="H489" s="7" t="inlineStr">
        <x:is>
          <x:t xml:space="preserve"/>
        </x:is>
      </x:c>
      <x:c r="I489" s="7" t="inlineStr">
        <x:is>
          <x:t xml:space="preserve"/>
        </x:is>
      </x:c>
      <x:c r="J489" s="7" t="inlineStr">
        <x:is>
          <x:t xml:space="preserve"/>
        </x:is>
      </x:c>
      <x:c r="K489" s="6" t="inlineStr">
        <x:is>
          <x:t xml:space="preserve"/>
        </x:is>
      </x:c>
      <x:c r="L489" s="7" t="inlineStr">
        <x:is>
          <x:t xml:space="preserve"/>
        </x:is>
      </x:c>
      <x:c r="M489" s="6" t="inlineStr">
        <x:is>
          <x:t xml:space="preserve"/>
        </x:is>
      </x:c>
      <x:c r="N489" s="6" t="inlineStr">
        <x:is>
          <x:t xml:space="preserve"/>
        </x:is>
      </x:c>
    </x:row>
    <x:row r="490">
      <x:c r="A490" s="7">
        <x:f>IF(B490="","", "T-"&amp;TEXT(ROW()-1,"00000"))</x:f>
      </x:c>
      <x:c r="B490" s="7" t="inlineStr">
        <x:is>
          <x:t xml:space="preserve"/>
        </x:is>
      </x:c>
      <x:c r="C490" s="7" t="inlineStr">
        <x:is>
          <x:t xml:space="preserve"/>
        </x:is>
      </x:c>
      <x:c r="D490" s="7">
        <x:f>IF(B490="","",VALUE(MID(B490,2,4)))</x:f>
      </x:c>
      <x:c r="E490" s="7">
        <x:f>IF(B490="","",MID(B490,6,2))</x:f>
      </x:c>
      <x:c r="F490" s="8" t="inlineStr">
        <x:is>
          <x:t xml:space="preserve"/>
        </x:is>
      </x:c>
      <x:c r="G490" s="6" t="inlineStr">
        <x:is>
          <x:t xml:space="preserve"/>
        </x:is>
      </x:c>
      <x:c r="H490" s="7" t="inlineStr">
        <x:is>
          <x:t xml:space="preserve"/>
        </x:is>
      </x:c>
      <x:c r="I490" s="7" t="inlineStr">
        <x:is>
          <x:t xml:space="preserve"/>
        </x:is>
      </x:c>
      <x:c r="J490" s="7" t="inlineStr">
        <x:is>
          <x:t xml:space="preserve"/>
        </x:is>
      </x:c>
      <x:c r="K490" s="6" t="inlineStr">
        <x:is>
          <x:t xml:space="preserve"/>
        </x:is>
      </x:c>
      <x:c r="L490" s="7" t="inlineStr">
        <x:is>
          <x:t xml:space="preserve"/>
        </x:is>
      </x:c>
      <x:c r="M490" s="6" t="inlineStr">
        <x:is>
          <x:t xml:space="preserve"/>
        </x:is>
      </x:c>
      <x:c r="N490" s="6" t="inlineStr">
        <x:is>
          <x:t xml:space="preserve"/>
        </x:is>
      </x:c>
    </x:row>
    <x:row r="491">
      <x:c r="A491" s="7">
        <x:f>IF(B491="","", "T-"&amp;TEXT(ROW()-1,"00000"))</x:f>
      </x:c>
      <x:c r="B491" s="7" t="inlineStr">
        <x:is>
          <x:t xml:space="preserve"/>
        </x:is>
      </x:c>
      <x:c r="C491" s="7" t="inlineStr">
        <x:is>
          <x:t xml:space="preserve"/>
        </x:is>
      </x:c>
      <x:c r="D491" s="7">
        <x:f>IF(B491="","",VALUE(MID(B491,2,4)))</x:f>
      </x:c>
      <x:c r="E491" s="7">
        <x:f>IF(B491="","",MID(B491,6,2))</x:f>
      </x:c>
      <x:c r="F491" s="8" t="inlineStr">
        <x:is>
          <x:t xml:space="preserve"/>
        </x:is>
      </x:c>
      <x:c r="G491" s="6" t="inlineStr">
        <x:is>
          <x:t xml:space="preserve"/>
        </x:is>
      </x:c>
      <x:c r="H491" s="7" t="inlineStr">
        <x:is>
          <x:t xml:space="preserve"/>
        </x:is>
      </x:c>
      <x:c r="I491" s="7" t="inlineStr">
        <x:is>
          <x:t xml:space="preserve"/>
        </x:is>
      </x:c>
      <x:c r="J491" s="7" t="inlineStr">
        <x:is>
          <x:t xml:space="preserve"/>
        </x:is>
      </x:c>
      <x:c r="K491" s="6" t="inlineStr">
        <x:is>
          <x:t xml:space="preserve"/>
        </x:is>
      </x:c>
      <x:c r="L491" s="7" t="inlineStr">
        <x:is>
          <x:t xml:space="preserve"/>
        </x:is>
      </x:c>
      <x:c r="M491" s="6" t="inlineStr">
        <x:is>
          <x:t xml:space="preserve"/>
        </x:is>
      </x:c>
      <x:c r="N491" s="6" t="inlineStr">
        <x:is>
          <x:t xml:space="preserve"/>
        </x:is>
      </x:c>
    </x:row>
    <x:row r="492">
      <x:c r="A492" s="7">
        <x:f>IF(B492="","", "T-"&amp;TEXT(ROW()-1,"00000"))</x:f>
      </x:c>
      <x:c r="B492" s="7" t="inlineStr">
        <x:is>
          <x:t xml:space="preserve"/>
        </x:is>
      </x:c>
      <x:c r="C492" s="7" t="inlineStr">
        <x:is>
          <x:t xml:space="preserve"/>
        </x:is>
      </x:c>
      <x:c r="D492" s="7">
        <x:f>IF(B492="","",VALUE(MID(B492,2,4)))</x:f>
      </x:c>
      <x:c r="E492" s="7">
        <x:f>IF(B492="","",MID(B492,6,2))</x:f>
      </x:c>
      <x:c r="F492" s="8" t="inlineStr">
        <x:is>
          <x:t xml:space="preserve"/>
        </x:is>
      </x:c>
      <x:c r="G492" s="6" t="inlineStr">
        <x:is>
          <x:t xml:space="preserve"/>
        </x:is>
      </x:c>
      <x:c r="H492" s="7" t="inlineStr">
        <x:is>
          <x:t xml:space="preserve"/>
        </x:is>
      </x:c>
      <x:c r="I492" s="7" t="inlineStr">
        <x:is>
          <x:t xml:space="preserve"/>
        </x:is>
      </x:c>
      <x:c r="J492" s="7" t="inlineStr">
        <x:is>
          <x:t xml:space="preserve"/>
        </x:is>
      </x:c>
      <x:c r="K492" s="6" t="inlineStr">
        <x:is>
          <x:t xml:space="preserve"/>
        </x:is>
      </x:c>
      <x:c r="L492" s="7" t="inlineStr">
        <x:is>
          <x:t xml:space="preserve"/>
        </x:is>
      </x:c>
      <x:c r="M492" s="6" t="inlineStr">
        <x:is>
          <x:t xml:space="preserve"/>
        </x:is>
      </x:c>
      <x:c r="N492" s="6" t="inlineStr">
        <x:is>
          <x:t xml:space="preserve"/>
        </x:is>
      </x:c>
    </x:row>
    <x:row r="493">
      <x:c r="A493" s="7">
        <x:f>IF(B493="","", "T-"&amp;TEXT(ROW()-1,"00000"))</x:f>
      </x:c>
      <x:c r="B493" s="7" t="inlineStr">
        <x:is>
          <x:t xml:space="preserve"/>
        </x:is>
      </x:c>
      <x:c r="C493" s="7" t="inlineStr">
        <x:is>
          <x:t xml:space="preserve"/>
        </x:is>
      </x:c>
      <x:c r="D493" s="7">
        <x:f>IF(B493="","",VALUE(MID(B493,2,4)))</x:f>
      </x:c>
      <x:c r="E493" s="7">
        <x:f>IF(B493="","",MID(B493,6,2))</x:f>
      </x:c>
      <x:c r="F493" s="8" t="inlineStr">
        <x:is>
          <x:t xml:space="preserve"/>
        </x:is>
      </x:c>
      <x:c r="G493" s="6" t="inlineStr">
        <x:is>
          <x:t xml:space="preserve"/>
        </x:is>
      </x:c>
      <x:c r="H493" s="7" t="inlineStr">
        <x:is>
          <x:t xml:space="preserve"/>
        </x:is>
      </x:c>
      <x:c r="I493" s="7" t="inlineStr">
        <x:is>
          <x:t xml:space="preserve"/>
        </x:is>
      </x:c>
      <x:c r="J493" s="7" t="inlineStr">
        <x:is>
          <x:t xml:space="preserve"/>
        </x:is>
      </x:c>
      <x:c r="K493" s="6" t="inlineStr">
        <x:is>
          <x:t xml:space="preserve"/>
        </x:is>
      </x:c>
      <x:c r="L493" s="7" t="inlineStr">
        <x:is>
          <x:t xml:space="preserve"/>
        </x:is>
      </x:c>
      <x:c r="M493" s="6" t="inlineStr">
        <x:is>
          <x:t xml:space="preserve"/>
        </x:is>
      </x:c>
      <x:c r="N493" s="6" t="inlineStr">
        <x:is>
          <x:t xml:space="preserve"/>
        </x:is>
      </x:c>
    </x:row>
    <x:row r="494">
      <x:c r="A494" s="7">
        <x:f>IF(B494="","", "T-"&amp;TEXT(ROW()-1,"00000"))</x:f>
      </x:c>
      <x:c r="B494" s="7" t="inlineStr">
        <x:is>
          <x:t xml:space="preserve"/>
        </x:is>
      </x:c>
      <x:c r="C494" s="7" t="inlineStr">
        <x:is>
          <x:t xml:space="preserve"/>
        </x:is>
      </x:c>
      <x:c r="D494" s="7">
        <x:f>IF(B494="","",VALUE(MID(B494,2,4)))</x:f>
      </x:c>
      <x:c r="E494" s="7">
        <x:f>IF(B494="","",MID(B494,6,2))</x:f>
      </x:c>
      <x:c r="F494" s="8" t="inlineStr">
        <x:is>
          <x:t xml:space="preserve"/>
        </x:is>
      </x:c>
      <x:c r="G494" s="6" t="inlineStr">
        <x:is>
          <x:t xml:space="preserve"/>
        </x:is>
      </x:c>
      <x:c r="H494" s="7" t="inlineStr">
        <x:is>
          <x:t xml:space="preserve"/>
        </x:is>
      </x:c>
      <x:c r="I494" s="7" t="inlineStr">
        <x:is>
          <x:t xml:space="preserve"/>
        </x:is>
      </x:c>
      <x:c r="J494" s="7" t="inlineStr">
        <x:is>
          <x:t xml:space="preserve"/>
        </x:is>
      </x:c>
      <x:c r="K494" s="6" t="inlineStr">
        <x:is>
          <x:t xml:space="preserve"/>
        </x:is>
      </x:c>
      <x:c r="L494" s="7" t="inlineStr">
        <x:is>
          <x:t xml:space="preserve"/>
        </x:is>
      </x:c>
      <x:c r="M494" s="6" t="inlineStr">
        <x:is>
          <x:t xml:space="preserve"/>
        </x:is>
      </x:c>
      <x:c r="N494" s="6" t="inlineStr">
        <x:is>
          <x:t xml:space="preserve"/>
        </x:is>
      </x:c>
    </x:row>
    <x:row r="495">
      <x:c r="A495" s="7">
        <x:f>IF(B495="","", "T-"&amp;TEXT(ROW()-1,"00000"))</x:f>
      </x:c>
      <x:c r="B495" s="7" t="inlineStr">
        <x:is>
          <x:t xml:space="preserve"/>
        </x:is>
      </x:c>
      <x:c r="C495" s="7" t="inlineStr">
        <x:is>
          <x:t xml:space="preserve"/>
        </x:is>
      </x:c>
      <x:c r="D495" s="7">
        <x:f>IF(B495="","",VALUE(MID(B495,2,4)))</x:f>
      </x:c>
      <x:c r="E495" s="7">
        <x:f>IF(B495="","",MID(B495,6,2))</x:f>
      </x:c>
      <x:c r="F495" s="8" t="inlineStr">
        <x:is>
          <x:t xml:space="preserve"/>
        </x:is>
      </x:c>
      <x:c r="G495" s="6" t="inlineStr">
        <x:is>
          <x:t xml:space="preserve"/>
        </x:is>
      </x:c>
      <x:c r="H495" s="7" t="inlineStr">
        <x:is>
          <x:t xml:space="preserve"/>
        </x:is>
      </x:c>
      <x:c r="I495" s="7" t="inlineStr">
        <x:is>
          <x:t xml:space="preserve"/>
        </x:is>
      </x:c>
      <x:c r="J495" s="7" t="inlineStr">
        <x:is>
          <x:t xml:space="preserve"/>
        </x:is>
      </x:c>
      <x:c r="K495" s="6" t="inlineStr">
        <x:is>
          <x:t xml:space="preserve"/>
        </x:is>
      </x:c>
      <x:c r="L495" s="7" t="inlineStr">
        <x:is>
          <x:t xml:space="preserve"/>
        </x:is>
      </x:c>
      <x:c r="M495" s="6" t="inlineStr">
        <x:is>
          <x:t xml:space="preserve"/>
        </x:is>
      </x:c>
      <x:c r="N495" s="6" t="inlineStr">
        <x:is>
          <x:t xml:space="preserve"/>
        </x:is>
      </x:c>
    </x:row>
    <x:row r="496">
      <x:c r="A496" s="7">
        <x:f>IF(B496="","", "T-"&amp;TEXT(ROW()-1,"00000"))</x:f>
      </x:c>
      <x:c r="B496" s="7" t="inlineStr">
        <x:is>
          <x:t xml:space="preserve"/>
        </x:is>
      </x:c>
      <x:c r="C496" s="7" t="inlineStr">
        <x:is>
          <x:t xml:space="preserve"/>
        </x:is>
      </x:c>
      <x:c r="D496" s="7">
        <x:f>IF(B496="","",VALUE(MID(B496,2,4)))</x:f>
      </x:c>
      <x:c r="E496" s="7">
        <x:f>IF(B496="","",MID(B496,6,2))</x:f>
      </x:c>
      <x:c r="F496" s="8" t="inlineStr">
        <x:is>
          <x:t xml:space="preserve"/>
        </x:is>
      </x:c>
      <x:c r="G496" s="6" t="inlineStr">
        <x:is>
          <x:t xml:space="preserve"/>
        </x:is>
      </x:c>
      <x:c r="H496" s="7" t="inlineStr">
        <x:is>
          <x:t xml:space="preserve"/>
        </x:is>
      </x:c>
      <x:c r="I496" s="7" t="inlineStr">
        <x:is>
          <x:t xml:space="preserve"/>
        </x:is>
      </x:c>
      <x:c r="J496" s="7" t="inlineStr">
        <x:is>
          <x:t xml:space="preserve"/>
        </x:is>
      </x:c>
      <x:c r="K496" s="6" t="inlineStr">
        <x:is>
          <x:t xml:space="preserve"/>
        </x:is>
      </x:c>
      <x:c r="L496" s="7" t="inlineStr">
        <x:is>
          <x:t xml:space="preserve"/>
        </x:is>
      </x:c>
      <x:c r="M496" s="6" t="inlineStr">
        <x:is>
          <x:t xml:space="preserve"/>
        </x:is>
      </x:c>
      <x:c r="N496" s="6" t="inlineStr">
        <x:is>
          <x:t xml:space="preserve"/>
        </x:is>
      </x:c>
    </x:row>
    <x:row r="497">
      <x:c r="A497" s="7">
        <x:f>IF(B497="","", "T-"&amp;TEXT(ROW()-1,"00000"))</x:f>
      </x:c>
      <x:c r="B497" s="7" t="inlineStr">
        <x:is>
          <x:t xml:space="preserve"/>
        </x:is>
      </x:c>
      <x:c r="C497" s="7" t="inlineStr">
        <x:is>
          <x:t xml:space="preserve"/>
        </x:is>
      </x:c>
      <x:c r="D497" s="7">
        <x:f>IF(B497="","",VALUE(MID(B497,2,4)))</x:f>
      </x:c>
      <x:c r="E497" s="7">
        <x:f>IF(B497="","",MID(B497,6,2))</x:f>
      </x:c>
      <x:c r="F497" s="8" t="inlineStr">
        <x:is>
          <x:t xml:space="preserve"/>
        </x:is>
      </x:c>
      <x:c r="G497" s="6" t="inlineStr">
        <x:is>
          <x:t xml:space="preserve"/>
        </x:is>
      </x:c>
      <x:c r="H497" s="7" t="inlineStr">
        <x:is>
          <x:t xml:space="preserve"/>
        </x:is>
      </x:c>
      <x:c r="I497" s="7" t="inlineStr">
        <x:is>
          <x:t xml:space="preserve"/>
        </x:is>
      </x:c>
      <x:c r="J497" s="7" t="inlineStr">
        <x:is>
          <x:t xml:space="preserve"/>
        </x:is>
      </x:c>
      <x:c r="K497" s="6" t="inlineStr">
        <x:is>
          <x:t xml:space="preserve"/>
        </x:is>
      </x:c>
      <x:c r="L497" s="7" t="inlineStr">
        <x:is>
          <x:t xml:space="preserve"/>
        </x:is>
      </x:c>
      <x:c r="M497" s="6" t="inlineStr">
        <x:is>
          <x:t xml:space="preserve"/>
        </x:is>
      </x:c>
      <x:c r="N497" s="6" t="inlineStr">
        <x:is>
          <x:t xml:space="preserve"/>
        </x:is>
      </x:c>
    </x:row>
    <x:row r="498">
      <x:c r="A498" s="7">
        <x:f>IF(B498="","", "T-"&amp;TEXT(ROW()-1,"00000"))</x:f>
      </x:c>
      <x:c r="B498" s="7" t="inlineStr">
        <x:is>
          <x:t xml:space="preserve"/>
        </x:is>
      </x:c>
      <x:c r="C498" s="7" t="inlineStr">
        <x:is>
          <x:t xml:space="preserve"/>
        </x:is>
      </x:c>
      <x:c r="D498" s="7">
        <x:f>IF(B498="","",VALUE(MID(B498,2,4)))</x:f>
      </x:c>
      <x:c r="E498" s="7">
        <x:f>IF(B498="","",MID(B498,6,2))</x:f>
      </x:c>
      <x:c r="F498" s="8" t="inlineStr">
        <x:is>
          <x:t xml:space="preserve"/>
        </x:is>
      </x:c>
      <x:c r="G498" s="6" t="inlineStr">
        <x:is>
          <x:t xml:space="preserve"/>
        </x:is>
      </x:c>
      <x:c r="H498" s="7" t="inlineStr">
        <x:is>
          <x:t xml:space="preserve"/>
        </x:is>
      </x:c>
      <x:c r="I498" s="7" t="inlineStr">
        <x:is>
          <x:t xml:space="preserve"/>
        </x:is>
      </x:c>
      <x:c r="J498" s="7" t="inlineStr">
        <x:is>
          <x:t xml:space="preserve"/>
        </x:is>
      </x:c>
      <x:c r="K498" s="6" t="inlineStr">
        <x:is>
          <x:t xml:space="preserve"/>
        </x:is>
      </x:c>
      <x:c r="L498" s="7" t="inlineStr">
        <x:is>
          <x:t xml:space="preserve"/>
        </x:is>
      </x:c>
      <x:c r="M498" s="6" t="inlineStr">
        <x:is>
          <x:t xml:space="preserve"/>
        </x:is>
      </x:c>
      <x:c r="N498" s="6" t="inlineStr">
        <x:is>
          <x:t xml:space="preserve"/>
        </x:is>
      </x:c>
    </x:row>
    <x:row r="499">
      <x:c r="A499" s="7">
        <x:f>IF(B499="","", "T-"&amp;TEXT(ROW()-1,"00000"))</x:f>
      </x:c>
      <x:c r="B499" s="7" t="inlineStr">
        <x:is>
          <x:t xml:space="preserve"/>
        </x:is>
      </x:c>
      <x:c r="C499" s="7" t="inlineStr">
        <x:is>
          <x:t xml:space="preserve"/>
        </x:is>
      </x:c>
      <x:c r="D499" s="7">
        <x:f>IF(B499="","",VALUE(MID(B499,2,4)))</x:f>
      </x:c>
      <x:c r="E499" s="7">
        <x:f>IF(B499="","",MID(B499,6,2))</x:f>
      </x:c>
      <x:c r="F499" s="8" t="inlineStr">
        <x:is>
          <x:t xml:space="preserve"/>
        </x:is>
      </x:c>
      <x:c r="G499" s="6" t="inlineStr">
        <x:is>
          <x:t xml:space="preserve"/>
        </x:is>
      </x:c>
      <x:c r="H499" s="7" t="inlineStr">
        <x:is>
          <x:t xml:space="preserve"/>
        </x:is>
      </x:c>
      <x:c r="I499" s="7" t="inlineStr">
        <x:is>
          <x:t xml:space="preserve"/>
        </x:is>
      </x:c>
      <x:c r="J499" s="7" t="inlineStr">
        <x:is>
          <x:t xml:space="preserve"/>
        </x:is>
      </x:c>
      <x:c r="K499" s="6" t="inlineStr">
        <x:is>
          <x:t xml:space="preserve"/>
        </x:is>
      </x:c>
      <x:c r="L499" s="7" t="inlineStr">
        <x:is>
          <x:t xml:space="preserve"/>
        </x:is>
      </x:c>
      <x:c r="M499" s="6" t="inlineStr">
        <x:is>
          <x:t xml:space="preserve"/>
        </x:is>
      </x:c>
      <x:c r="N499" s="6" t="inlineStr">
        <x:is>
          <x:t xml:space="preserve"/>
        </x:is>
      </x:c>
    </x:row>
    <x:row r="500">
      <x:c r="A500" s="7">
        <x:f>IF(B500="","", "T-"&amp;TEXT(ROW()-1,"00000"))</x:f>
      </x:c>
      <x:c r="B500" s="7" t="inlineStr">
        <x:is>
          <x:t xml:space="preserve"/>
        </x:is>
      </x:c>
      <x:c r="C500" s="7" t="inlineStr">
        <x:is>
          <x:t xml:space="preserve"/>
        </x:is>
      </x:c>
      <x:c r="D500" s="7">
        <x:f>IF(B500="","",VALUE(MID(B500,2,4)))</x:f>
      </x:c>
      <x:c r="E500" s="7">
        <x:f>IF(B500="","",MID(B500,6,2))</x:f>
      </x:c>
      <x:c r="F500" s="8" t="inlineStr">
        <x:is>
          <x:t xml:space="preserve"/>
        </x:is>
      </x:c>
      <x:c r="G500" s="6" t="inlineStr">
        <x:is>
          <x:t xml:space="preserve"/>
        </x:is>
      </x:c>
      <x:c r="H500" s="7" t="inlineStr">
        <x:is>
          <x:t xml:space="preserve"/>
        </x:is>
      </x:c>
      <x:c r="I500" s="7" t="inlineStr">
        <x:is>
          <x:t xml:space="preserve"/>
        </x:is>
      </x:c>
      <x:c r="J500" s="7" t="inlineStr">
        <x:is>
          <x:t xml:space="preserve"/>
        </x:is>
      </x:c>
      <x:c r="K500" s="6" t="inlineStr">
        <x:is>
          <x:t xml:space="preserve"/>
        </x:is>
      </x:c>
      <x:c r="L500" s="7" t="inlineStr">
        <x:is>
          <x:t xml:space="preserve"/>
        </x:is>
      </x:c>
      <x:c r="M500" s="6" t="inlineStr">
        <x:is>
          <x:t xml:space="preserve"/>
        </x:is>
      </x:c>
      <x:c r="N500" s="6" t="inlineStr">
        <x:is>
          <x:t xml:space="preserve"/>
        </x:is>
      </x:c>
    </x:row>
    <x:row r="501">
      <x:c r="A501" s="7">
        <x:f>IF(B501="","", "T-"&amp;TEXT(ROW()-1,"00000"))</x:f>
      </x:c>
      <x:c r="B501" s="7" t="inlineStr">
        <x:is>
          <x:t xml:space="preserve"/>
        </x:is>
      </x:c>
      <x:c r="C501" s="7" t="inlineStr">
        <x:is>
          <x:t xml:space="preserve"/>
        </x:is>
      </x:c>
      <x:c r="D501" s="7">
        <x:f>IF(B501="","",VALUE(MID(B501,2,4)))</x:f>
      </x:c>
      <x:c r="E501" s="7">
        <x:f>IF(B501="","",MID(B501,6,2))</x:f>
      </x:c>
      <x:c r="F501" s="8" t="inlineStr">
        <x:is>
          <x:t xml:space="preserve"/>
        </x:is>
      </x:c>
      <x:c r="G501" s="6" t="inlineStr">
        <x:is>
          <x:t xml:space="preserve"/>
        </x:is>
      </x:c>
      <x:c r="H501" s="7" t="inlineStr">
        <x:is>
          <x:t xml:space="preserve"/>
        </x:is>
      </x:c>
      <x:c r="I501" s="7" t="inlineStr">
        <x:is>
          <x:t xml:space="preserve"/>
        </x:is>
      </x:c>
      <x:c r="J501" s="7" t="inlineStr">
        <x:is>
          <x:t xml:space="preserve"/>
        </x:is>
      </x:c>
      <x:c r="K501" s="6" t="inlineStr">
        <x:is>
          <x:t xml:space="preserve"/>
        </x:is>
      </x:c>
      <x:c r="L501" s="7" t="inlineStr">
        <x:is>
          <x:t xml:space="preserve"/>
        </x:is>
      </x:c>
      <x:c r="M501" s="6" t="inlineStr">
        <x:is>
          <x:t xml:space="preserve"/>
        </x:is>
      </x:c>
      <x:c r="N501" s="6" t="inlineStr">
        <x:is>
          <x:t xml:space="preserve"/>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customWidth="1"/>
    <x:col min="2" max="2" width="16" customWidth="1"/>
    <x:col min="3" max="3" width="10" customWidth="1"/>
    <x:col min="4" max="4" width="10" customWidth="1"/>
    <x:col min="5" max="5" width="40" customWidth="1"/>
    <x:col min="6" max="6" width="10" customWidth="1"/>
    <x:col min="7" max="7" width="14" customWidth="1"/>
    <x:col min="8" max="8" width="18" customWidth="1"/>
    <x:col min="9" max="9" width="14" customWidth="1"/>
    <x:col min="10" max="10" width="12" customWidth="1"/>
    <x:col min="11" max="11" width="10" customWidth="1"/>
    <x:col min="12" max="12" width="10" customWidth="1"/>
    <x:col min="13" max="13" width="14" customWidth="1"/>
    <x:col min="14" max="14" width="30" customWidth="1"/>
  </x:cols>
  <x:sheetData>
    <x:row r="1" ht="28" customHeight="1">
      <x:c r="A1" s="5" t="inlineStr">
        <x:is>
          <x:t xml:space="preserve">Issue ID</x:t>
        </x:is>
      </x:c>
      <x:c r="B1" s="5" t="inlineStr">
        <x:is>
          <x:t xml:space="preserve">Source (Test/Audit)</x:t>
        </x:is>
      </x:c>
      <x:c r="C1" s="5" t="inlineStr">
        <x:is>
          <x:t xml:space="preserve">Control ID</x:t>
        </x:is>
      </x:c>
      <x:c r="D1" s="5" t="inlineStr">
        <x:is>
          <x:t xml:space="preserve">Risk ID</x:t>
        </x:is>
      </x:c>
      <x:c r="E1" s="5" t="inlineStr">
        <x:is>
          <x:t xml:space="preserve">Issue Description</x:t>
        </x:is>
      </x:c>
      <x:c r="F1" s="5" t="inlineStr">
        <x:is>
          <x:t xml:space="preserve">Rating</x:t>
        </x:is>
      </x:c>
      <x:c r="G1" s="5" t="inlineStr">
        <x:is>
          <x:t xml:space="preserve">Date Identified</x:t>
        </x:is>
      </x:c>
      <x:c r="H1" s="5" t="inlineStr">
        <x:is>
          <x:t xml:space="preserve">Owner</x:t>
        </x:is>
      </x:c>
      <x:c r="I1" s="5" t="inlineStr">
        <x:is>
          <x:t xml:space="preserve">Due Date</x:t>
        </x:is>
      </x:c>
      <x:c r="J1" s="5" t="inlineStr">
        <x:is>
          <x:t xml:space="preserve">Status</x:t>
        </x:is>
      </x:c>
      <x:c r="K1" s="5" t="inlineStr">
        <x:is>
          <x:t xml:space="preserve">Days Open</x:t>
        </x:is>
      </x:c>
      <x:c r="L1" s="5" t="inlineStr">
        <x:is>
          <x:t xml:space="preserve">Overdue?</x:t>
        </x:is>
      </x:c>
      <x:c r="M1" s="5" t="inlineStr">
        <x:is>
          <x:t xml:space="preserve">Action ID(s)</x:t>
        </x:is>
      </x:c>
      <x:c r="N1" s="5" t="inlineStr">
        <x:is>
          <x:t xml:space="preserve">Notes</x:t>
        </x:is>
      </x:c>
    </x:row>
    <x:row r="2">
      <x:c r="A2" s="7">
        <x:f>IF(E2="","", "ISS-"&amp;TEXT(ROW()-1,"00000"))</x:f>
      </x:c>
      <x:c r="B2" s="7" t="inlineStr">
        <x:is>
          <x:t xml:space="preserve"/>
        </x:is>
      </x:c>
      <x:c r="C2" s="7" t="inlineStr">
        <x:is>
          <x:t xml:space="preserve"/>
        </x:is>
      </x:c>
      <x:c r="D2" s="7" t="inlineStr">
        <x:is>
          <x:t xml:space="preserve"/>
        </x:is>
      </x:c>
      <x:c r="E2" s="6" t="inlineStr">
        <x:is>
          <x:t xml:space="preserve"/>
        </x:is>
      </x:c>
      <x:c r="F2" s="7" t="inlineStr">
        <x:is>
          <x:t xml:space="preserve"/>
        </x:is>
      </x:c>
      <x:c r="G2" s="8" t="inlineStr">
        <x:is>
          <x:t xml:space="preserve"/>
        </x:is>
      </x:c>
      <x:c r="H2" s="6" t="inlineStr">
        <x:is>
          <x:t xml:space="preserve"/>
        </x:is>
      </x:c>
      <x:c r="I2" s="8" t="inlineStr">
        <x:is>
          <x:t xml:space="preserve"/>
        </x:is>
      </x:c>
      <x:c r="J2" s="7" t="inlineStr">
        <x:is>
          <x:t xml:space="preserve"/>
        </x:is>
      </x:c>
      <x:c r="K2" s="7">
        <x:f>IF(G2="","", TODAY()-G2)</x:f>
      </x:c>
      <x:c r="L2" s="7">
        <x:f>IF(OR(I2="",J2="Closed"),"", IF(TODAY()&gt;I2,"Yes","No"))</x:f>
      </x:c>
      <x:c r="M2" s="7" t="inlineStr">
        <x:is>
          <x:t xml:space="preserve"/>
        </x:is>
      </x:c>
      <x:c r="N2" s="6" t="inlineStr">
        <x:is>
          <x:t xml:space="preserve"/>
        </x:is>
      </x:c>
    </x:row>
    <x:row r="3">
      <x:c r="A3" s="7">
        <x:f>IF(E3="","", "ISS-"&amp;TEXT(ROW()-1,"00000"))</x:f>
      </x:c>
      <x:c r="B3" s="7" t="inlineStr">
        <x:is>
          <x:t xml:space="preserve"/>
        </x:is>
      </x:c>
      <x:c r="C3" s="7" t="inlineStr">
        <x:is>
          <x:t xml:space="preserve"/>
        </x:is>
      </x:c>
      <x:c r="D3" s="7" t="inlineStr">
        <x:is>
          <x:t xml:space="preserve"/>
        </x:is>
      </x:c>
      <x:c r="E3" s="6" t="inlineStr">
        <x:is>
          <x:t xml:space="preserve"/>
        </x:is>
      </x:c>
      <x:c r="F3" s="7" t="inlineStr">
        <x:is>
          <x:t xml:space="preserve"/>
        </x:is>
      </x:c>
      <x:c r="G3" s="8" t="inlineStr">
        <x:is>
          <x:t xml:space="preserve"/>
        </x:is>
      </x:c>
      <x:c r="H3" s="6" t="inlineStr">
        <x:is>
          <x:t xml:space="preserve"/>
        </x:is>
      </x:c>
      <x:c r="I3" s="8" t="inlineStr">
        <x:is>
          <x:t xml:space="preserve"/>
        </x:is>
      </x:c>
      <x:c r="J3" s="7" t="inlineStr">
        <x:is>
          <x:t xml:space="preserve"/>
        </x:is>
      </x:c>
      <x:c r="K3" s="7">
        <x:f>IF(G3="","", TODAY()-G3)</x:f>
      </x:c>
      <x:c r="L3" s="7">
        <x:f>IF(OR(I3="",J3="Closed"),"", IF(TODAY()&gt;I3,"Yes","No"))</x:f>
      </x:c>
      <x:c r="M3" s="7" t="inlineStr">
        <x:is>
          <x:t xml:space="preserve"/>
        </x:is>
      </x:c>
      <x:c r="N3" s="6" t="inlineStr">
        <x:is>
          <x:t xml:space="preserve"/>
        </x:is>
      </x:c>
    </x:row>
    <x:row r="4">
      <x:c r="A4" s="7">
        <x:f>IF(E4="","", "ISS-"&amp;TEXT(ROW()-1,"00000"))</x:f>
      </x:c>
      <x:c r="B4" s="7" t="inlineStr">
        <x:is>
          <x:t xml:space="preserve"/>
        </x:is>
      </x:c>
      <x:c r="C4" s="7" t="inlineStr">
        <x:is>
          <x:t xml:space="preserve"/>
        </x:is>
      </x:c>
      <x:c r="D4" s="7" t="inlineStr">
        <x:is>
          <x:t xml:space="preserve"/>
        </x:is>
      </x:c>
      <x:c r="E4" s="6" t="inlineStr">
        <x:is>
          <x:t xml:space="preserve"/>
        </x:is>
      </x:c>
      <x:c r="F4" s="7" t="inlineStr">
        <x:is>
          <x:t xml:space="preserve"/>
        </x:is>
      </x:c>
      <x:c r="G4" s="8" t="inlineStr">
        <x:is>
          <x:t xml:space="preserve"/>
        </x:is>
      </x:c>
      <x:c r="H4" s="6" t="inlineStr">
        <x:is>
          <x:t xml:space="preserve"/>
        </x:is>
      </x:c>
      <x:c r="I4" s="8" t="inlineStr">
        <x:is>
          <x:t xml:space="preserve"/>
        </x:is>
      </x:c>
      <x:c r="J4" s="7" t="inlineStr">
        <x:is>
          <x:t xml:space="preserve"/>
        </x:is>
      </x:c>
      <x:c r="K4" s="7">
        <x:f>IF(G4="","", TODAY()-G4)</x:f>
      </x:c>
      <x:c r="L4" s="7">
        <x:f>IF(OR(I4="",J4="Closed"),"", IF(TODAY()&gt;I4,"Yes","No"))</x:f>
      </x:c>
      <x:c r="M4" s="7" t="inlineStr">
        <x:is>
          <x:t xml:space="preserve"/>
        </x:is>
      </x:c>
      <x:c r="N4" s="6" t="inlineStr">
        <x:is>
          <x:t xml:space="preserve"/>
        </x:is>
      </x:c>
    </x:row>
    <x:row r="5">
      <x:c r="A5" s="7">
        <x:f>IF(E5="","", "ISS-"&amp;TEXT(ROW()-1,"00000"))</x:f>
      </x:c>
      <x:c r="B5" s="7" t="inlineStr">
        <x:is>
          <x:t xml:space="preserve"/>
        </x:is>
      </x:c>
      <x:c r="C5" s="7" t="inlineStr">
        <x:is>
          <x:t xml:space="preserve"/>
        </x:is>
      </x:c>
      <x:c r="D5" s="7" t="inlineStr">
        <x:is>
          <x:t xml:space="preserve"/>
        </x:is>
      </x:c>
      <x:c r="E5" s="6" t="inlineStr">
        <x:is>
          <x:t xml:space="preserve"/>
        </x:is>
      </x:c>
      <x:c r="F5" s="7" t="inlineStr">
        <x:is>
          <x:t xml:space="preserve"/>
        </x:is>
      </x:c>
      <x:c r="G5" s="8" t="inlineStr">
        <x:is>
          <x:t xml:space="preserve"/>
        </x:is>
      </x:c>
      <x:c r="H5" s="6" t="inlineStr">
        <x:is>
          <x:t xml:space="preserve"/>
        </x:is>
      </x:c>
      <x:c r="I5" s="8" t="inlineStr">
        <x:is>
          <x:t xml:space="preserve"/>
        </x:is>
      </x:c>
      <x:c r="J5" s="7" t="inlineStr">
        <x:is>
          <x:t xml:space="preserve"/>
        </x:is>
      </x:c>
      <x:c r="K5" s="7">
        <x:f>IF(G5="","", TODAY()-G5)</x:f>
      </x:c>
      <x:c r="L5" s="7">
        <x:f>IF(OR(I5="",J5="Closed"),"", IF(TODAY()&gt;I5,"Yes","No"))</x:f>
      </x:c>
      <x:c r="M5" s="7" t="inlineStr">
        <x:is>
          <x:t xml:space="preserve"/>
        </x:is>
      </x:c>
      <x:c r="N5" s="6" t="inlineStr">
        <x:is>
          <x:t xml:space="preserve"/>
        </x:is>
      </x:c>
    </x:row>
    <x:row r="6">
      <x:c r="A6" s="7">
        <x:f>IF(E6="","", "ISS-"&amp;TEXT(ROW()-1,"00000"))</x:f>
      </x:c>
      <x:c r="B6" s="7" t="inlineStr">
        <x:is>
          <x:t xml:space="preserve"/>
        </x:is>
      </x:c>
      <x:c r="C6" s="7" t="inlineStr">
        <x:is>
          <x:t xml:space="preserve"/>
        </x:is>
      </x:c>
      <x:c r="D6" s="7" t="inlineStr">
        <x:is>
          <x:t xml:space="preserve"/>
        </x:is>
      </x:c>
      <x:c r="E6" s="6" t="inlineStr">
        <x:is>
          <x:t xml:space="preserve"/>
        </x:is>
      </x:c>
      <x:c r="F6" s="7" t="inlineStr">
        <x:is>
          <x:t xml:space="preserve"/>
        </x:is>
      </x:c>
      <x:c r="G6" s="8" t="inlineStr">
        <x:is>
          <x:t xml:space="preserve"/>
        </x:is>
      </x:c>
      <x:c r="H6" s="6" t="inlineStr">
        <x:is>
          <x:t xml:space="preserve"/>
        </x:is>
      </x:c>
      <x:c r="I6" s="8" t="inlineStr">
        <x:is>
          <x:t xml:space="preserve"/>
        </x:is>
      </x:c>
      <x:c r="J6" s="7" t="inlineStr">
        <x:is>
          <x:t xml:space="preserve"/>
        </x:is>
      </x:c>
      <x:c r="K6" s="7">
        <x:f>IF(G6="","", TODAY()-G6)</x:f>
      </x:c>
      <x:c r="L6" s="7">
        <x:f>IF(OR(I6="",J6="Closed"),"", IF(TODAY()&gt;I6,"Yes","No"))</x:f>
      </x:c>
      <x:c r="M6" s="7" t="inlineStr">
        <x:is>
          <x:t xml:space="preserve"/>
        </x:is>
      </x:c>
      <x:c r="N6" s="6" t="inlineStr">
        <x:is>
          <x:t xml:space="preserve"/>
        </x:is>
      </x:c>
    </x:row>
    <x:row r="7">
      <x:c r="A7" s="7">
        <x:f>IF(E7="","", "ISS-"&amp;TEXT(ROW()-1,"00000"))</x:f>
      </x:c>
      <x:c r="B7" s="7" t="inlineStr">
        <x:is>
          <x:t xml:space="preserve"/>
        </x:is>
      </x:c>
      <x:c r="C7" s="7" t="inlineStr">
        <x:is>
          <x:t xml:space="preserve"/>
        </x:is>
      </x:c>
      <x:c r="D7" s="7" t="inlineStr">
        <x:is>
          <x:t xml:space="preserve"/>
        </x:is>
      </x:c>
      <x:c r="E7" s="6" t="inlineStr">
        <x:is>
          <x:t xml:space="preserve"/>
        </x:is>
      </x:c>
      <x:c r="F7" s="7" t="inlineStr">
        <x:is>
          <x:t xml:space="preserve"/>
        </x:is>
      </x:c>
      <x:c r="G7" s="8" t="inlineStr">
        <x:is>
          <x:t xml:space="preserve"/>
        </x:is>
      </x:c>
      <x:c r="H7" s="6" t="inlineStr">
        <x:is>
          <x:t xml:space="preserve"/>
        </x:is>
      </x:c>
      <x:c r="I7" s="8" t="inlineStr">
        <x:is>
          <x:t xml:space="preserve"/>
        </x:is>
      </x:c>
      <x:c r="J7" s="7" t="inlineStr">
        <x:is>
          <x:t xml:space="preserve"/>
        </x:is>
      </x:c>
      <x:c r="K7" s="7">
        <x:f>IF(G7="","", TODAY()-G7)</x:f>
      </x:c>
      <x:c r="L7" s="7">
        <x:f>IF(OR(I7="",J7="Closed"),"", IF(TODAY()&gt;I7,"Yes","No"))</x:f>
      </x:c>
      <x:c r="M7" s="7" t="inlineStr">
        <x:is>
          <x:t xml:space="preserve"/>
        </x:is>
      </x:c>
      <x:c r="N7" s="6" t="inlineStr">
        <x:is>
          <x:t xml:space="preserve"/>
        </x:is>
      </x:c>
    </x:row>
    <x:row r="8">
      <x:c r="A8" s="7">
        <x:f>IF(E8="","", "ISS-"&amp;TEXT(ROW()-1,"00000"))</x:f>
      </x:c>
      <x:c r="B8" s="7" t="inlineStr">
        <x:is>
          <x:t xml:space="preserve"/>
        </x:is>
      </x:c>
      <x:c r="C8" s="7" t="inlineStr">
        <x:is>
          <x:t xml:space="preserve"/>
        </x:is>
      </x:c>
      <x:c r="D8" s="7" t="inlineStr">
        <x:is>
          <x:t xml:space="preserve"/>
        </x:is>
      </x:c>
      <x:c r="E8" s="6" t="inlineStr">
        <x:is>
          <x:t xml:space="preserve"/>
        </x:is>
      </x:c>
      <x:c r="F8" s="7" t="inlineStr">
        <x:is>
          <x:t xml:space="preserve"/>
        </x:is>
      </x:c>
      <x:c r="G8" s="8" t="inlineStr">
        <x:is>
          <x:t xml:space="preserve"/>
        </x:is>
      </x:c>
      <x:c r="H8" s="6" t="inlineStr">
        <x:is>
          <x:t xml:space="preserve"/>
        </x:is>
      </x:c>
      <x:c r="I8" s="8" t="inlineStr">
        <x:is>
          <x:t xml:space="preserve"/>
        </x:is>
      </x:c>
      <x:c r="J8" s="7" t="inlineStr">
        <x:is>
          <x:t xml:space="preserve"/>
        </x:is>
      </x:c>
      <x:c r="K8" s="7">
        <x:f>IF(G8="","", TODAY()-G8)</x:f>
      </x:c>
      <x:c r="L8" s="7">
        <x:f>IF(OR(I8="",J8="Closed"),"", IF(TODAY()&gt;I8,"Yes","No"))</x:f>
      </x:c>
      <x:c r="M8" s="7" t="inlineStr">
        <x:is>
          <x:t xml:space="preserve"/>
        </x:is>
      </x:c>
      <x:c r="N8" s="6" t="inlineStr">
        <x:is>
          <x:t xml:space="preserve"/>
        </x:is>
      </x:c>
    </x:row>
    <x:row r="9">
      <x:c r="A9" s="7">
        <x:f>IF(E9="","", "ISS-"&amp;TEXT(ROW()-1,"00000"))</x:f>
      </x:c>
      <x:c r="B9" s="7" t="inlineStr">
        <x:is>
          <x:t xml:space="preserve"/>
        </x:is>
      </x:c>
      <x:c r="C9" s="7" t="inlineStr">
        <x:is>
          <x:t xml:space="preserve"/>
        </x:is>
      </x:c>
      <x:c r="D9" s="7" t="inlineStr">
        <x:is>
          <x:t xml:space="preserve"/>
        </x:is>
      </x:c>
      <x:c r="E9" s="6" t="inlineStr">
        <x:is>
          <x:t xml:space="preserve"/>
        </x:is>
      </x:c>
      <x:c r="F9" s="7" t="inlineStr">
        <x:is>
          <x:t xml:space="preserve"/>
        </x:is>
      </x:c>
      <x:c r="G9" s="8" t="inlineStr">
        <x:is>
          <x:t xml:space="preserve"/>
        </x:is>
      </x:c>
      <x:c r="H9" s="6" t="inlineStr">
        <x:is>
          <x:t xml:space="preserve"/>
        </x:is>
      </x:c>
      <x:c r="I9" s="8" t="inlineStr">
        <x:is>
          <x:t xml:space="preserve"/>
        </x:is>
      </x:c>
      <x:c r="J9" s="7" t="inlineStr">
        <x:is>
          <x:t xml:space="preserve"/>
        </x:is>
      </x:c>
      <x:c r="K9" s="7">
        <x:f>IF(G9="","", TODAY()-G9)</x:f>
      </x:c>
      <x:c r="L9" s="7">
        <x:f>IF(OR(I9="",J9="Closed"),"", IF(TODAY()&gt;I9,"Yes","No"))</x:f>
      </x:c>
      <x:c r="M9" s="7" t="inlineStr">
        <x:is>
          <x:t xml:space="preserve"/>
        </x:is>
      </x:c>
      <x:c r="N9" s="6" t="inlineStr">
        <x:is>
          <x:t xml:space="preserve"/>
        </x:is>
      </x:c>
    </x:row>
    <x:row r="10">
      <x:c r="A10" s="7">
        <x:f>IF(E10="","", "ISS-"&amp;TEXT(ROW()-1,"00000"))</x:f>
      </x:c>
      <x:c r="B10" s="7" t="inlineStr">
        <x:is>
          <x:t xml:space="preserve"/>
        </x:is>
      </x:c>
      <x:c r="C10" s="7" t="inlineStr">
        <x:is>
          <x:t xml:space="preserve"/>
        </x:is>
      </x:c>
      <x:c r="D10" s="7" t="inlineStr">
        <x:is>
          <x:t xml:space="preserve"/>
        </x:is>
      </x:c>
      <x:c r="E10" s="6" t="inlineStr">
        <x:is>
          <x:t xml:space="preserve"/>
        </x:is>
      </x:c>
      <x:c r="F10" s="7" t="inlineStr">
        <x:is>
          <x:t xml:space="preserve"/>
        </x:is>
      </x:c>
      <x:c r="G10" s="8" t="inlineStr">
        <x:is>
          <x:t xml:space="preserve"/>
        </x:is>
      </x:c>
      <x:c r="H10" s="6" t="inlineStr">
        <x:is>
          <x:t xml:space="preserve"/>
        </x:is>
      </x:c>
      <x:c r="I10" s="8" t="inlineStr">
        <x:is>
          <x:t xml:space="preserve"/>
        </x:is>
      </x:c>
      <x:c r="J10" s="7" t="inlineStr">
        <x:is>
          <x:t xml:space="preserve"/>
        </x:is>
      </x:c>
      <x:c r="K10" s="7">
        <x:f>IF(G10="","", TODAY()-G10)</x:f>
      </x:c>
      <x:c r="L10" s="7">
        <x:f>IF(OR(I10="",J10="Closed"),"", IF(TODAY()&gt;I10,"Yes","No"))</x:f>
      </x:c>
      <x:c r="M10" s="7" t="inlineStr">
        <x:is>
          <x:t xml:space="preserve"/>
        </x:is>
      </x:c>
      <x:c r="N10" s="6" t="inlineStr">
        <x:is>
          <x:t xml:space="preserve"/>
        </x:is>
      </x:c>
    </x:row>
    <x:row r="11">
      <x:c r="A11" s="7">
        <x:f>IF(E11="","", "ISS-"&amp;TEXT(ROW()-1,"00000"))</x:f>
      </x:c>
      <x:c r="B11" s="7" t="inlineStr">
        <x:is>
          <x:t xml:space="preserve"/>
        </x:is>
      </x:c>
      <x:c r="C11" s="7" t="inlineStr">
        <x:is>
          <x:t xml:space="preserve"/>
        </x:is>
      </x:c>
      <x:c r="D11" s="7" t="inlineStr">
        <x:is>
          <x:t xml:space="preserve"/>
        </x:is>
      </x:c>
      <x:c r="E11" s="6" t="inlineStr">
        <x:is>
          <x:t xml:space="preserve"/>
        </x:is>
      </x:c>
      <x:c r="F11" s="7" t="inlineStr">
        <x:is>
          <x:t xml:space="preserve"/>
        </x:is>
      </x:c>
      <x:c r="G11" s="8" t="inlineStr">
        <x:is>
          <x:t xml:space="preserve"/>
        </x:is>
      </x:c>
      <x:c r="H11" s="6" t="inlineStr">
        <x:is>
          <x:t xml:space="preserve"/>
        </x:is>
      </x:c>
      <x:c r="I11" s="8" t="inlineStr">
        <x:is>
          <x:t xml:space="preserve"/>
        </x:is>
      </x:c>
      <x:c r="J11" s="7" t="inlineStr">
        <x:is>
          <x:t xml:space="preserve"/>
        </x:is>
      </x:c>
      <x:c r="K11" s="7">
        <x:f>IF(G11="","", TODAY()-G11)</x:f>
      </x:c>
      <x:c r="L11" s="7">
        <x:f>IF(OR(I11="",J11="Closed"),"", IF(TODAY()&gt;I11,"Yes","No"))</x:f>
      </x:c>
      <x:c r="M11" s="7" t="inlineStr">
        <x:is>
          <x:t xml:space="preserve"/>
        </x:is>
      </x:c>
      <x:c r="N11" s="6" t="inlineStr">
        <x:is>
          <x:t xml:space="preserve"/>
        </x:is>
      </x:c>
    </x:row>
    <x:row r="12">
      <x:c r="A12" s="7">
        <x:f>IF(E12="","", "ISS-"&amp;TEXT(ROW()-1,"00000"))</x:f>
      </x:c>
      <x:c r="B12" s="7" t="inlineStr">
        <x:is>
          <x:t xml:space="preserve"/>
        </x:is>
      </x:c>
      <x:c r="C12" s="7" t="inlineStr">
        <x:is>
          <x:t xml:space="preserve"/>
        </x:is>
      </x:c>
      <x:c r="D12" s="7" t="inlineStr">
        <x:is>
          <x:t xml:space="preserve"/>
        </x:is>
      </x:c>
      <x:c r="E12" s="6" t="inlineStr">
        <x:is>
          <x:t xml:space="preserve"/>
        </x:is>
      </x:c>
      <x:c r="F12" s="7" t="inlineStr">
        <x:is>
          <x:t xml:space="preserve"/>
        </x:is>
      </x:c>
      <x:c r="G12" s="8" t="inlineStr">
        <x:is>
          <x:t xml:space="preserve"/>
        </x:is>
      </x:c>
      <x:c r="H12" s="6" t="inlineStr">
        <x:is>
          <x:t xml:space="preserve"/>
        </x:is>
      </x:c>
      <x:c r="I12" s="8" t="inlineStr">
        <x:is>
          <x:t xml:space="preserve"/>
        </x:is>
      </x:c>
      <x:c r="J12" s="7" t="inlineStr">
        <x:is>
          <x:t xml:space="preserve"/>
        </x:is>
      </x:c>
      <x:c r="K12" s="7">
        <x:f>IF(G12="","", TODAY()-G12)</x:f>
      </x:c>
      <x:c r="L12" s="7">
        <x:f>IF(OR(I12="",J12="Closed"),"", IF(TODAY()&gt;I12,"Yes","No"))</x:f>
      </x:c>
      <x:c r="M12" s="7" t="inlineStr">
        <x:is>
          <x:t xml:space="preserve"/>
        </x:is>
      </x:c>
      <x:c r="N12" s="6" t="inlineStr">
        <x:is>
          <x:t xml:space="preserve"/>
        </x:is>
      </x:c>
    </x:row>
    <x:row r="13">
      <x:c r="A13" s="7">
        <x:f>IF(E13="","", "ISS-"&amp;TEXT(ROW()-1,"00000"))</x:f>
      </x:c>
      <x:c r="B13" s="7" t="inlineStr">
        <x:is>
          <x:t xml:space="preserve"/>
        </x:is>
      </x:c>
      <x:c r="C13" s="7" t="inlineStr">
        <x:is>
          <x:t xml:space="preserve"/>
        </x:is>
      </x:c>
      <x:c r="D13" s="7" t="inlineStr">
        <x:is>
          <x:t xml:space="preserve"/>
        </x:is>
      </x:c>
      <x:c r="E13" s="6" t="inlineStr">
        <x:is>
          <x:t xml:space="preserve"/>
        </x:is>
      </x:c>
      <x:c r="F13" s="7" t="inlineStr">
        <x:is>
          <x:t xml:space="preserve"/>
        </x:is>
      </x:c>
      <x:c r="G13" s="8" t="inlineStr">
        <x:is>
          <x:t xml:space="preserve"/>
        </x:is>
      </x:c>
      <x:c r="H13" s="6" t="inlineStr">
        <x:is>
          <x:t xml:space="preserve"/>
        </x:is>
      </x:c>
      <x:c r="I13" s="8" t="inlineStr">
        <x:is>
          <x:t xml:space="preserve"/>
        </x:is>
      </x:c>
      <x:c r="J13" s="7" t="inlineStr">
        <x:is>
          <x:t xml:space="preserve"/>
        </x:is>
      </x:c>
      <x:c r="K13" s="7">
        <x:f>IF(G13="","", TODAY()-G13)</x:f>
      </x:c>
      <x:c r="L13" s="7">
        <x:f>IF(OR(I13="",J13="Closed"),"", IF(TODAY()&gt;I13,"Yes","No"))</x:f>
      </x:c>
      <x:c r="M13" s="7" t="inlineStr">
        <x:is>
          <x:t xml:space="preserve"/>
        </x:is>
      </x:c>
      <x:c r="N13" s="6" t="inlineStr">
        <x:is>
          <x:t xml:space="preserve"/>
        </x:is>
      </x:c>
    </x:row>
    <x:row r="14">
      <x:c r="A14" s="7">
        <x:f>IF(E14="","", "ISS-"&amp;TEXT(ROW()-1,"00000"))</x:f>
      </x:c>
      <x:c r="B14" s="7" t="inlineStr">
        <x:is>
          <x:t xml:space="preserve"/>
        </x:is>
      </x:c>
      <x:c r="C14" s="7" t="inlineStr">
        <x:is>
          <x:t xml:space="preserve"/>
        </x:is>
      </x:c>
      <x:c r="D14" s="7" t="inlineStr">
        <x:is>
          <x:t xml:space="preserve"/>
        </x:is>
      </x:c>
      <x:c r="E14" s="6" t="inlineStr">
        <x:is>
          <x:t xml:space="preserve"/>
        </x:is>
      </x:c>
      <x:c r="F14" s="7" t="inlineStr">
        <x:is>
          <x:t xml:space="preserve"/>
        </x:is>
      </x:c>
      <x:c r="G14" s="8" t="inlineStr">
        <x:is>
          <x:t xml:space="preserve"/>
        </x:is>
      </x:c>
      <x:c r="H14" s="6" t="inlineStr">
        <x:is>
          <x:t xml:space="preserve"/>
        </x:is>
      </x:c>
      <x:c r="I14" s="8" t="inlineStr">
        <x:is>
          <x:t xml:space="preserve"/>
        </x:is>
      </x:c>
      <x:c r="J14" s="7" t="inlineStr">
        <x:is>
          <x:t xml:space="preserve"/>
        </x:is>
      </x:c>
      <x:c r="K14" s="7">
        <x:f>IF(G14="","", TODAY()-G14)</x:f>
      </x:c>
      <x:c r="L14" s="7">
        <x:f>IF(OR(I14="",J14="Closed"),"", IF(TODAY()&gt;I14,"Yes","No"))</x:f>
      </x:c>
      <x:c r="M14" s="7" t="inlineStr">
        <x:is>
          <x:t xml:space="preserve"/>
        </x:is>
      </x:c>
      <x:c r="N14" s="6" t="inlineStr">
        <x:is>
          <x:t xml:space="preserve"/>
        </x:is>
      </x:c>
    </x:row>
    <x:row r="15">
      <x:c r="A15" s="7">
        <x:f>IF(E15="","", "ISS-"&amp;TEXT(ROW()-1,"00000"))</x:f>
      </x:c>
      <x:c r="B15" s="7" t="inlineStr">
        <x:is>
          <x:t xml:space="preserve"/>
        </x:is>
      </x:c>
      <x:c r="C15" s="7" t="inlineStr">
        <x:is>
          <x:t xml:space="preserve"/>
        </x:is>
      </x:c>
      <x:c r="D15" s="7" t="inlineStr">
        <x:is>
          <x:t xml:space="preserve"/>
        </x:is>
      </x:c>
      <x:c r="E15" s="6" t="inlineStr">
        <x:is>
          <x:t xml:space="preserve"/>
        </x:is>
      </x:c>
      <x:c r="F15" s="7" t="inlineStr">
        <x:is>
          <x:t xml:space="preserve"/>
        </x:is>
      </x:c>
      <x:c r="G15" s="8" t="inlineStr">
        <x:is>
          <x:t xml:space="preserve"/>
        </x:is>
      </x:c>
      <x:c r="H15" s="6" t="inlineStr">
        <x:is>
          <x:t xml:space="preserve"/>
        </x:is>
      </x:c>
      <x:c r="I15" s="8" t="inlineStr">
        <x:is>
          <x:t xml:space="preserve"/>
        </x:is>
      </x:c>
      <x:c r="J15" s="7" t="inlineStr">
        <x:is>
          <x:t xml:space="preserve"/>
        </x:is>
      </x:c>
      <x:c r="K15" s="7">
        <x:f>IF(G15="","", TODAY()-G15)</x:f>
      </x:c>
      <x:c r="L15" s="7">
        <x:f>IF(OR(I15="",J15="Closed"),"", IF(TODAY()&gt;I15,"Yes","No"))</x:f>
      </x:c>
      <x:c r="M15" s="7" t="inlineStr">
        <x:is>
          <x:t xml:space="preserve"/>
        </x:is>
      </x:c>
      <x:c r="N15" s="6" t="inlineStr">
        <x:is>
          <x:t xml:space="preserve"/>
        </x:is>
      </x:c>
    </x:row>
    <x:row r="16">
      <x:c r="A16" s="7">
        <x:f>IF(E16="","", "ISS-"&amp;TEXT(ROW()-1,"00000"))</x:f>
      </x:c>
      <x:c r="B16" s="7" t="inlineStr">
        <x:is>
          <x:t xml:space="preserve"/>
        </x:is>
      </x:c>
      <x:c r="C16" s="7" t="inlineStr">
        <x:is>
          <x:t xml:space="preserve"/>
        </x:is>
      </x:c>
      <x:c r="D16" s="7" t="inlineStr">
        <x:is>
          <x:t xml:space="preserve"/>
        </x:is>
      </x:c>
      <x:c r="E16" s="6" t="inlineStr">
        <x:is>
          <x:t xml:space="preserve"/>
        </x:is>
      </x:c>
      <x:c r="F16" s="7" t="inlineStr">
        <x:is>
          <x:t xml:space="preserve"/>
        </x:is>
      </x:c>
      <x:c r="G16" s="8" t="inlineStr">
        <x:is>
          <x:t xml:space="preserve"/>
        </x:is>
      </x:c>
      <x:c r="H16" s="6" t="inlineStr">
        <x:is>
          <x:t xml:space="preserve"/>
        </x:is>
      </x:c>
      <x:c r="I16" s="8" t="inlineStr">
        <x:is>
          <x:t xml:space="preserve"/>
        </x:is>
      </x:c>
      <x:c r="J16" s="7" t="inlineStr">
        <x:is>
          <x:t xml:space="preserve"/>
        </x:is>
      </x:c>
      <x:c r="K16" s="7">
        <x:f>IF(G16="","", TODAY()-G16)</x:f>
      </x:c>
      <x:c r="L16" s="7">
        <x:f>IF(OR(I16="",J16="Closed"),"", IF(TODAY()&gt;I16,"Yes","No"))</x:f>
      </x:c>
      <x:c r="M16" s="7" t="inlineStr">
        <x:is>
          <x:t xml:space="preserve"/>
        </x:is>
      </x:c>
      <x:c r="N16" s="6" t="inlineStr">
        <x:is>
          <x:t xml:space="preserve"/>
        </x:is>
      </x:c>
    </x:row>
    <x:row r="17">
      <x:c r="A17" s="7">
        <x:f>IF(E17="","", "ISS-"&amp;TEXT(ROW()-1,"00000"))</x:f>
      </x:c>
      <x:c r="B17" s="7" t="inlineStr">
        <x:is>
          <x:t xml:space="preserve"/>
        </x:is>
      </x:c>
      <x:c r="C17" s="7" t="inlineStr">
        <x:is>
          <x:t xml:space="preserve"/>
        </x:is>
      </x:c>
      <x:c r="D17" s="7" t="inlineStr">
        <x:is>
          <x:t xml:space="preserve"/>
        </x:is>
      </x:c>
      <x:c r="E17" s="6" t="inlineStr">
        <x:is>
          <x:t xml:space="preserve"/>
        </x:is>
      </x:c>
      <x:c r="F17" s="7" t="inlineStr">
        <x:is>
          <x:t xml:space="preserve"/>
        </x:is>
      </x:c>
      <x:c r="G17" s="8" t="inlineStr">
        <x:is>
          <x:t xml:space="preserve"/>
        </x:is>
      </x:c>
      <x:c r="H17" s="6" t="inlineStr">
        <x:is>
          <x:t xml:space="preserve"/>
        </x:is>
      </x:c>
      <x:c r="I17" s="8" t="inlineStr">
        <x:is>
          <x:t xml:space="preserve"/>
        </x:is>
      </x:c>
      <x:c r="J17" s="7" t="inlineStr">
        <x:is>
          <x:t xml:space="preserve"/>
        </x:is>
      </x:c>
      <x:c r="K17" s="7">
        <x:f>IF(G17="","", TODAY()-G17)</x:f>
      </x:c>
      <x:c r="L17" s="7">
        <x:f>IF(OR(I17="",J17="Closed"),"", IF(TODAY()&gt;I17,"Yes","No"))</x:f>
      </x:c>
      <x:c r="M17" s="7" t="inlineStr">
        <x:is>
          <x:t xml:space="preserve"/>
        </x:is>
      </x:c>
      <x:c r="N17" s="6" t="inlineStr">
        <x:is>
          <x:t xml:space="preserve"/>
        </x:is>
      </x:c>
    </x:row>
    <x:row r="18">
      <x:c r="A18" s="7">
        <x:f>IF(E18="","", "ISS-"&amp;TEXT(ROW()-1,"00000"))</x:f>
      </x:c>
      <x:c r="B18" s="7" t="inlineStr">
        <x:is>
          <x:t xml:space="preserve"/>
        </x:is>
      </x:c>
      <x:c r="C18" s="7" t="inlineStr">
        <x:is>
          <x:t xml:space="preserve"/>
        </x:is>
      </x:c>
      <x:c r="D18" s="7" t="inlineStr">
        <x:is>
          <x:t xml:space="preserve"/>
        </x:is>
      </x:c>
      <x:c r="E18" s="6" t="inlineStr">
        <x:is>
          <x:t xml:space="preserve"/>
        </x:is>
      </x:c>
      <x:c r="F18" s="7" t="inlineStr">
        <x:is>
          <x:t xml:space="preserve"/>
        </x:is>
      </x:c>
      <x:c r="G18" s="8" t="inlineStr">
        <x:is>
          <x:t xml:space="preserve"/>
        </x:is>
      </x:c>
      <x:c r="H18" s="6" t="inlineStr">
        <x:is>
          <x:t xml:space="preserve"/>
        </x:is>
      </x:c>
      <x:c r="I18" s="8" t="inlineStr">
        <x:is>
          <x:t xml:space="preserve"/>
        </x:is>
      </x:c>
      <x:c r="J18" s="7" t="inlineStr">
        <x:is>
          <x:t xml:space="preserve"/>
        </x:is>
      </x:c>
      <x:c r="K18" s="7">
        <x:f>IF(G18="","", TODAY()-G18)</x:f>
      </x:c>
      <x:c r="L18" s="7">
        <x:f>IF(OR(I18="",J18="Closed"),"", IF(TODAY()&gt;I18,"Yes","No"))</x:f>
      </x:c>
      <x:c r="M18" s="7" t="inlineStr">
        <x:is>
          <x:t xml:space="preserve"/>
        </x:is>
      </x:c>
      <x:c r="N18" s="6" t="inlineStr">
        <x:is>
          <x:t xml:space="preserve"/>
        </x:is>
      </x:c>
    </x:row>
    <x:row r="19">
      <x:c r="A19" s="7">
        <x:f>IF(E19="","", "ISS-"&amp;TEXT(ROW()-1,"00000"))</x:f>
      </x:c>
      <x:c r="B19" s="7" t="inlineStr">
        <x:is>
          <x:t xml:space="preserve"/>
        </x:is>
      </x:c>
      <x:c r="C19" s="7" t="inlineStr">
        <x:is>
          <x:t xml:space="preserve"/>
        </x:is>
      </x:c>
      <x:c r="D19" s="7" t="inlineStr">
        <x:is>
          <x:t xml:space="preserve"/>
        </x:is>
      </x:c>
      <x:c r="E19" s="6" t="inlineStr">
        <x:is>
          <x:t xml:space="preserve"/>
        </x:is>
      </x:c>
      <x:c r="F19" s="7" t="inlineStr">
        <x:is>
          <x:t xml:space="preserve"/>
        </x:is>
      </x:c>
      <x:c r="G19" s="8" t="inlineStr">
        <x:is>
          <x:t xml:space="preserve"/>
        </x:is>
      </x:c>
      <x:c r="H19" s="6" t="inlineStr">
        <x:is>
          <x:t xml:space="preserve"/>
        </x:is>
      </x:c>
      <x:c r="I19" s="8" t="inlineStr">
        <x:is>
          <x:t xml:space="preserve"/>
        </x:is>
      </x:c>
      <x:c r="J19" s="7" t="inlineStr">
        <x:is>
          <x:t xml:space="preserve"/>
        </x:is>
      </x:c>
      <x:c r="K19" s="7">
        <x:f>IF(G19="","", TODAY()-G19)</x:f>
      </x:c>
      <x:c r="L19" s="7">
        <x:f>IF(OR(I19="",J19="Closed"),"", IF(TODAY()&gt;I19,"Yes","No"))</x:f>
      </x:c>
      <x:c r="M19" s="7" t="inlineStr">
        <x:is>
          <x:t xml:space="preserve"/>
        </x:is>
      </x:c>
      <x:c r="N19" s="6" t="inlineStr">
        <x:is>
          <x:t xml:space="preserve"/>
        </x:is>
      </x:c>
    </x:row>
    <x:row r="20">
      <x:c r="A20" s="7">
        <x:f>IF(E20="","", "ISS-"&amp;TEXT(ROW()-1,"00000"))</x:f>
      </x:c>
      <x:c r="B20" s="7" t="inlineStr">
        <x:is>
          <x:t xml:space="preserve"/>
        </x:is>
      </x:c>
      <x:c r="C20" s="7" t="inlineStr">
        <x:is>
          <x:t xml:space="preserve"/>
        </x:is>
      </x:c>
      <x:c r="D20" s="7" t="inlineStr">
        <x:is>
          <x:t xml:space="preserve"/>
        </x:is>
      </x:c>
      <x:c r="E20" s="6" t="inlineStr">
        <x:is>
          <x:t xml:space="preserve"/>
        </x:is>
      </x:c>
      <x:c r="F20" s="7" t="inlineStr">
        <x:is>
          <x:t xml:space="preserve"/>
        </x:is>
      </x:c>
      <x:c r="G20" s="8" t="inlineStr">
        <x:is>
          <x:t xml:space="preserve"/>
        </x:is>
      </x:c>
      <x:c r="H20" s="6" t="inlineStr">
        <x:is>
          <x:t xml:space="preserve"/>
        </x:is>
      </x:c>
      <x:c r="I20" s="8" t="inlineStr">
        <x:is>
          <x:t xml:space="preserve"/>
        </x:is>
      </x:c>
      <x:c r="J20" s="7" t="inlineStr">
        <x:is>
          <x:t xml:space="preserve"/>
        </x:is>
      </x:c>
      <x:c r="K20" s="7">
        <x:f>IF(G20="","", TODAY()-G20)</x:f>
      </x:c>
      <x:c r="L20" s="7">
        <x:f>IF(OR(I20="",J20="Closed"),"", IF(TODAY()&gt;I20,"Yes","No"))</x:f>
      </x:c>
      <x:c r="M20" s="7" t="inlineStr">
        <x:is>
          <x:t xml:space="preserve"/>
        </x:is>
      </x:c>
      <x:c r="N20" s="6" t="inlineStr">
        <x:is>
          <x:t xml:space="preserve"/>
        </x:is>
      </x:c>
    </x:row>
    <x:row r="21">
      <x:c r="A21" s="7">
        <x:f>IF(E21="","", "ISS-"&amp;TEXT(ROW()-1,"00000"))</x:f>
      </x:c>
      <x:c r="B21" s="7" t="inlineStr">
        <x:is>
          <x:t xml:space="preserve"/>
        </x:is>
      </x:c>
      <x:c r="C21" s="7" t="inlineStr">
        <x:is>
          <x:t xml:space="preserve"/>
        </x:is>
      </x:c>
      <x:c r="D21" s="7" t="inlineStr">
        <x:is>
          <x:t xml:space="preserve"/>
        </x:is>
      </x:c>
      <x:c r="E21" s="6" t="inlineStr">
        <x:is>
          <x:t xml:space="preserve"/>
        </x:is>
      </x:c>
      <x:c r="F21" s="7" t="inlineStr">
        <x:is>
          <x:t xml:space="preserve"/>
        </x:is>
      </x:c>
      <x:c r="G21" s="8" t="inlineStr">
        <x:is>
          <x:t xml:space="preserve"/>
        </x:is>
      </x:c>
      <x:c r="H21" s="6" t="inlineStr">
        <x:is>
          <x:t xml:space="preserve"/>
        </x:is>
      </x:c>
      <x:c r="I21" s="8" t="inlineStr">
        <x:is>
          <x:t xml:space="preserve"/>
        </x:is>
      </x:c>
      <x:c r="J21" s="7" t="inlineStr">
        <x:is>
          <x:t xml:space="preserve"/>
        </x:is>
      </x:c>
      <x:c r="K21" s="7">
        <x:f>IF(G21="","", TODAY()-G21)</x:f>
      </x:c>
      <x:c r="L21" s="7">
        <x:f>IF(OR(I21="",J21="Closed"),"", IF(TODAY()&gt;I21,"Yes","No"))</x:f>
      </x:c>
      <x:c r="M21" s="7" t="inlineStr">
        <x:is>
          <x:t xml:space="preserve"/>
        </x:is>
      </x:c>
      <x:c r="N21" s="6" t="inlineStr">
        <x:is>
          <x:t xml:space="preserve"/>
        </x:is>
      </x:c>
    </x:row>
    <x:row r="22">
      <x:c r="A22" s="7">
        <x:f>IF(E22="","", "ISS-"&amp;TEXT(ROW()-1,"00000"))</x:f>
      </x:c>
      <x:c r="B22" s="7" t="inlineStr">
        <x:is>
          <x:t xml:space="preserve"/>
        </x:is>
      </x:c>
      <x:c r="C22" s="7" t="inlineStr">
        <x:is>
          <x:t xml:space="preserve"/>
        </x:is>
      </x:c>
      <x:c r="D22" s="7" t="inlineStr">
        <x:is>
          <x:t xml:space="preserve"/>
        </x:is>
      </x:c>
      <x:c r="E22" s="6" t="inlineStr">
        <x:is>
          <x:t xml:space="preserve"/>
        </x:is>
      </x:c>
      <x:c r="F22" s="7" t="inlineStr">
        <x:is>
          <x:t xml:space="preserve"/>
        </x:is>
      </x:c>
      <x:c r="G22" s="8" t="inlineStr">
        <x:is>
          <x:t xml:space="preserve"/>
        </x:is>
      </x:c>
      <x:c r="H22" s="6" t="inlineStr">
        <x:is>
          <x:t xml:space="preserve"/>
        </x:is>
      </x:c>
      <x:c r="I22" s="8" t="inlineStr">
        <x:is>
          <x:t xml:space="preserve"/>
        </x:is>
      </x:c>
      <x:c r="J22" s="7" t="inlineStr">
        <x:is>
          <x:t xml:space="preserve"/>
        </x:is>
      </x:c>
      <x:c r="K22" s="7">
        <x:f>IF(G22="","", TODAY()-G22)</x:f>
      </x:c>
      <x:c r="L22" s="7">
        <x:f>IF(OR(I22="",J22="Closed"),"", IF(TODAY()&gt;I22,"Yes","No"))</x:f>
      </x:c>
      <x:c r="M22" s="7" t="inlineStr">
        <x:is>
          <x:t xml:space="preserve"/>
        </x:is>
      </x:c>
      <x:c r="N22" s="6" t="inlineStr">
        <x:is>
          <x:t xml:space="preserve"/>
        </x:is>
      </x:c>
    </x:row>
    <x:row r="23">
      <x:c r="A23" s="7">
        <x:f>IF(E23="","", "ISS-"&amp;TEXT(ROW()-1,"00000"))</x:f>
      </x:c>
      <x:c r="B23" s="7" t="inlineStr">
        <x:is>
          <x:t xml:space="preserve"/>
        </x:is>
      </x:c>
      <x:c r="C23" s="7" t="inlineStr">
        <x:is>
          <x:t xml:space="preserve"/>
        </x:is>
      </x:c>
      <x:c r="D23" s="7" t="inlineStr">
        <x:is>
          <x:t xml:space="preserve"/>
        </x:is>
      </x:c>
      <x:c r="E23" s="6" t="inlineStr">
        <x:is>
          <x:t xml:space="preserve"/>
        </x:is>
      </x:c>
      <x:c r="F23" s="7" t="inlineStr">
        <x:is>
          <x:t xml:space="preserve"/>
        </x:is>
      </x:c>
      <x:c r="G23" s="8" t="inlineStr">
        <x:is>
          <x:t xml:space="preserve"/>
        </x:is>
      </x:c>
      <x:c r="H23" s="6" t="inlineStr">
        <x:is>
          <x:t xml:space="preserve"/>
        </x:is>
      </x:c>
      <x:c r="I23" s="8" t="inlineStr">
        <x:is>
          <x:t xml:space="preserve"/>
        </x:is>
      </x:c>
      <x:c r="J23" s="7" t="inlineStr">
        <x:is>
          <x:t xml:space="preserve"/>
        </x:is>
      </x:c>
      <x:c r="K23" s="7">
        <x:f>IF(G23="","", TODAY()-G23)</x:f>
      </x:c>
      <x:c r="L23" s="7">
        <x:f>IF(OR(I23="",J23="Closed"),"", IF(TODAY()&gt;I23,"Yes","No"))</x:f>
      </x:c>
      <x:c r="M23" s="7" t="inlineStr">
        <x:is>
          <x:t xml:space="preserve"/>
        </x:is>
      </x:c>
      <x:c r="N23" s="6" t="inlineStr">
        <x:is>
          <x:t xml:space="preserve"/>
        </x:is>
      </x:c>
    </x:row>
    <x:row r="24">
      <x:c r="A24" s="7">
        <x:f>IF(E24="","", "ISS-"&amp;TEXT(ROW()-1,"00000"))</x:f>
      </x:c>
      <x:c r="B24" s="7" t="inlineStr">
        <x:is>
          <x:t xml:space="preserve"/>
        </x:is>
      </x:c>
      <x:c r="C24" s="7" t="inlineStr">
        <x:is>
          <x:t xml:space="preserve"/>
        </x:is>
      </x:c>
      <x:c r="D24" s="7" t="inlineStr">
        <x:is>
          <x:t xml:space="preserve"/>
        </x:is>
      </x:c>
      <x:c r="E24" s="6" t="inlineStr">
        <x:is>
          <x:t xml:space="preserve"/>
        </x:is>
      </x:c>
      <x:c r="F24" s="7" t="inlineStr">
        <x:is>
          <x:t xml:space="preserve"/>
        </x:is>
      </x:c>
      <x:c r="G24" s="8" t="inlineStr">
        <x:is>
          <x:t xml:space="preserve"/>
        </x:is>
      </x:c>
      <x:c r="H24" s="6" t="inlineStr">
        <x:is>
          <x:t xml:space="preserve"/>
        </x:is>
      </x:c>
      <x:c r="I24" s="8" t="inlineStr">
        <x:is>
          <x:t xml:space="preserve"/>
        </x:is>
      </x:c>
      <x:c r="J24" s="7" t="inlineStr">
        <x:is>
          <x:t xml:space="preserve"/>
        </x:is>
      </x:c>
      <x:c r="K24" s="7">
        <x:f>IF(G24="","", TODAY()-G24)</x:f>
      </x:c>
      <x:c r="L24" s="7">
        <x:f>IF(OR(I24="",J24="Closed"),"", IF(TODAY()&gt;I24,"Yes","No"))</x:f>
      </x:c>
      <x:c r="M24" s="7" t="inlineStr">
        <x:is>
          <x:t xml:space="preserve"/>
        </x:is>
      </x:c>
      <x:c r="N24" s="6" t="inlineStr">
        <x:is>
          <x:t xml:space="preserve"/>
        </x:is>
      </x:c>
    </x:row>
    <x:row r="25">
      <x:c r="A25" s="7">
        <x:f>IF(E25="","", "ISS-"&amp;TEXT(ROW()-1,"00000"))</x:f>
      </x:c>
      <x:c r="B25" s="7" t="inlineStr">
        <x:is>
          <x:t xml:space="preserve"/>
        </x:is>
      </x:c>
      <x:c r="C25" s="7" t="inlineStr">
        <x:is>
          <x:t xml:space="preserve"/>
        </x:is>
      </x:c>
      <x:c r="D25" s="7" t="inlineStr">
        <x:is>
          <x:t xml:space="preserve"/>
        </x:is>
      </x:c>
      <x:c r="E25" s="6" t="inlineStr">
        <x:is>
          <x:t xml:space="preserve"/>
        </x:is>
      </x:c>
      <x:c r="F25" s="7" t="inlineStr">
        <x:is>
          <x:t xml:space="preserve"/>
        </x:is>
      </x:c>
      <x:c r="G25" s="8" t="inlineStr">
        <x:is>
          <x:t xml:space="preserve"/>
        </x:is>
      </x:c>
      <x:c r="H25" s="6" t="inlineStr">
        <x:is>
          <x:t xml:space="preserve"/>
        </x:is>
      </x:c>
      <x:c r="I25" s="8" t="inlineStr">
        <x:is>
          <x:t xml:space="preserve"/>
        </x:is>
      </x:c>
      <x:c r="J25" s="7" t="inlineStr">
        <x:is>
          <x:t xml:space="preserve"/>
        </x:is>
      </x:c>
      <x:c r="K25" s="7">
        <x:f>IF(G25="","", TODAY()-G25)</x:f>
      </x:c>
      <x:c r="L25" s="7">
        <x:f>IF(OR(I25="",J25="Closed"),"", IF(TODAY()&gt;I25,"Yes","No"))</x:f>
      </x:c>
      <x:c r="M25" s="7" t="inlineStr">
        <x:is>
          <x:t xml:space="preserve"/>
        </x:is>
      </x:c>
      <x:c r="N25" s="6" t="inlineStr">
        <x:is>
          <x:t xml:space="preserve"/>
        </x:is>
      </x:c>
    </x:row>
    <x:row r="26">
      <x:c r="A26" s="7">
        <x:f>IF(E26="","", "ISS-"&amp;TEXT(ROW()-1,"00000"))</x:f>
      </x:c>
      <x:c r="B26" s="7" t="inlineStr">
        <x:is>
          <x:t xml:space="preserve"/>
        </x:is>
      </x:c>
      <x:c r="C26" s="7" t="inlineStr">
        <x:is>
          <x:t xml:space="preserve"/>
        </x:is>
      </x:c>
      <x:c r="D26" s="7" t="inlineStr">
        <x:is>
          <x:t xml:space="preserve"/>
        </x:is>
      </x:c>
      <x:c r="E26" s="6" t="inlineStr">
        <x:is>
          <x:t xml:space="preserve"/>
        </x:is>
      </x:c>
      <x:c r="F26" s="7" t="inlineStr">
        <x:is>
          <x:t xml:space="preserve"/>
        </x:is>
      </x:c>
      <x:c r="G26" s="8" t="inlineStr">
        <x:is>
          <x:t xml:space="preserve"/>
        </x:is>
      </x:c>
      <x:c r="H26" s="6" t="inlineStr">
        <x:is>
          <x:t xml:space="preserve"/>
        </x:is>
      </x:c>
      <x:c r="I26" s="8" t="inlineStr">
        <x:is>
          <x:t xml:space="preserve"/>
        </x:is>
      </x:c>
      <x:c r="J26" s="7" t="inlineStr">
        <x:is>
          <x:t xml:space="preserve"/>
        </x:is>
      </x:c>
      <x:c r="K26" s="7">
        <x:f>IF(G26="","", TODAY()-G26)</x:f>
      </x:c>
      <x:c r="L26" s="7">
        <x:f>IF(OR(I26="",J26="Closed"),"", IF(TODAY()&gt;I26,"Yes","No"))</x:f>
      </x:c>
      <x:c r="M26" s="7" t="inlineStr">
        <x:is>
          <x:t xml:space="preserve"/>
        </x:is>
      </x:c>
      <x:c r="N26" s="6" t="inlineStr">
        <x:is>
          <x:t xml:space="preserve"/>
        </x:is>
      </x:c>
    </x:row>
    <x:row r="27">
      <x:c r="A27" s="7">
        <x:f>IF(E27="","", "ISS-"&amp;TEXT(ROW()-1,"00000"))</x:f>
      </x:c>
      <x:c r="B27" s="7" t="inlineStr">
        <x:is>
          <x:t xml:space="preserve"/>
        </x:is>
      </x:c>
      <x:c r="C27" s="7" t="inlineStr">
        <x:is>
          <x:t xml:space="preserve"/>
        </x:is>
      </x:c>
      <x:c r="D27" s="7" t="inlineStr">
        <x:is>
          <x:t xml:space="preserve"/>
        </x:is>
      </x:c>
      <x:c r="E27" s="6" t="inlineStr">
        <x:is>
          <x:t xml:space="preserve"/>
        </x:is>
      </x:c>
      <x:c r="F27" s="7" t="inlineStr">
        <x:is>
          <x:t xml:space="preserve"/>
        </x:is>
      </x:c>
      <x:c r="G27" s="8" t="inlineStr">
        <x:is>
          <x:t xml:space="preserve"/>
        </x:is>
      </x:c>
      <x:c r="H27" s="6" t="inlineStr">
        <x:is>
          <x:t xml:space="preserve"/>
        </x:is>
      </x:c>
      <x:c r="I27" s="8" t="inlineStr">
        <x:is>
          <x:t xml:space="preserve"/>
        </x:is>
      </x:c>
      <x:c r="J27" s="7" t="inlineStr">
        <x:is>
          <x:t xml:space="preserve"/>
        </x:is>
      </x:c>
      <x:c r="K27" s="7">
        <x:f>IF(G27="","", TODAY()-G27)</x:f>
      </x:c>
      <x:c r="L27" s="7">
        <x:f>IF(OR(I27="",J27="Closed"),"", IF(TODAY()&gt;I27,"Yes","No"))</x:f>
      </x:c>
      <x:c r="M27" s="7" t="inlineStr">
        <x:is>
          <x:t xml:space="preserve"/>
        </x:is>
      </x:c>
      <x:c r="N27" s="6" t="inlineStr">
        <x:is>
          <x:t xml:space="preserve"/>
        </x:is>
      </x:c>
    </x:row>
    <x:row r="28">
      <x:c r="A28" s="7">
        <x:f>IF(E28="","", "ISS-"&amp;TEXT(ROW()-1,"00000"))</x:f>
      </x:c>
      <x:c r="B28" s="7" t="inlineStr">
        <x:is>
          <x:t xml:space="preserve"/>
        </x:is>
      </x:c>
      <x:c r="C28" s="7" t="inlineStr">
        <x:is>
          <x:t xml:space="preserve"/>
        </x:is>
      </x:c>
      <x:c r="D28" s="7" t="inlineStr">
        <x:is>
          <x:t xml:space="preserve"/>
        </x:is>
      </x:c>
      <x:c r="E28" s="6" t="inlineStr">
        <x:is>
          <x:t xml:space="preserve"/>
        </x:is>
      </x:c>
      <x:c r="F28" s="7" t="inlineStr">
        <x:is>
          <x:t xml:space="preserve"/>
        </x:is>
      </x:c>
      <x:c r="G28" s="8" t="inlineStr">
        <x:is>
          <x:t xml:space="preserve"/>
        </x:is>
      </x:c>
      <x:c r="H28" s="6" t="inlineStr">
        <x:is>
          <x:t xml:space="preserve"/>
        </x:is>
      </x:c>
      <x:c r="I28" s="8" t="inlineStr">
        <x:is>
          <x:t xml:space="preserve"/>
        </x:is>
      </x:c>
      <x:c r="J28" s="7" t="inlineStr">
        <x:is>
          <x:t xml:space="preserve"/>
        </x:is>
      </x:c>
      <x:c r="K28" s="7">
        <x:f>IF(G28="","", TODAY()-G28)</x:f>
      </x:c>
      <x:c r="L28" s="7">
        <x:f>IF(OR(I28="",J28="Closed"),"", IF(TODAY()&gt;I28,"Yes","No"))</x:f>
      </x:c>
      <x:c r="M28" s="7" t="inlineStr">
        <x:is>
          <x:t xml:space="preserve"/>
        </x:is>
      </x:c>
      <x:c r="N28" s="6" t="inlineStr">
        <x:is>
          <x:t xml:space="preserve"/>
        </x:is>
      </x:c>
    </x:row>
    <x:row r="29">
      <x:c r="A29" s="7">
        <x:f>IF(E29="","", "ISS-"&amp;TEXT(ROW()-1,"00000"))</x:f>
      </x:c>
      <x:c r="B29" s="7" t="inlineStr">
        <x:is>
          <x:t xml:space="preserve"/>
        </x:is>
      </x:c>
      <x:c r="C29" s="7" t="inlineStr">
        <x:is>
          <x:t xml:space="preserve"/>
        </x:is>
      </x:c>
      <x:c r="D29" s="7" t="inlineStr">
        <x:is>
          <x:t xml:space="preserve"/>
        </x:is>
      </x:c>
      <x:c r="E29" s="6" t="inlineStr">
        <x:is>
          <x:t xml:space="preserve"/>
        </x:is>
      </x:c>
      <x:c r="F29" s="7" t="inlineStr">
        <x:is>
          <x:t xml:space="preserve"/>
        </x:is>
      </x:c>
      <x:c r="G29" s="8" t="inlineStr">
        <x:is>
          <x:t xml:space="preserve"/>
        </x:is>
      </x:c>
      <x:c r="H29" s="6" t="inlineStr">
        <x:is>
          <x:t xml:space="preserve"/>
        </x:is>
      </x:c>
      <x:c r="I29" s="8" t="inlineStr">
        <x:is>
          <x:t xml:space="preserve"/>
        </x:is>
      </x:c>
      <x:c r="J29" s="7" t="inlineStr">
        <x:is>
          <x:t xml:space="preserve"/>
        </x:is>
      </x:c>
      <x:c r="K29" s="7">
        <x:f>IF(G29="","", TODAY()-G29)</x:f>
      </x:c>
      <x:c r="L29" s="7">
        <x:f>IF(OR(I29="",J29="Closed"),"", IF(TODAY()&gt;I29,"Yes","No"))</x:f>
      </x:c>
      <x:c r="M29" s="7" t="inlineStr">
        <x:is>
          <x:t xml:space="preserve"/>
        </x:is>
      </x:c>
      <x:c r="N29" s="6" t="inlineStr">
        <x:is>
          <x:t xml:space="preserve"/>
        </x:is>
      </x:c>
    </x:row>
    <x:row r="30">
      <x:c r="A30" s="7">
        <x:f>IF(E30="","", "ISS-"&amp;TEXT(ROW()-1,"00000"))</x:f>
      </x:c>
      <x:c r="B30" s="7" t="inlineStr">
        <x:is>
          <x:t xml:space="preserve"/>
        </x:is>
      </x:c>
      <x:c r="C30" s="7" t="inlineStr">
        <x:is>
          <x:t xml:space="preserve"/>
        </x:is>
      </x:c>
      <x:c r="D30" s="7" t="inlineStr">
        <x:is>
          <x:t xml:space="preserve"/>
        </x:is>
      </x:c>
      <x:c r="E30" s="6" t="inlineStr">
        <x:is>
          <x:t xml:space="preserve"/>
        </x:is>
      </x:c>
      <x:c r="F30" s="7" t="inlineStr">
        <x:is>
          <x:t xml:space="preserve"/>
        </x:is>
      </x:c>
      <x:c r="G30" s="8" t="inlineStr">
        <x:is>
          <x:t xml:space="preserve"/>
        </x:is>
      </x:c>
      <x:c r="H30" s="6" t="inlineStr">
        <x:is>
          <x:t xml:space="preserve"/>
        </x:is>
      </x:c>
      <x:c r="I30" s="8" t="inlineStr">
        <x:is>
          <x:t xml:space="preserve"/>
        </x:is>
      </x:c>
      <x:c r="J30" s="7" t="inlineStr">
        <x:is>
          <x:t xml:space="preserve"/>
        </x:is>
      </x:c>
      <x:c r="K30" s="7">
        <x:f>IF(G30="","", TODAY()-G30)</x:f>
      </x:c>
      <x:c r="L30" s="7">
        <x:f>IF(OR(I30="",J30="Closed"),"", IF(TODAY()&gt;I30,"Yes","No"))</x:f>
      </x:c>
      <x:c r="M30" s="7" t="inlineStr">
        <x:is>
          <x:t xml:space="preserve"/>
        </x:is>
      </x:c>
      <x:c r="N30" s="6" t="inlineStr">
        <x:is>
          <x:t xml:space="preserve"/>
        </x:is>
      </x:c>
    </x:row>
    <x:row r="31">
      <x:c r="A31" s="7">
        <x:f>IF(E31="","", "ISS-"&amp;TEXT(ROW()-1,"00000"))</x:f>
      </x:c>
      <x:c r="B31" s="7" t="inlineStr">
        <x:is>
          <x:t xml:space="preserve"/>
        </x:is>
      </x:c>
      <x:c r="C31" s="7" t="inlineStr">
        <x:is>
          <x:t xml:space="preserve"/>
        </x:is>
      </x:c>
      <x:c r="D31" s="7" t="inlineStr">
        <x:is>
          <x:t xml:space="preserve"/>
        </x:is>
      </x:c>
      <x:c r="E31" s="6" t="inlineStr">
        <x:is>
          <x:t xml:space="preserve"/>
        </x:is>
      </x:c>
      <x:c r="F31" s="7" t="inlineStr">
        <x:is>
          <x:t xml:space="preserve"/>
        </x:is>
      </x:c>
      <x:c r="G31" s="8" t="inlineStr">
        <x:is>
          <x:t xml:space="preserve"/>
        </x:is>
      </x:c>
      <x:c r="H31" s="6" t="inlineStr">
        <x:is>
          <x:t xml:space="preserve"/>
        </x:is>
      </x:c>
      <x:c r="I31" s="8" t="inlineStr">
        <x:is>
          <x:t xml:space="preserve"/>
        </x:is>
      </x:c>
      <x:c r="J31" s="7" t="inlineStr">
        <x:is>
          <x:t xml:space="preserve"/>
        </x:is>
      </x:c>
      <x:c r="K31" s="7">
        <x:f>IF(G31="","", TODAY()-G31)</x:f>
      </x:c>
      <x:c r="L31" s="7">
        <x:f>IF(OR(I31="",J31="Closed"),"", IF(TODAY()&gt;I31,"Yes","No"))</x:f>
      </x:c>
      <x:c r="M31" s="7" t="inlineStr">
        <x:is>
          <x:t xml:space="preserve"/>
        </x:is>
      </x:c>
      <x:c r="N31" s="6" t="inlineStr">
        <x:is>
          <x:t xml:space="preserve"/>
        </x:is>
      </x:c>
    </x:row>
    <x:row r="32">
      <x:c r="A32" s="7">
        <x:f>IF(E32="","", "ISS-"&amp;TEXT(ROW()-1,"00000"))</x:f>
      </x:c>
      <x:c r="B32" s="7" t="inlineStr">
        <x:is>
          <x:t xml:space="preserve"/>
        </x:is>
      </x:c>
      <x:c r="C32" s="7" t="inlineStr">
        <x:is>
          <x:t xml:space="preserve"/>
        </x:is>
      </x:c>
      <x:c r="D32" s="7" t="inlineStr">
        <x:is>
          <x:t xml:space="preserve"/>
        </x:is>
      </x:c>
      <x:c r="E32" s="6" t="inlineStr">
        <x:is>
          <x:t xml:space="preserve"/>
        </x:is>
      </x:c>
      <x:c r="F32" s="7" t="inlineStr">
        <x:is>
          <x:t xml:space="preserve"/>
        </x:is>
      </x:c>
      <x:c r="G32" s="8" t="inlineStr">
        <x:is>
          <x:t xml:space="preserve"/>
        </x:is>
      </x:c>
      <x:c r="H32" s="6" t="inlineStr">
        <x:is>
          <x:t xml:space="preserve"/>
        </x:is>
      </x:c>
      <x:c r="I32" s="8" t="inlineStr">
        <x:is>
          <x:t xml:space="preserve"/>
        </x:is>
      </x:c>
      <x:c r="J32" s="7" t="inlineStr">
        <x:is>
          <x:t xml:space="preserve"/>
        </x:is>
      </x:c>
      <x:c r="K32" s="7">
        <x:f>IF(G32="","", TODAY()-G32)</x:f>
      </x:c>
      <x:c r="L32" s="7">
        <x:f>IF(OR(I32="",J32="Closed"),"", IF(TODAY()&gt;I32,"Yes","No"))</x:f>
      </x:c>
      <x:c r="M32" s="7" t="inlineStr">
        <x:is>
          <x:t xml:space="preserve"/>
        </x:is>
      </x:c>
      <x:c r="N32" s="6" t="inlineStr">
        <x:is>
          <x:t xml:space="preserve"/>
        </x:is>
      </x:c>
    </x:row>
    <x:row r="33">
      <x:c r="A33" s="7">
        <x:f>IF(E33="","", "ISS-"&amp;TEXT(ROW()-1,"00000"))</x:f>
      </x:c>
      <x:c r="B33" s="7" t="inlineStr">
        <x:is>
          <x:t xml:space="preserve"/>
        </x:is>
      </x:c>
      <x:c r="C33" s="7" t="inlineStr">
        <x:is>
          <x:t xml:space="preserve"/>
        </x:is>
      </x:c>
      <x:c r="D33" s="7" t="inlineStr">
        <x:is>
          <x:t xml:space="preserve"/>
        </x:is>
      </x:c>
      <x:c r="E33" s="6" t="inlineStr">
        <x:is>
          <x:t xml:space="preserve"/>
        </x:is>
      </x:c>
      <x:c r="F33" s="7" t="inlineStr">
        <x:is>
          <x:t xml:space="preserve"/>
        </x:is>
      </x:c>
      <x:c r="G33" s="8" t="inlineStr">
        <x:is>
          <x:t xml:space="preserve"/>
        </x:is>
      </x:c>
      <x:c r="H33" s="6" t="inlineStr">
        <x:is>
          <x:t xml:space="preserve"/>
        </x:is>
      </x:c>
      <x:c r="I33" s="8" t="inlineStr">
        <x:is>
          <x:t xml:space="preserve"/>
        </x:is>
      </x:c>
      <x:c r="J33" s="7" t="inlineStr">
        <x:is>
          <x:t xml:space="preserve"/>
        </x:is>
      </x:c>
      <x:c r="K33" s="7">
        <x:f>IF(G33="","", TODAY()-G33)</x:f>
      </x:c>
      <x:c r="L33" s="7">
        <x:f>IF(OR(I33="",J33="Closed"),"", IF(TODAY()&gt;I33,"Yes","No"))</x:f>
      </x:c>
      <x:c r="M33" s="7" t="inlineStr">
        <x:is>
          <x:t xml:space="preserve"/>
        </x:is>
      </x:c>
      <x:c r="N33" s="6" t="inlineStr">
        <x:is>
          <x:t xml:space="preserve"/>
        </x:is>
      </x:c>
    </x:row>
    <x:row r="34">
      <x:c r="A34" s="7">
        <x:f>IF(E34="","", "ISS-"&amp;TEXT(ROW()-1,"00000"))</x:f>
      </x:c>
      <x:c r="B34" s="7" t="inlineStr">
        <x:is>
          <x:t xml:space="preserve"/>
        </x:is>
      </x:c>
      <x:c r="C34" s="7" t="inlineStr">
        <x:is>
          <x:t xml:space="preserve"/>
        </x:is>
      </x:c>
      <x:c r="D34" s="7" t="inlineStr">
        <x:is>
          <x:t xml:space="preserve"/>
        </x:is>
      </x:c>
      <x:c r="E34" s="6" t="inlineStr">
        <x:is>
          <x:t xml:space="preserve"/>
        </x:is>
      </x:c>
      <x:c r="F34" s="7" t="inlineStr">
        <x:is>
          <x:t xml:space="preserve"/>
        </x:is>
      </x:c>
      <x:c r="G34" s="8" t="inlineStr">
        <x:is>
          <x:t xml:space="preserve"/>
        </x:is>
      </x:c>
      <x:c r="H34" s="6" t="inlineStr">
        <x:is>
          <x:t xml:space="preserve"/>
        </x:is>
      </x:c>
      <x:c r="I34" s="8" t="inlineStr">
        <x:is>
          <x:t xml:space="preserve"/>
        </x:is>
      </x:c>
      <x:c r="J34" s="7" t="inlineStr">
        <x:is>
          <x:t xml:space="preserve"/>
        </x:is>
      </x:c>
      <x:c r="K34" s="7">
        <x:f>IF(G34="","", TODAY()-G34)</x:f>
      </x:c>
      <x:c r="L34" s="7">
        <x:f>IF(OR(I34="",J34="Closed"),"", IF(TODAY()&gt;I34,"Yes","No"))</x:f>
      </x:c>
      <x:c r="M34" s="7" t="inlineStr">
        <x:is>
          <x:t xml:space="preserve"/>
        </x:is>
      </x:c>
      <x:c r="N34" s="6" t="inlineStr">
        <x:is>
          <x:t xml:space="preserve"/>
        </x:is>
      </x:c>
    </x:row>
    <x:row r="35">
      <x:c r="A35" s="7">
        <x:f>IF(E35="","", "ISS-"&amp;TEXT(ROW()-1,"00000"))</x:f>
      </x:c>
      <x:c r="B35" s="7" t="inlineStr">
        <x:is>
          <x:t xml:space="preserve"/>
        </x:is>
      </x:c>
      <x:c r="C35" s="7" t="inlineStr">
        <x:is>
          <x:t xml:space="preserve"/>
        </x:is>
      </x:c>
      <x:c r="D35" s="7" t="inlineStr">
        <x:is>
          <x:t xml:space="preserve"/>
        </x:is>
      </x:c>
      <x:c r="E35" s="6" t="inlineStr">
        <x:is>
          <x:t xml:space="preserve"/>
        </x:is>
      </x:c>
      <x:c r="F35" s="7" t="inlineStr">
        <x:is>
          <x:t xml:space="preserve"/>
        </x:is>
      </x:c>
      <x:c r="G35" s="8" t="inlineStr">
        <x:is>
          <x:t xml:space="preserve"/>
        </x:is>
      </x:c>
      <x:c r="H35" s="6" t="inlineStr">
        <x:is>
          <x:t xml:space="preserve"/>
        </x:is>
      </x:c>
      <x:c r="I35" s="8" t="inlineStr">
        <x:is>
          <x:t xml:space="preserve"/>
        </x:is>
      </x:c>
      <x:c r="J35" s="7" t="inlineStr">
        <x:is>
          <x:t xml:space="preserve"/>
        </x:is>
      </x:c>
      <x:c r="K35" s="7">
        <x:f>IF(G35="","", TODAY()-G35)</x:f>
      </x:c>
      <x:c r="L35" s="7">
        <x:f>IF(OR(I35="",J35="Closed"),"", IF(TODAY()&gt;I35,"Yes","No"))</x:f>
      </x:c>
      <x:c r="M35" s="7" t="inlineStr">
        <x:is>
          <x:t xml:space="preserve"/>
        </x:is>
      </x:c>
      <x:c r="N35" s="6" t="inlineStr">
        <x:is>
          <x:t xml:space="preserve"/>
        </x:is>
      </x:c>
    </x:row>
    <x:row r="36">
      <x:c r="A36" s="7">
        <x:f>IF(E36="","", "ISS-"&amp;TEXT(ROW()-1,"00000"))</x:f>
      </x:c>
      <x:c r="B36" s="7" t="inlineStr">
        <x:is>
          <x:t xml:space="preserve"/>
        </x:is>
      </x:c>
      <x:c r="C36" s="7" t="inlineStr">
        <x:is>
          <x:t xml:space="preserve"/>
        </x:is>
      </x:c>
      <x:c r="D36" s="7" t="inlineStr">
        <x:is>
          <x:t xml:space="preserve"/>
        </x:is>
      </x:c>
      <x:c r="E36" s="6" t="inlineStr">
        <x:is>
          <x:t xml:space="preserve"/>
        </x:is>
      </x:c>
      <x:c r="F36" s="7" t="inlineStr">
        <x:is>
          <x:t xml:space="preserve"/>
        </x:is>
      </x:c>
      <x:c r="G36" s="8" t="inlineStr">
        <x:is>
          <x:t xml:space="preserve"/>
        </x:is>
      </x:c>
      <x:c r="H36" s="6" t="inlineStr">
        <x:is>
          <x:t xml:space="preserve"/>
        </x:is>
      </x:c>
      <x:c r="I36" s="8" t="inlineStr">
        <x:is>
          <x:t xml:space="preserve"/>
        </x:is>
      </x:c>
      <x:c r="J36" s="7" t="inlineStr">
        <x:is>
          <x:t xml:space="preserve"/>
        </x:is>
      </x:c>
      <x:c r="K36" s="7">
        <x:f>IF(G36="","", TODAY()-G36)</x:f>
      </x:c>
      <x:c r="L36" s="7">
        <x:f>IF(OR(I36="",J36="Closed"),"", IF(TODAY()&gt;I36,"Yes","No"))</x:f>
      </x:c>
      <x:c r="M36" s="7" t="inlineStr">
        <x:is>
          <x:t xml:space="preserve"/>
        </x:is>
      </x:c>
      <x:c r="N36" s="6" t="inlineStr">
        <x:is>
          <x:t xml:space="preserve"/>
        </x:is>
      </x:c>
    </x:row>
    <x:row r="37">
      <x:c r="A37" s="7">
        <x:f>IF(E37="","", "ISS-"&amp;TEXT(ROW()-1,"00000"))</x:f>
      </x:c>
      <x:c r="B37" s="7" t="inlineStr">
        <x:is>
          <x:t xml:space="preserve"/>
        </x:is>
      </x:c>
      <x:c r="C37" s="7" t="inlineStr">
        <x:is>
          <x:t xml:space="preserve"/>
        </x:is>
      </x:c>
      <x:c r="D37" s="7" t="inlineStr">
        <x:is>
          <x:t xml:space="preserve"/>
        </x:is>
      </x:c>
      <x:c r="E37" s="6" t="inlineStr">
        <x:is>
          <x:t xml:space="preserve"/>
        </x:is>
      </x:c>
      <x:c r="F37" s="7" t="inlineStr">
        <x:is>
          <x:t xml:space="preserve"/>
        </x:is>
      </x:c>
      <x:c r="G37" s="8" t="inlineStr">
        <x:is>
          <x:t xml:space="preserve"/>
        </x:is>
      </x:c>
      <x:c r="H37" s="6" t="inlineStr">
        <x:is>
          <x:t xml:space="preserve"/>
        </x:is>
      </x:c>
      <x:c r="I37" s="8" t="inlineStr">
        <x:is>
          <x:t xml:space="preserve"/>
        </x:is>
      </x:c>
      <x:c r="J37" s="7" t="inlineStr">
        <x:is>
          <x:t xml:space="preserve"/>
        </x:is>
      </x:c>
      <x:c r="K37" s="7">
        <x:f>IF(G37="","", TODAY()-G37)</x:f>
      </x:c>
      <x:c r="L37" s="7">
        <x:f>IF(OR(I37="",J37="Closed"),"", IF(TODAY()&gt;I37,"Yes","No"))</x:f>
      </x:c>
      <x:c r="M37" s="7" t="inlineStr">
        <x:is>
          <x:t xml:space="preserve"/>
        </x:is>
      </x:c>
      <x:c r="N37" s="6" t="inlineStr">
        <x:is>
          <x:t xml:space="preserve"/>
        </x:is>
      </x:c>
    </x:row>
    <x:row r="38">
      <x:c r="A38" s="7">
        <x:f>IF(E38="","", "ISS-"&amp;TEXT(ROW()-1,"00000"))</x:f>
      </x:c>
      <x:c r="B38" s="7" t="inlineStr">
        <x:is>
          <x:t xml:space="preserve"/>
        </x:is>
      </x:c>
      <x:c r="C38" s="7" t="inlineStr">
        <x:is>
          <x:t xml:space="preserve"/>
        </x:is>
      </x:c>
      <x:c r="D38" s="7" t="inlineStr">
        <x:is>
          <x:t xml:space="preserve"/>
        </x:is>
      </x:c>
      <x:c r="E38" s="6" t="inlineStr">
        <x:is>
          <x:t xml:space="preserve"/>
        </x:is>
      </x:c>
      <x:c r="F38" s="7" t="inlineStr">
        <x:is>
          <x:t xml:space="preserve"/>
        </x:is>
      </x:c>
      <x:c r="G38" s="8" t="inlineStr">
        <x:is>
          <x:t xml:space="preserve"/>
        </x:is>
      </x:c>
      <x:c r="H38" s="6" t="inlineStr">
        <x:is>
          <x:t xml:space="preserve"/>
        </x:is>
      </x:c>
      <x:c r="I38" s="8" t="inlineStr">
        <x:is>
          <x:t xml:space="preserve"/>
        </x:is>
      </x:c>
      <x:c r="J38" s="7" t="inlineStr">
        <x:is>
          <x:t xml:space="preserve"/>
        </x:is>
      </x:c>
      <x:c r="K38" s="7">
        <x:f>IF(G38="","", TODAY()-G38)</x:f>
      </x:c>
      <x:c r="L38" s="7">
        <x:f>IF(OR(I38="",J38="Closed"),"", IF(TODAY()&gt;I38,"Yes","No"))</x:f>
      </x:c>
      <x:c r="M38" s="7" t="inlineStr">
        <x:is>
          <x:t xml:space="preserve"/>
        </x:is>
      </x:c>
      <x:c r="N38" s="6" t="inlineStr">
        <x:is>
          <x:t xml:space="preserve"/>
        </x:is>
      </x:c>
    </x:row>
    <x:row r="39">
      <x:c r="A39" s="7">
        <x:f>IF(E39="","", "ISS-"&amp;TEXT(ROW()-1,"00000"))</x:f>
      </x:c>
      <x:c r="B39" s="7" t="inlineStr">
        <x:is>
          <x:t xml:space="preserve"/>
        </x:is>
      </x:c>
      <x:c r="C39" s="7" t="inlineStr">
        <x:is>
          <x:t xml:space="preserve"/>
        </x:is>
      </x:c>
      <x:c r="D39" s="7" t="inlineStr">
        <x:is>
          <x:t xml:space="preserve"/>
        </x:is>
      </x:c>
      <x:c r="E39" s="6" t="inlineStr">
        <x:is>
          <x:t xml:space="preserve"/>
        </x:is>
      </x:c>
      <x:c r="F39" s="7" t="inlineStr">
        <x:is>
          <x:t xml:space="preserve"/>
        </x:is>
      </x:c>
      <x:c r="G39" s="8" t="inlineStr">
        <x:is>
          <x:t xml:space="preserve"/>
        </x:is>
      </x:c>
      <x:c r="H39" s="6" t="inlineStr">
        <x:is>
          <x:t xml:space="preserve"/>
        </x:is>
      </x:c>
      <x:c r="I39" s="8" t="inlineStr">
        <x:is>
          <x:t xml:space="preserve"/>
        </x:is>
      </x:c>
      <x:c r="J39" s="7" t="inlineStr">
        <x:is>
          <x:t xml:space="preserve"/>
        </x:is>
      </x:c>
      <x:c r="K39" s="7">
        <x:f>IF(G39="","", TODAY()-G39)</x:f>
      </x:c>
      <x:c r="L39" s="7">
        <x:f>IF(OR(I39="",J39="Closed"),"", IF(TODAY()&gt;I39,"Yes","No"))</x:f>
      </x:c>
      <x:c r="M39" s="7" t="inlineStr">
        <x:is>
          <x:t xml:space="preserve"/>
        </x:is>
      </x:c>
      <x:c r="N39" s="6" t="inlineStr">
        <x:is>
          <x:t xml:space="preserve"/>
        </x:is>
      </x:c>
    </x:row>
    <x:row r="40">
      <x:c r="A40" s="7">
        <x:f>IF(E40="","", "ISS-"&amp;TEXT(ROW()-1,"00000"))</x:f>
      </x:c>
      <x:c r="B40" s="7" t="inlineStr">
        <x:is>
          <x:t xml:space="preserve"/>
        </x:is>
      </x:c>
      <x:c r="C40" s="7" t="inlineStr">
        <x:is>
          <x:t xml:space="preserve"/>
        </x:is>
      </x:c>
      <x:c r="D40" s="7" t="inlineStr">
        <x:is>
          <x:t xml:space="preserve"/>
        </x:is>
      </x:c>
      <x:c r="E40" s="6" t="inlineStr">
        <x:is>
          <x:t xml:space="preserve"/>
        </x:is>
      </x:c>
      <x:c r="F40" s="7" t="inlineStr">
        <x:is>
          <x:t xml:space="preserve"/>
        </x:is>
      </x:c>
      <x:c r="G40" s="8" t="inlineStr">
        <x:is>
          <x:t xml:space="preserve"/>
        </x:is>
      </x:c>
      <x:c r="H40" s="6" t="inlineStr">
        <x:is>
          <x:t xml:space="preserve"/>
        </x:is>
      </x:c>
      <x:c r="I40" s="8" t="inlineStr">
        <x:is>
          <x:t xml:space="preserve"/>
        </x:is>
      </x:c>
      <x:c r="J40" s="7" t="inlineStr">
        <x:is>
          <x:t xml:space="preserve"/>
        </x:is>
      </x:c>
      <x:c r="K40" s="7">
        <x:f>IF(G40="","", TODAY()-G40)</x:f>
      </x:c>
      <x:c r="L40" s="7">
        <x:f>IF(OR(I40="",J40="Closed"),"", IF(TODAY()&gt;I40,"Yes","No"))</x:f>
      </x:c>
      <x:c r="M40" s="7" t="inlineStr">
        <x:is>
          <x:t xml:space="preserve"/>
        </x:is>
      </x:c>
      <x:c r="N40" s="6" t="inlineStr">
        <x:is>
          <x:t xml:space="preserve"/>
        </x:is>
      </x:c>
    </x:row>
    <x:row r="41">
      <x:c r="A41" s="7">
        <x:f>IF(E41="","", "ISS-"&amp;TEXT(ROW()-1,"00000"))</x:f>
      </x:c>
      <x:c r="B41" s="7" t="inlineStr">
        <x:is>
          <x:t xml:space="preserve"/>
        </x:is>
      </x:c>
      <x:c r="C41" s="7" t="inlineStr">
        <x:is>
          <x:t xml:space="preserve"/>
        </x:is>
      </x:c>
      <x:c r="D41" s="7" t="inlineStr">
        <x:is>
          <x:t xml:space="preserve"/>
        </x:is>
      </x:c>
      <x:c r="E41" s="6" t="inlineStr">
        <x:is>
          <x:t xml:space="preserve"/>
        </x:is>
      </x:c>
      <x:c r="F41" s="7" t="inlineStr">
        <x:is>
          <x:t xml:space="preserve"/>
        </x:is>
      </x:c>
      <x:c r="G41" s="8" t="inlineStr">
        <x:is>
          <x:t xml:space="preserve"/>
        </x:is>
      </x:c>
      <x:c r="H41" s="6" t="inlineStr">
        <x:is>
          <x:t xml:space="preserve"/>
        </x:is>
      </x:c>
      <x:c r="I41" s="8" t="inlineStr">
        <x:is>
          <x:t xml:space="preserve"/>
        </x:is>
      </x:c>
      <x:c r="J41" s="7" t="inlineStr">
        <x:is>
          <x:t xml:space="preserve"/>
        </x:is>
      </x:c>
      <x:c r="K41" s="7">
        <x:f>IF(G41="","", TODAY()-G41)</x:f>
      </x:c>
      <x:c r="L41" s="7">
        <x:f>IF(OR(I41="",J41="Closed"),"", IF(TODAY()&gt;I41,"Yes","No"))</x:f>
      </x:c>
      <x:c r="M41" s="7" t="inlineStr">
        <x:is>
          <x:t xml:space="preserve"/>
        </x:is>
      </x:c>
      <x:c r="N41" s="6" t="inlineStr">
        <x:is>
          <x:t xml:space="preserve"/>
        </x:is>
      </x:c>
    </x:row>
    <x:row r="42">
      <x:c r="A42" s="7">
        <x:f>IF(E42="","", "ISS-"&amp;TEXT(ROW()-1,"00000"))</x:f>
      </x:c>
      <x:c r="B42" s="7" t="inlineStr">
        <x:is>
          <x:t xml:space="preserve"/>
        </x:is>
      </x:c>
      <x:c r="C42" s="7" t="inlineStr">
        <x:is>
          <x:t xml:space="preserve"/>
        </x:is>
      </x:c>
      <x:c r="D42" s="7" t="inlineStr">
        <x:is>
          <x:t xml:space="preserve"/>
        </x:is>
      </x:c>
      <x:c r="E42" s="6" t="inlineStr">
        <x:is>
          <x:t xml:space="preserve"/>
        </x:is>
      </x:c>
      <x:c r="F42" s="7" t="inlineStr">
        <x:is>
          <x:t xml:space="preserve"/>
        </x:is>
      </x:c>
      <x:c r="G42" s="8" t="inlineStr">
        <x:is>
          <x:t xml:space="preserve"/>
        </x:is>
      </x:c>
      <x:c r="H42" s="6" t="inlineStr">
        <x:is>
          <x:t xml:space="preserve"/>
        </x:is>
      </x:c>
      <x:c r="I42" s="8" t="inlineStr">
        <x:is>
          <x:t xml:space="preserve"/>
        </x:is>
      </x:c>
      <x:c r="J42" s="7" t="inlineStr">
        <x:is>
          <x:t xml:space="preserve"/>
        </x:is>
      </x:c>
      <x:c r="K42" s="7">
        <x:f>IF(G42="","", TODAY()-G42)</x:f>
      </x:c>
      <x:c r="L42" s="7">
        <x:f>IF(OR(I42="",J42="Closed"),"", IF(TODAY()&gt;I42,"Yes","No"))</x:f>
      </x:c>
      <x:c r="M42" s="7" t="inlineStr">
        <x:is>
          <x:t xml:space="preserve"/>
        </x:is>
      </x:c>
      <x:c r="N42" s="6" t="inlineStr">
        <x:is>
          <x:t xml:space="preserve"/>
        </x:is>
      </x:c>
    </x:row>
    <x:row r="43">
      <x:c r="A43" s="7">
        <x:f>IF(E43="","", "ISS-"&amp;TEXT(ROW()-1,"00000"))</x:f>
      </x:c>
      <x:c r="B43" s="7" t="inlineStr">
        <x:is>
          <x:t xml:space="preserve"/>
        </x:is>
      </x:c>
      <x:c r="C43" s="7" t="inlineStr">
        <x:is>
          <x:t xml:space="preserve"/>
        </x:is>
      </x:c>
      <x:c r="D43" s="7" t="inlineStr">
        <x:is>
          <x:t xml:space="preserve"/>
        </x:is>
      </x:c>
      <x:c r="E43" s="6" t="inlineStr">
        <x:is>
          <x:t xml:space="preserve"/>
        </x:is>
      </x:c>
      <x:c r="F43" s="7" t="inlineStr">
        <x:is>
          <x:t xml:space="preserve"/>
        </x:is>
      </x:c>
      <x:c r="G43" s="8" t="inlineStr">
        <x:is>
          <x:t xml:space="preserve"/>
        </x:is>
      </x:c>
      <x:c r="H43" s="6" t="inlineStr">
        <x:is>
          <x:t xml:space="preserve"/>
        </x:is>
      </x:c>
      <x:c r="I43" s="8" t="inlineStr">
        <x:is>
          <x:t xml:space="preserve"/>
        </x:is>
      </x:c>
      <x:c r="J43" s="7" t="inlineStr">
        <x:is>
          <x:t xml:space="preserve"/>
        </x:is>
      </x:c>
      <x:c r="K43" s="7">
        <x:f>IF(G43="","", TODAY()-G43)</x:f>
      </x:c>
      <x:c r="L43" s="7">
        <x:f>IF(OR(I43="",J43="Closed"),"", IF(TODAY()&gt;I43,"Yes","No"))</x:f>
      </x:c>
      <x:c r="M43" s="7" t="inlineStr">
        <x:is>
          <x:t xml:space="preserve"/>
        </x:is>
      </x:c>
      <x:c r="N43" s="6" t="inlineStr">
        <x:is>
          <x:t xml:space="preserve"/>
        </x:is>
      </x:c>
    </x:row>
    <x:row r="44">
      <x:c r="A44" s="7">
        <x:f>IF(E44="","", "ISS-"&amp;TEXT(ROW()-1,"00000"))</x:f>
      </x:c>
      <x:c r="B44" s="7" t="inlineStr">
        <x:is>
          <x:t xml:space="preserve"/>
        </x:is>
      </x:c>
      <x:c r="C44" s="7" t="inlineStr">
        <x:is>
          <x:t xml:space="preserve"/>
        </x:is>
      </x:c>
      <x:c r="D44" s="7" t="inlineStr">
        <x:is>
          <x:t xml:space="preserve"/>
        </x:is>
      </x:c>
      <x:c r="E44" s="6" t="inlineStr">
        <x:is>
          <x:t xml:space="preserve"/>
        </x:is>
      </x:c>
      <x:c r="F44" s="7" t="inlineStr">
        <x:is>
          <x:t xml:space="preserve"/>
        </x:is>
      </x:c>
      <x:c r="G44" s="8" t="inlineStr">
        <x:is>
          <x:t xml:space="preserve"/>
        </x:is>
      </x:c>
      <x:c r="H44" s="6" t="inlineStr">
        <x:is>
          <x:t xml:space="preserve"/>
        </x:is>
      </x:c>
      <x:c r="I44" s="8" t="inlineStr">
        <x:is>
          <x:t xml:space="preserve"/>
        </x:is>
      </x:c>
      <x:c r="J44" s="7" t="inlineStr">
        <x:is>
          <x:t xml:space="preserve"/>
        </x:is>
      </x:c>
      <x:c r="K44" s="7">
        <x:f>IF(G44="","", TODAY()-G44)</x:f>
      </x:c>
      <x:c r="L44" s="7">
        <x:f>IF(OR(I44="",J44="Closed"),"", IF(TODAY()&gt;I44,"Yes","No"))</x:f>
      </x:c>
      <x:c r="M44" s="7" t="inlineStr">
        <x:is>
          <x:t xml:space="preserve"/>
        </x:is>
      </x:c>
      <x:c r="N44" s="6" t="inlineStr">
        <x:is>
          <x:t xml:space="preserve"/>
        </x:is>
      </x:c>
    </x:row>
    <x:row r="45">
      <x:c r="A45" s="7">
        <x:f>IF(E45="","", "ISS-"&amp;TEXT(ROW()-1,"00000"))</x:f>
      </x:c>
      <x:c r="B45" s="7" t="inlineStr">
        <x:is>
          <x:t xml:space="preserve"/>
        </x:is>
      </x:c>
      <x:c r="C45" s="7" t="inlineStr">
        <x:is>
          <x:t xml:space="preserve"/>
        </x:is>
      </x:c>
      <x:c r="D45" s="7" t="inlineStr">
        <x:is>
          <x:t xml:space="preserve"/>
        </x:is>
      </x:c>
      <x:c r="E45" s="6" t="inlineStr">
        <x:is>
          <x:t xml:space="preserve"/>
        </x:is>
      </x:c>
      <x:c r="F45" s="7" t="inlineStr">
        <x:is>
          <x:t xml:space="preserve"/>
        </x:is>
      </x:c>
      <x:c r="G45" s="8" t="inlineStr">
        <x:is>
          <x:t xml:space="preserve"/>
        </x:is>
      </x:c>
      <x:c r="H45" s="6" t="inlineStr">
        <x:is>
          <x:t xml:space="preserve"/>
        </x:is>
      </x:c>
      <x:c r="I45" s="8" t="inlineStr">
        <x:is>
          <x:t xml:space="preserve"/>
        </x:is>
      </x:c>
      <x:c r="J45" s="7" t="inlineStr">
        <x:is>
          <x:t xml:space="preserve"/>
        </x:is>
      </x:c>
      <x:c r="K45" s="7">
        <x:f>IF(G45="","", TODAY()-G45)</x:f>
      </x:c>
      <x:c r="L45" s="7">
        <x:f>IF(OR(I45="",J45="Closed"),"", IF(TODAY()&gt;I45,"Yes","No"))</x:f>
      </x:c>
      <x:c r="M45" s="7" t="inlineStr">
        <x:is>
          <x:t xml:space="preserve"/>
        </x:is>
      </x:c>
      <x:c r="N45" s="6" t="inlineStr">
        <x:is>
          <x:t xml:space="preserve"/>
        </x:is>
      </x:c>
    </x:row>
    <x:row r="46">
      <x:c r="A46" s="7">
        <x:f>IF(E46="","", "ISS-"&amp;TEXT(ROW()-1,"00000"))</x:f>
      </x:c>
      <x:c r="B46" s="7" t="inlineStr">
        <x:is>
          <x:t xml:space="preserve"/>
        </x:is>
      </x:c>
      <x:c r="C46" s="7" t="inlineStr">
        <x:is>
          <x:t xml:space="preserve"/>
        </x:is>
      </x:c>
      <x:c r="D46" s="7" t="inlineStr">
        <x:is>
          <x:t xml:space="preserve"/>
        </x:is>
      </x:c>
      <x:c r="E46" s="6" t="inlineStr">
        <x:is>
          <x:t xml:space="preserve"/>
        </x:is>
      </x:c>
      <x:c r="F46" s="7" t="inlineStr">
        <x:is>
          <x:t xml:space="preserve"/>
        </x:is>
      </x:c>
      <x:c r="G46" s="8" t="inlineStr">
        <x:is>
          <x:t xml:space="preserve"/>
        </x:is>
      </x:c>
      <x:c r="H46" s="6" t="inlineStr">
        <x:is>
          <x:t xml:space="preserve"/>
        </x:is>
      </x:c>
      <x:c r="I46" s="8" t="inlineStr">
        <x:is>
          <x:t xml:space="preserve"/>
        </x:is>
      </x:c>
      <x:c r="J46" s="7" t="inlineStr">
        <x:is>
          <x:t xml:space="preserve"/>
        </x:is>
      </x:c>
      <x:c r="K46" s="7">
        <x:f>IF(G46="","", TODAY()-G46)</x:f>
      </x:c>
      <x:c r="L46" s="7">
        <x:f>IF(OR(I46="",J46="Closed"),"", IF(TODAY()&gt;I46,"Yes","No"))</x:f>
      </x:c>
      <x:c r="M46" s="7" t="inlineStr">
        <x:is>
          <x:t xml:space="preserve"/>
        </x:is>
      </x:c>
      <x:c r="N46" s="6" t="inlineStr">
        <x:is>
          <x:t xml:space="preserve"/>
        </x:is>
      </x:c>
    </x:row>
    <x:row r="47">
      <x:c r="A47" s="7">
        <x:f>IF(E47="","", "ISS-"&amp;TEXT(ROW()-1,"00000"))</x:f>
      </x:c>
      <x:c r="B47" s="7" t="inlineStr">
        <x:is>
          <x:t xml:space="preserve"/>
        </x:is>
      </x:c>
      <x:c r="C47" s="7" t="inlineStr">
        <x:is>
          <x:t xml:space="preserve"/>
        </x:is>
      </x:c>
      <x:c r="D47" s="7" t="inlineStr">
        <x:is>
          <x:t xml:space="preserve"/>
        </x:is>
      </x:c>
      <x:c r="E47" s="6" t="inlineStr">
        <x:is>
          <x:t xml:space="preserve"/>
        </x:is>
      </x:c>
      <x:c r="F47" s="7" t="inlineStr">
        <x:is>
          <x:t xml:space="preserve"/>
        </x:is>
      </x:c>
      <x:c r="G47" s="8" t="inlineStr">
        <x:is>
          <x:t xml:space="preserve"/>
        </x:is>
      </x:c>
      <x:c r="H47" s="6" t="inlineStr">
        <x:is>
          <x:t xml:space="preserve"/>
        </x:is>
      </x:c>
      <x:c r="I47" s="8" t="inlineStr">
        <x:is>
          <x:t xml:space="preserve"/>
        </x:is>
      </x:c>
      <x:c r="J47" s="7" t="inlineStr">
        <x:is>
          <x:t xml:space="preserve"/>
        </x:is>
      </x:c>
      <x:c r="K47" s="7">
        <x:f>IF(G47="","", TODAY()-G47)</x:f>
      </x:c>
      <x:c r="L47" s="7">
        <x:f>IF(OR(I47="",J47="Closed"),"", IF(TODAY()&gt;I47,"Yes","No"))</x:f>
      </x:c>
      <x:c r="M47" s="7" t="inlineStr">
        <x:is>
          <x:t xml:space="preserve"/>
        </x:is>
      </x:c>
      <x:c r="N47" s="6" t="inlineStr">
        <x:is>
          <x:t xml:space="preserve"/>
        </x:is>
      </x:c>
    </x:row>
    <x:row r="48">
      <x:c r="A48" s="7">
        <x:f>IF(E48="","", "ISS-"&amp;TEXT(ROW()-1,"00000"))</x:f>
      </x:c>
      <x:c r="B48" s="7" t="inlineStr">
        <x:is>
          <x:t xml:space="preserve"/>
        </x:is>
      </x:c>
      <x:c r="C48" s="7" t="inlineStr">
        <x:is>
          <x:t xml:space="preserve"/>
        </x:is>
      </x:c>
      <x:c r="D48" s="7" t="inlineStr">
        <x:is>
          <x:t xml:space="preserve"/>
        </x:is>
      </x:c>
      <x:c r="E48" s="6" t="inlineStr">
        <x:is>
          <x:t xml:space="preserve"/>
        </x:is>
      </x:c>
      <x:c r="F48" s="7" t="inlineStr">
        <x:is>
          <x:t xml:space="preserve"/>
        </x:is>
      </x:c>
      <x:c r="G48" s="8" t="inlineStr">
        <x:is>
          <x:t xml:space="preserve"/>
        </x:is>
      </x:c>
      <x:c r="H48" s="6" t="inlineStr">
        <x:is>
          <x:t xml:space="preserve"/>
        </x:is>
      </x:c>
      <x:c r="I48" s="8" t="inlineStr">
        <x:is>
          <x:t xml:space="preserve"/>
        </x:is>
      </x:c>
      <x:c r="J48" s="7" t="inlineStr">
        <x:is>
          <x:t xml:space="preserve"/>
        </x:is>
      </x:c>
      <x:c r="K48" s="7">
        <x:f>IF(G48="","", TODAY()-G48)</x:f>
      </x:c>
      <x:c r="L48" s="7">
        <x:f>IF(OR(I48="",J48="Closed"),"", IF(TODAY()&gt;I48,"Yes","No"))</x:f>
      </x:c>
      <x:c r="M48" s="7" t="inlineStr">
        <x:is>
          <x:t xml:space="preserve"/>
        </x:is>
      </x:c>
      <x:c r="N48" s="6" t="inlineStr">
        <x:is>
          <x:t xml:space="preserve"/>
        </x:is>
      </x:c>
    </x:row>
    <x:row r="49">
      <x:c r="A49" s="7">
        <x:f>IF(E49="","", "ISS-"&amp;TEXT(ROW()-1,"00000"))</x:f>
      </x:c>
      <x:c r="B49" s="7" t="inlineStr">
        <x:is>
          <x:t xml:space="preserve"/>
        </x:is>
      </x:c>
      <x:c r="C49" s="7" t="inlineStr">
        <x:is>
          <x:t xml:space="preserve"/>
        </x:is>
      </x:c>
      <x:c r="D49" s="7" t="inlineStr">
        <x:is>
          <x:t xml:space="preserve"/>
        </x:is>
      </x:c>
      <x:c r="E49" s="6" t="inlineStr">
        <x:is>
          <x:t xml:space="preserve"/>
        </x:is>
      </x:c>
      <x:c r="F49" s="7" t="inlineStr">
        <x:is>
          <x:t xml:space="preserve"/>
        </x:is>
      </x:c>
      <x:c r="G49" s="8" t="inlineStr">
        <x:is>
          <x:t xml:space="preserve"/>
        </x:is>
      </x:c>
      <x:c r="H49" s="6" t="inlineStr">
        <x:is>
          <x:t xml:space="preserve"/>
        </x:is>
      </x:c>
      <x:c r="I49" s="8" t="inlineStr">
        <x:is>
          <x:t xml:space="preserve"/>
        </x:is>
      </x:c>
      <x:c r="J49" s="7" t="inlineStr">
        <x:is>
          <x:t xml:space="preserve"/>
        </x:is>
      </x:c>
      <x:c r="K49" s="7">
        <x:f>IF(G49="","", TODAY()-G49)</x:f>
      </x:c>
      <x:c r="L49" s="7">
        <x:f>IF(OR(I49="",J49="Closed"),"", IF(TODAY()&gt;I49,"Yes","No"))</x:f>
      </x:c>
      <x:c r="M49" s="7" t="inlineStr">
        <x:is>
          <x:t xml:space="preserve"/>
        </x:is>
      </x:c>
      <x:c r="N49" s="6" t="inlineStr">
        <x:is>
          <x:t xml:space="preserve"/>
        </x:is>
      </x:c>
    </x:row>
    <x:row r="50">
      <x:c r="A50" s="7">
        <x:f>IF(E50="","", "ISS-"&amp;TEXT(ROW()-1,"00000"))</x:f>
      </x:c>
      <x:c r="B50" s="7" t="inlineStr">
        <x:is>
          <x:t xml:space="preserve"/>
        </x:is>
      </x:c>
      <x:c r="C50" s="7" t="inlineStr">
        <x:is>
          <x:t xml:space="preserve"/>
        </x:is>
      </x:c>
      <x:c r="D50" s="7" t="inlineStr">
        <x:is>
          <x:t xml:space="preserve"/>
        </x:is>
      </x:c>
      <x:c r="E50" s="6" t="inlineStr">
        <x:is>
          <x:t xml:space="preserve"/>
        </x:is>
      </x:c>
      <x:c r="F50" s="7" t="inlineStr">
        <x:is>
          <x:t xml:space="preserve"/>
        </x:is>
      </x:c>
      <x:c r="G50" s="8" t="inlineStr">
        <x:is>
          <x:t xml:space="preserve"/>
        </x:is>
      </x:c>
      <x:c r="H50" s="6" t="inlineStr">
        <x:is>
          <x:t xml:space="preserve"/>
        </x:is>
      </x:c>
      <x:c r="I50" s="8" t="inlineStr">
        <x:is>
          <x:t xml:space="preserve"/>
        </x:is>
      </x:c>
      <x:c r="J50" s="7" t="inlineStr">
        <x:is>
          <x:t xml:space="preserve"/>
        </x:is>
      </x:c>
      <x:c r="K50" s="7">
        <x:f>IF(G50="","", TODAY()-G50)</x:f>
      </x:c>
      <x:c r="L50" s="7">
        <x:f>IF(OR(I50="",J50="Closed"),"", IF(TODAY()&gt;I50,"Yes","No"))</x:f>
      </x:c>
      <x:c r="M50" s="7" t="inlineStr">
        <x:is>
          <x:t xml:space="preserve"/>
        </x:is>
      </x:c>
      <x:c r="N50" s="6" t="inlineStr">
        <x:is>
          <x:t xml:space="preserve"/>
        </x:is>
      </x:c>
    </x:row>
    <x:row r="51">
      <x:c r="A51" s="7">
        <x:f>IF(E51="","", "ISS-"&amp;TEXT(ROW()-1,"00000"))</x:f>
      </x:c>
      <x:c r="B51" s="7" t="inlineStr">
        <x:is>
          <x:t xml:space="preserve"/>
        </x:is>
      </x:c>
      <x:c r="C51" s="7" t="inlineStr">
        <x:is>
          <x:t xml:space="preserve"/>
        </x:is>
      </x:c>
      <x:c r="D51" s="7" t="inlineStr">
        <x:is>
          <x:t xml:space="preserve"/>
        </x:is>
      </x:c>
      <x:c r="E51" s="6" t="inlineStr">
        <x:is>
          <x:t xml:space="preserve"/>
        </x:is>
      </x:c>
      <x:c r="F51" s="7" t="inlineStr">
        <x:is>
          <x:t xml:space="preserve"/>
        </x:is>
      </x:c>
      <x:c r="G51" s="8" t="inlineStr">
        <x:is>
          <x:t xml:space="preserve"/>
        </x:is>
      </x:c>
      <x:c r="H51" s="6" t="inlineStr">
        <x:is>
          <x:t xml:space="preserve"/>
        </x:is>
      </x:c>
      <x:c r="I51" s="8" t="inlineStr">
        <x:is>
          <x:t xml:space="preserve"/>
        </x:is>
      </x:c>
      <x:c r="J51" s="7" t="inlineStr">
        <x:is>
          <x:t xml:space="preserve"/>
        </x:is>
      </x:c>
      <x:c r="K51" s="7">
        <x:f>IF(G51="","", TODAY()-G51)</x:f>
      </x:c>
      <x:c r="L51" s="7">
        <x:f>IF(OR(I51="",J51="Closed"),"", IF(TODAY()&gt;I51,"Yes","No"))</x:f>
      </x:c>
      <x:c r="M51" s="7" t="inlineStr">
        <x:is>
          <x:t xml:space="preserve"/>
        </x:is>
      </x:c>
      <x:c r="N51" s="6" t="inlineStr">
        <x:is>
          <x:t xml:space="preserve"/>
        </x:is>
      </x:c>
    </x:row>
    <x:row r="52">
      <x:c r="A52" s="7">
        <x:f>IF(E52="","", "ISS-"&amp;TEXT(ROW()-1,"00000"))</x:f>
      </x:c>
      <x:c r="B52" s="7" t="inlineStr">
        <x:is>
          <x:t xml:space="preserve"/>
        </x:is>
      </x:c>
      <x:c r="C52" s="7" t="inlineStr">
        <x:is>
          <x:t xml:space="preserve"/>
        </x:is>
      </x:c>
      <x:c r="D52" s="7" t="inlineStr">
        <x:is>
          <x:t xml:space="preserve"/>
        </x:is>
      </x:c>
      <x:c r="E52" s="6" t="inlineStr">
        <x:is>
          <x:t xml:space="preserve"/>
        </x:is>
      </x:c>
      <x:c r="F52" s="7" t="inlineStr">
        <x:is>
          <x:t xml:space="preserve"/>
        </x:is>
      </x:c>
      <x:c r="G52" s="8" t="inlineStr">
        <x:is>
          <x:t xml:space="preserve"/>
        </x:is>
      </x:c>
      <x:c r="H52" s="6" t="inlineStr">
        <x:is>
          <x:t xml:space="preserve"/>
        </x:is>
      </x:c>
      <x:c r="I52" s="8" t="inlineStr">
        <x:is>
          <x:t xml:space="preserve"/>
        </x:is>
      </x:c>
      <x:c r="J52" s="7" t="inlineStr">
        <x:is>
          <x:t xml:space="preserve"/>
        </x:is>
      </x:c>
      <x:c r="K52" s="7">
        <x:f>IF(G52="","", TODAY()-G52)</x:f>
      </x:c>
      <x:c r="L52" s="7">
        <x:f>IF(OR(I52="",J52="Closed"),"", IF(TODAY()&gt;I52,"Yes","No"))</x:f>
      </x:c>
      <x:c r="M52" s="7" t="inlineStr">
        <x:is>
          <x:t xml:space="preserve"/>
        </x:is>
      </x:c>
      <x:c r="N52" s="6" t="inlineStr">
        <x:is>
          <x:t xml:space="preserve"/>
        </x:is>
      </x:c>
    </x:row>
    <x:row r="53">
      <x:c r="A53" s="7">
        <x:f>IF(E53="","", "ISS-"&amp;TEXT(ROW()-1,"00000"))</x:f>
      </x:c>
      <x:c r="B53" s="7" t="inlineStr">
        <x:is>
          <x:t xml:space="preserve"/>
        </x:is>
      </x:c>
      <x:c r="C53" s="7" t="inlineStr">
        <x:is>
          <x:t xml:space="preserve"/>
        </x:is>
      </x:c>
      <x:c r="D53" s="7" t="inlineStr">
        <x:is>
          <x:t xml:space="preserve"/>
        </x:is>
      </x:c>
      <x:c r="E53" s="6" t="inlineStr">
        <x:is>
          <x:t xml:space="preserve"/>
        </x:is>
      </x:c>
      <x:c r="F53" s="7" t="inlineStr">
        <x:is>
          <x:t xml:space="preserve"/>
        </x:is>
      </x:c>
      <x:c r="G53" s="8" t="inlineStr">
        <x:is>
          <x:t xml:space="preserve"/>
        </x:is>
      </x:c>
      <x:c r="H53" s="6" t="inlineStr">
        <x:is>
          <x:t xml:space="preserve"/>
        </x:is>
      </x:c>
      <x:c r="I53" s="8" t="inlineStr">
        <x:is>
          <x:t xml:space="preserve"/>
        </x:is>
      </x:c>
      <x:c r="J53" s="7" t="inlineStr">
        <x:is>
          <x:t xml:space="preserve"/>
        </x:is>
      </x:c>
      <x:c r="K53" s="7">
        <x:f>IF(G53="","", TODAY()-G53)</x:f>
      </x:c>
      <x:c r="L53" s="7">
        <x:f>IF(OR(I53="",J53="Closed"),"", IF(TODAY()&gt;I53,"Yes","No"))</x:f>
      </x:c>
      <x:c r="M53" s="7" t="inlineStr">
        <x:is>
          <x:t xml:space="preserve"/>
        </x:is>
      </x:c>
      <x:c r="N53" s="6" t="inlineStr">
        <x:is>
          <x:t xml:space="preserve"/>
        </x:is>
      </x:c>
    </x:row>
    <x:row r="54">
      <x:c r="A54" s="7">
        <x:f>IF(E54="","", "ISS-"&amp;TEXT(ROW()-1,"00000"))</x:f>
      </x:c>
      <x:c r="B54" s="7" t="inlineStr">
        <x:is>
          <x:t xml:space="preserve"/>
        </x:is>
      </x:c>
      <x:c r="C54" s="7" t="inlineStr">
        <x:is>
          <x:t xml:space="preserve"/>
        </x:is>
      </x:c>
      <x:c r="D54" s="7" t="inlineStr">
        <x:is>
          <x:t xml:space="preserve"/>
        </x:is>
      </x:c>
      <x:c r="E54" s="6" t="inlineStr">
        <x:is>
          <x:t xml:space="preserve"/>
        </x:is>
      </x:c>
      <x:c r="F54" s="7" t="inlineStr">
        <x:is>
          <x:t xml:space="preserve"/>
        </x:is>
      </x:c>
      <x:c r="G54" s="8" t="inlineStr">
        <x:is>
          <x:t xml:space="preserve"/>
        </x:is>
      </x:c>
      <x:c r="H54" s="6" t="inlineStr">
        <x:is>
          <x:t xml:space="preserve"/>
        </x:is>
      </x:c>
      <x:c r="I54" s="8" t="inlineStr">
        <x:is>
          <x:t xml:space="preserve"/>
        </x:is>
      </x:c>
      <x:c r="J54" s="7" t="inlineStr">
        <x:is>
          <x:t xml:space="preserve"/>
        </x:is>
      </x:c>
      <x:c r="K54" s="7">
        <x:f>IF(G54="","", TODAY()-G54)</x:f>
      </x:c>
      <x:c r="L54" s="7">
        <x:f>IF(OR(I54="",J54="Closed"),"", IF(TODAY()&gt;I54,"Yes","No"))</x:f>
      </x:c>
      <x:c r="M54" s="7" t="inlineStr">
        <x:is>
          <x:t xml:space="preserve"/>
        </x:is>
      </x:c>
      <x:c r="N54" s="6" t="inlineStr">
        <x:is>
          <x:t xml:space="preserve"/>
        </x:is>
      </x:c>
    </x:row>
    <x:row r="55">
      <x:c r="A55" s="7">
        <x:f>IF(E55="","", "ISS-"&amp;TEXT(ROW()-1,"00000"))</x:f>
      </x:c>
      <x:c r="B55" s="7" t="inlineStr">
        <x:is>
          <x:t xml:space="preserve"/>
        </x:is>
      </x:c>
      <x:c r="C55" s="7" t="inlineStr">
        <x:is>
          <x:t xml:space="preserve"/>
        </x:is>
      </x:c>
      <x:c r="D55" s="7" t="inlineStr">
        <x:is>
          <x:t xml:space="preserve"/>
        </x:is>
      </x:c>
      <x:c r="E55" s="6" t="inlineStr">
        <x:is>
          <x:t xml:space="preserve"/>
        </x:is>
      </x:c>
      <x:c r="F55" s="7" t="inlineStr">
        <x:is>
          <x:t xml:space="preserve"/>
        </x:is>
      </x:c>
      <x:c r="G55" s="8" t="inlineStr">
        <x:is>
          <x:t xml:space="preserve"/>
        </x:is>
      </x:c>
      <x:c r="H55" s="6" t="inlineStr">
        <x:is>
          <x:t xml:space="preserve"/>
        </x:is>
      </x:c>
      <x:c r="I55" s="8" t="inlineStr">
        <x:is>
          <x:t xml:space="preserve"/>
        </x:is>
      </x:c>
      <x:c r="J55" s="7" t="inlineStr">
        <x:is>
          <x:t xml:space="preserve"/>
        </x:is>
      </x:c>
      <x:c r="K55" s="7">
        <x:f>IF(G55="","", TODAY()-G55)</x:f>
      </x:c>
      <x:c r="L55" s="7">
        <x:f>IF(OR(I55="",J55="Closed"),"", IF(TODAY()&gt;I55,"Yes","No"))</x:f>
      </x:c>
      <x:c r="M55" s="7" t="inlineStr">
        <x:is>
          <x:t xml:space="preserve"/>
        </x:is>
      </x:c>
      <x:c r="N55" s="6" t="inlineStr">
        <x:is>
          <x:t xml:space="preserve"/>
        </x:is>
      </x:c>
    </x:row>
    <x:row r="56">
      <x:c r="A56" s="7">
        <x:f>IF(E56="","", "ISS-"&amp;TEXT(ROW()-1,"00000"))</x:f>
      </x:c>
      <x:c r="B56" s="7" t="inlineStr">
        <x:is>
          <x:t xml:space="preserve"/>
        </x:is>
      </x:c>
      <x:c r="C56" s="7" t="inlineStr">
        <x:is>
          <x:t xml:space="preserve"/>
        </x:is>
      </x:c>
      <x:c r="D56" s="7" t="inlineStr">
        <x:is>
          <x:t xml:space="preserve"/>
        </x:is>
      </x:c>
      <x:c r="E56" s="6" t="inlineStr">
        <x:is>
          <x:t xml:space="preserve"/>
        </x:is>
      </x:c>
      <x:c r="F56" s="7" t="inlineStr">
        <x:is>
          <x:t xml:space="preserve"/>
        </x:is>
      </x:c>
      <x:c r="G56" s="8" t="inlineStr">
        <x:is>
          <x:t xml:space="preserve"/>
        </x:is>
      </x:c>
      <x:c r="H56" s="6" t="inlineStr">
        <x:is>
          <x:t xml:space="preserve"/>
        </x:is>
      </x:c>
      <x:c r="I56" s="8" t="inlineStr">
        <x:is>
          <x:t xml:space="preserve"/>
        </x:is>
      </x:c>
      <x:c r="J56" s="7" t="inlineStr">
        <x:is>
          <x:t xml:space="preserve"/>
        </x:is>
      </x:c>
      <x:c r="K56" s="7">
        <x:f>IF(G56="","", TODAY()-G56)</x:f>
      </x:c>
      <x:c r="L56" s="7">
        <x:f>IF(OR(I56="",J56="Closed"),"", IF(TODAY()&gt;I56,"Yes","No"))</x:f>
      </x:c>
      <x:c r="M56" s="7" t="inlineStr">
        <x:is>
          <x:t xml:space="preserve"/>
        </x:is>
      </x:c>
      <x:c r="N56" s="6" t="inlineStr">
        <x:is>
          <x:t xml:space="preserve"/>
        </x:is>
      </x:c>
    </x:row>
    <x:row r="57">
      <x:c r="A57" s="7">
        <x:f>IF(E57="","", "ISS-"&amp;TEXT(ROW()-1,"00000"))</x:f>
      </x:c>
      <x:c r="B57" s="7" t="inlineStr">
        <x:is>
          <x:t xml:space="preserve"/>
        </x:is>
      </x:c>
      <x:c r="C57" s="7" t="inlineStr">
        <x:is>
          <x:t xml:space="preserve"/>
        </x:is>
      </x:c>
      <x:c r="D57" s="7" t="inlineStr">
        <x:is>
          <x:t xml:space="preserve"/>
        </x:is>
      </x:c>
      <x:c r="E57" s="6" t="inlineStr">
        <x:is>
          <x:t xml:space="preserve"/>
        </x:is>
      </x:c>
      <x:c r="F57" s="7" t="inlineStr">
        <x:is>
          <x:t xml:space="preserve"/>
        </x:is>
      </x:c>
      <x:c r="G57" s="8" t="inlineStr">
        <x:is>
          <x:t xml:space="preserve"/>
        </x:is>
      </x:c>
      <x:c r="H57" s="6" t="inlineStr">
        <x:is>
          <x:t xml:space="preserve"/>
        </x:is>
      </x:c>
      <x:c r="I57" s="8" t="inlineStr">
        <x:is>
          <x:t xml:space="preserve"/>
        </x:is>
      </x:c>
      <x:c r="J57" s="7" t="inlineStr">
        <x:is>
          <x:t xml:space="preserve"/>
        </x:is>
      </x:c>
      <x:c r="K57" s="7">
        <x:f>IF(G57="","", TODAY()-G57)</x:f>
      </x:c>
      <x:c r="L57" s="7">
        <x:f>IF(OR(I57="",J57="Closed"),"", IF(TODAY()&gt;I57,"Yes","No"))</x:f>
      </x:c>
      <x:c r="M57" s="7" t="inlineStr">
        <x:is>
          <x:t xml:space="preserve"/>
        </x:is>
      </x:c>
      <x:c r="N57" s="6" t="inlineStr">
        <x:is>
          <x:t xml:space="preserve"/>
        </x:is>
      </x:c>
    </x:row>
    <x:row r="58">
      <x:c r="A58" s="7">
        <x:f>IF(E58="","", "ISS-"&amp;TEXT(ROW()-1,"00000"))</x:f>
      </x:c>
      <x:c r="B58" s="7" t="inlineStr">
        <x:is>
          <x:t xml:space="preserve"/>
        </x:is>
      </x:c>
      <x:c r="C58" s="7" t="inlineStr">
        <x:is>
          <x:t xml:space="preserve"/>
        </x:is>
      </x:c>
      <x:c r="D58" s="7" t="inlineStr">
        <x:is>
          <x:t xml:space="preserve"/>
        </x:is>
      </x:c>
      <x:c r="E58" s="6" t="inlineStr">
        <x:is>
          <x:t xml:space="preserve"/>
        </x:is>
      </x:c>
      <x:c r="F58" s="7" t="inlineStr">
        <x:is>
          <x:t xml:space="preserve"/>
        </x:is>
      </x:c>
      <x:c r="G58" s="8" t="inlineStr">
        <x:is>
          <x:t xml:space="preserve"/>
        </x:is>
      </x:c>
      <x:c r="H58" s="6" t="inlineStr">
        <x:is>
          <x:t xml:space="preserve"/>
        </x:is>
      </x:c>
      <x:c r="I58" s="8" t="inlineStr">
        <x:is>
          <x:t xml:space="preserve"/>
        </x:is>
      </x:c>
      <x:c r="J58" s="7" t="inlineStr">
        <x:is>
          <x:t xml:space="preserve"/>
        </x:is>
      </x:c>
      <x:c r="K58" s="7">
        <x:f>IF(G58="","", TODAY()-G58)</x:f>
      </x:c>
      <x:c r="L58" s="7">
        <x:f>IF(OR(I58="",J58="Closed"),"", IF(TODAY()&gt;I58,"Yes","No"))</x:f>
      </x:c>
      <x:c r="M58" s="7" t="inlineStr">
        <x:is>
          <x:t xml:space="preserve"/>
        </x:is>
      </x:c>
      <x:c r="N58" s="6" t="inlineStr">
        <x:is>
          <x:t xml:space="preserve"/>
        </x:is>
      </x:c>
    </x:row>
    <x:row r="59">
      <x:c r="A59" s="7">
        <x:f>IF(E59="","", "ISS-"&amp;TEXT(ROW()-1,"00000"))</x:f>
      </x:c>
      <x:c r="B59" s="7" t="inlineStr">
        <x:is>
          <x:t xml:space="preserve"/>
        </x:is>
      </x:c>
      <x:c r="C59" s="7" t="inlineStr">
        <x:is>
          <x:t xml:space="preserve"/>
        </x:is>
      </x:c>
      <x:c r="D59" s="7" t="inlineStr">
        <x:is>
          <x:t xml:space="preserve"/>
        </x:is>
      </x:c>
      <x:c r="E59" s="6" t="inlineStr">
        <x:is>
          <x:t xml:space="preserve"/>
        </x:is>
      </x:c>
      <x:c r="F59" s="7" t="inlineStr">
        <x:is>
          <x:t xml:space="preserve"/>
        </x:is>
      </x:c>
      <x:c r="G59" s="8" t="inlineStr">
        <x:is>
          <x:t xml:space="preserve"/>
        </x:is>
      </x:c>
      <x:c r="H59" s="6" t="inlineStr">
        <x:is>
          <x:t xml:space="preserve"/>
        </x:is>
      </x:c>
      <x:c r="I59" s="8" t="inlineStr">
        <x:is>
          <x:t xml:space="preserve"/>
        </x:is>
      </x:c>
      <x:c r="J59" s="7" t="inlineStr">
        <x:is>
          <x:t xml:space="preserve"/>
        </x:is>
      </x:c>
      <x:c r="K59" s="7">
        <x:f>IF(G59="","", TODAY()-G59)</x:f>
      </x:c>
      <x:c r="L59" s="7">
        <x:f>IF(OR(I59="",J59="Closed"),"", IF(TODAY()&gt;I59,"Yes","No"))</x:f>
      </x:c>
      <x:c r="M59" s="7" t="inlineStr">
        <x:is>
          <x:t xml:space="preserve"/>
        </x:is>
      </x:c>
      <x:c r="N59" s="6" t="inlineStr">
        <x:is>
          <x:t xml:space="preserve"/>
        </x:is>
      </x:c>
    </x:row>
    <x:row r="60">
      <x:c r="A60" s="7">
        <x:f>IF(E60="","", "ISS-"&amp;TEXT(ROW()-1,"00000"))</x:f>
      </x:c>
      <x:c r="B60" s="7" t="inlineStr">
        <x:is>
          <x:t xml:space="preserve"/>
        </x:is>
      </x:c>
      <x:c r="C60" s="7" t="inlineStr">
        <x:is>
          <x:t xml:space="preserve"/>
        </x:is>
      </x:c>
      <x:c r="D60" s="7" t="inlineStr">
        <x:is>
          <x:t xml:space="preserve"/>
        </x:is>
      </x:c>
      <x:c r="E60" s="6" t="inlineStr">
        <x:is>
          <x:t xml:space="preserve"/>
        </x:is>
      </x:c>
      <x:c r="F60" s="7" t="inlineStr">
        <x:is>
          <x:t xml:space="preserve"/>
        </x:is>
      </x:c>
      <x:c r="G60" s="8" t="inlineStr">
        <x:is>
          <x:t xml:space="preserve"/>
        </x:is>
      </x:c>
      <x:c r="H60" s="6" t="inlineStr">
        <x:is>
          <x:t xml:space="preserve"/>
        </x:is>
      </x:c>
      <x:c r="I60" s="8" t="inlineStr">
        <x:is>
          <x:t xml:space="preserve"/>
        </x:is>
      </x:c>
      <x:c r="J60" s="7" t="inlineStr">
        <x:is>
          <x:t xml:space="preserve"/>
        </x:is>
      </x:c>
      <x:c r="K60" s="7">
        <x:f>IF(G60="","", TODAY()-G60)</x:f>
      </x:c>
      <x:c r="L60" s="7">
        <x:f>IF(OR(I60="",J60="Closed"),"", IF(TODAY()&gt;I60,"Yes","No"))</x:f>
      </x:c>
      <x:c r="M60" s="7" t="inlineStr">
        <x:is>
          <x:t xml:space="preserve"/>
        </x:is>
      </x:c>
      <x:c r="N60" s="6" t="inlineStr">
        <x:is>
          <x:t xml:space="preserve"/>
        </x:is>
      </x:c>
    </x:row>
    <x:row r="61">
      <x:c r="A61" s="7">
        <x:f>IF(E61="","", "ISS-"&amp;TEXT(ROW()-1,"00000"))</x:f>
      </x:c>
      <x:c r="B61" s="7" t="inlineStr">
        <x:is>
          <x:t xml:space="preserve"/>
        </x:is>
      </x:c>
      <x:c r="C61" s="7" t="inlineStr">
        <x:is>
          <x:t xml:space="preserve"/>
        </x:is>
      </x:c>
      <x:c r="D61" s="7" t="inlineStr">
        <x:is>
          <x:t xml:space="preserve"/>
        </x:is>
      </x:c>
      <x:c r="E61" s="6" t="inlineStr">
        <x:is>
          <x:t xml:space="preserve"/>
        </x:is>
      </x:c>
      <x:c r="F61" s="7" t="inlineStr">
        <x:is>
          <x:t xml:space="preserve"/>
        </x:is>
      </x:c>
      <x:c r="G61" s="8" t="inlineStr">
        <x:is>
          <x:t xml:space="preserve"/>
        </x:is>
      </x:c>
      <x:c r="H61" s="6" t="inlineStr">
        <x:is>
          <x:t xml:space="preserve"/>
        </x:is>
      </x:c>
      <x:c r="I61" s="8" t="inlineStr">
        <x:is>
          <x:t xml:space="preserve"/>
        </x:is>
      </x:c>
      <x:c r="J61" s="7" t="inlineStr">
        <x:is>
          <x:t xml:space="preserve"/>
        </x:is>
      </x:c>
      <x:c r="K61" s="7">
        <x:f>IF(G61="","", TODAY()-G61)</x:f>
      </x:c>
      <x:c r="L61" s="7">
        <x:f>IF(OR(I61="",J61="Closed"),"", IF(TODAY()&gt;I61,"Yes","No"))</x:f>
      </x:c>
      <x:c r="M61" s="7" t="inlineStr">
        <x:is>
          <x:t xml:space="preserve"/>
        </x:is>
      </x:c>
      <x:c r="N61" s="6" t="inlineStr">
        <x:is>
          <x:t xml:space="preserve"/>
        </x:is>
      </x:c>
    </x:row>
    <x:row r="62">
      <x:c r="A62" s="7">
        <x:f>IF(E62="","", "ISS-"&amp;TEXT(ROW()-1,"00000"))</x:f>
      </x:c>
      <x:c r="B62" s="7" t="inlineStr">
        <x:is>
          <x:t xml:space="preserve"/>
        </x:is>
      </x:c>
      <x:c r="C62" s="7" t="inlineStr">
        <x:is>
          <x:t xml:space="preserve"/>
        </x:is>
      </x:c>
      <x:c r="D62" s="7" t="inlineStr">
        <x:is>
          <x:t xml:space="preserve"/>
        </x:is>
      </x:c>
      <x:c r="E62" s="6" t="inlineStr">
        <x:is>
          <x:t xml:space="preserve"/>
        </x:is>
      </x:c>
      <x:c r="F62" s="7" t="inlineStr">
        <x:is>
          <x:t xml:space="preserve"/>
        </x:is>
      </x:c>
      <x:c r="G62" s="8" t="inlineStr">
        <x:is>
          <x:t xml:space="preserve"/>
        </x:is>
      </x:c>
      <x:c r="H62" s="6" t="inlineStr">
        <x:is>
          <x:t xml:space="preserve"/>
        </x:is>
      </x:c>
      <x:c r="I62" s="8" t="inlineStr">
        <x:is>
          <x:t xml:space="preserve"/>
        </x:is>
      </x:c>
      <x:c r="J62" s="7" t="inlineStr">
        <x:is>
          <x:t xml:space="preserve"/>
        </x:is>
      </x:c>
      <x:c r="K62" s="7">
        <x:f>IF(G62="","", TODAY()-G62)</x:f>
      </x:c>
      <x:c r="L62" s="7">
        <x:f>IF(OR(I62="",J62="Closed"),"", IF(TODAY()&gt;I62,"Yes","No"))</x:f>
      </x:c>
      <x:c r="M62" s="7" t="inlineStr">
        <x:is>
          <x:t xml:space="preserve"/>
        </x:is>
      </x:c>
      <x:c r="N62" s="6" t="inlineStr">
        <x:is>
          <x:t xml:space="preserve"/>
        </x:is>
      </x:c>
    </x:row>
    <x:row r="63">
      <x:c r="A63" s="7">
        <x:f>IF(E63="","", "ISS-"&amp;TEXT(ROW()-1,"00000"))</x:f>
      </x:c>
      <x:c r="B63" s="7" t="inlineStr">
        <x:is>
          <x:t xml:space="preserve"/>
        </x:is>
      </x:c>
      <x:c r="C63" s="7" t="inlineStr">
        <x:is>
          <x:t xml:space="preserve"/>
        </x:is>
      </x:c>
      <x:c r="D63" s="7" t="inlineStr">
        <x:is>
          <x:t xml:space="preserve"/>
        </x:is>
      </x:c>
      <x:c r="E63" s="6" t="inlineStr">
        <x:is>
          <x:t xml:space="preserve"/>
        </x:is>
      </x:c>
      <x:c r="F63" s="7" t="inlineStr">
        <x:is>
          <x:t xml:space="preserve"/>
        </x:is>
      </x:c>
      <x:c r="G63" s="8" t="inlineStr">
        <x:is>
          <x:t xml:space="preserve"/>
        </x:is>
      </x:c>
      <x:c r="H63" s="6" t="inlineStr">
        <x:is>
          <x:t xml:space="preserve"/>
        </x:is>
      </x:c>
      <x:c r="I63" s="8" t="inlineStr">
        <x:is>
          <x:t xml:space="preserve"/>
        </x:is>
      </x:c>
      <x:c r="J63" s="7" t="inlineStr">
        <x:is>
          <x:t xml:space="preserve"/>
        </x:is>
      </x:c>
      <x:c r="K63" s="7">
        <x:f>IF(G63="","", TODAY()-G63)</x:f>
      </x:c>
      <x:c r="L63" s="7">
        <x:f>IF(OR(I63="",J63="Closed"),"", IF(TODAY()&gt;I63,"Yes","No"))</x:f>
      </x:c>
      <x:c r="M63" s="7" t="inlineStr">
        <x:is>
          <x:t xml:space="preserve"/>
        </x:is>
      </x:c>
      <x:c r="N63" s="6" t="inlineStr">
        <x:is>
          <x:t xml:space="preserve"/>
        </x:is>
      </x:c>
    </x:row>
    <x:row r="64">
      <x:c r="A64" s="7">
        <x:f>IF(E64="","", "ISS-"&amp;TEXT(ROW()-1,"00000"))</x:f>
      </x:c>
      <x:c r="B64" s="7" t="inlineStr">
        <x:is>
          <x:t xml:space="preserve"/>
        </x:is>
      </x:c>
      <x:c r="C64" s="7" t="inlineStr">
        <x:is>
          <x:t xml:space="preserve"/>
        </x:is>
      </x:c>
      <x:c r="D64" s="7" t="inlineStr">
        <x:is>
          <x:t xml:space="preserve"/>
        </x:is>
      </x:c>
      <x:c r="E64" s="6" t="inlineStr">
        <x:is>
          <x:t xml:space="preserve"/>
        </x:is>
      </x:c>
      <x:c r="F64" s="7" t="inlineStr">
        <x:is>
          <x:t xml:space="preserve"/>
        </x:is>
      </x:c>
      <x:c r="G64" s="8" t="inlineStr">
        <x:is>
          <x:t xml:space="preserve"/>
        </x:is>
      </x:c>
      <x:c r="H64" s="6" t="inlineStr">
        <x:is>
          <x:t xml:space="preserve"/>
        </x:is>
      </x:c>
      <x:c r="I64" s="8" t="inlineStr">
        <x:is>
          <x:t xml:space="preserve"/>
        </x:is>
      </x:c>
      <x:c r="J64" s="7" t="inlineStr">
        <x:is>
          <x:t xml:space="preserve"/>
        </x:is>
      </x:c>
      <x:c r="K64" s="7">
        <x:f>IF(G64="","", TODAY()-G64)</x:f>
      </x:c>
      <x:c r="L64" s="7">
        <x:f>IF(OR(I64="",J64="Closed"),"", IF(TODAY()&gt;I64,"Yes","No"))</x:f>
      </x:c>
      <x:c r="M64" s="7" t="inlineStr">
        <x:is>
          <x:t xml:space="preserve"/>
        </x:is>
      </x:c>
      <x:c r="N64" s="6" t="inlineStr">
        <x:is>
          <x:t xml:space="preserve"/>
        </x:is>
      </x:c>
    </x:row>
    <x:row r="65">
      <x:c r="A65" s="7">
        <x:f>IF(E65="","", "ISS-"&amp;TEXT(ROW()-1,"00000"))</x:f>
      </x:c>
      <x:c r="B65" s="7" t="inlineStr">
        <x:is>
          <x:t xml:space="preserve"/>
        </x:is>
      </x:c>
      <x:c r="C65" s="7" t="inlineStr">
        <x:is>
          <x:t xml:space="preserve"/>
        </x:is>
      </x:c>
      <x:c r="D65" s="7" t="inlineStr">
        <x:is>
          <x:t xml:space="preserve"/>
        </x:is>
      </x:c>
      <x:c r="E65" s="6" t="inlineStr">
        <x:is>
          <x:t xml:space="preserve"/>
        </x:is>
      </x:c>
      <x:c r="F65" s="7" t="inlineStr">
        <x:is>
          <x:t xml:space="preserve"/>
        </x:is>
      </x:c>
      <x:c r="G65" s="8" t="inlineStr">
        <x:is>
          <x:t xml:space="preserve"/>
        </x:is>
      </x:c>
      <x:c r="H65" s="6" t="inlineStr">
        <x:is>
          <x:t xml:space="preserve"/>
        </x:is>
      </x:c>
      <x:c r="I65" s="8" t="inlineStr">
        <x:is>
          <x:t xml:space="preserve"/>
        </x:is>
      </x:c>
      <x:c r="J65" s="7" t="inlineStr">
        <x:is>
          <x:t xml:space="preserve"/>
        </x:is>
      </x:c>
      <x:c r="K65" s="7">
        <x:f>IF(G65="","", TODAY()-G65)</x:f>
      </x:c>
      <x:c r="L65" s="7">
        <x:f>IF(OR(I65="",J65="Closed"),"", IF(TODAY()&gt;I65,"Yes","No"))</x:f>
      </x:c>
      <x:c r="M65" s="7" t="inlineStr">
        <x:is>
          <x:t xml:space="preserve"/>
        </x:is>
      </x:c>
      <x:c r="N65" s="6" t="inlineStr">
        <x:is>
          <x:t xml:space="preserve"/>
        </x:is>
      </x:c>
    </x:row>
    <x:row r="66">
      <x:c r="A66" s="7">
        <x:f>IF(E66="","", "ISS-"&amp;TEXT(ROW()-1,"00000"))</x:f>
      </x:c>
      <x:c r="B66" s="7" t="inlineStr">
        <x:is>
          <x:t xml:space="preserve"/>
        </x:is>
      </x:c>
      <x:c r="C66" s="7" t="inlineStr">
        <x:is>
          <x:t xml:space="preserve"/>
        </x:is>
      </x:c>
      <x:c r="D66" s="7" t="inlineStr">
        <x:is>
          <x:t xml:space="preserve"/>
        </x:is>
      </x:c>
      <x:c r="E66" s="6" t="inlineStr">
        <x:is>
          <x:t xml:space="preserve"/>
        </x:is>
      </x:c>
      <x:c r="F66" s="7" t="inlineStr">
        <x:is>
          <x:t xml:space="preserve"/>
        </x:is>
      </x:c>
      <x:c r="G66" s="8" t="inlineStr">
        <x:is>
          <x:t xml:space="preserve"/>
        </x:is>
      </x:c>
      <x:c r="H66" s="6" t="inlineStr">
        <x:is>
          <x:t xml:space="preserve"/>
        </x:is>
      </x:c>
      <x:c r="I66" s="8" t="inlineStr">
        <x:is>
          <x:t xml:space="preserve"/>
        </x:is>
      </x:c>
      <x:c r="J66" s="7" t="inlineStr">
        <x:is>
          <x:t xml:space="preserve"/>
        </x:is>
      </x:c>
      <x:c r="K66" s="7">
        <x:f>IF(G66="","", TODAY()-G66)</x:f>
      </x:c>
      <x:c r="L66" s="7">
        <x:f>IF(OR(I66="",J66="Closed"),"", IF(TODAY()&gt;I66,"Yes","No"))</x:f>
      </x:c>
      <x:c r="M66" s="7" t="inlineStr">
        <x:is>
          <x:t xml:space="preserve"/>
        </x:is>
      </x:c>
      <x:c r="N66" s="6" t="inlineStr">
        <x:is>
          <x:t xml:space="preserve"/>
        </x:is>
      </x:c>
    </x:row>
    <x:row r="67">
      <x:c r="A67" s="7">
        <x:f>IF(E67="","", "ISS-"&amp;TEXT(ROW()-1,"00000"))</x:f>
      </x:c>
      <x:c r="B67" s="7" t="inlineStr">
        <x:is>
          <x:t xml:space="preserve"/>
        </x:is>
      </x:c>
      <x:c r="C67" s="7" t="inlineStr">
        <x:is>
          <x:t xml:space="preserve"/>
        </x:is>
      </x:c>
      <x:c r="D67" s="7" t="inlineStr">
        <x:is>
          <x:t xml:space="preserve"/>
        </x:is>
      </x:c>
      <x:c r="E67" s="6" t="inlineStr">
        <x:is>
          <x:t xml:space="preserve"/>
        </x:is>
      </x:c>
      <x:c r="F67" s="7" t="inlineStr">
        <x:is>
          <x:t xml:space="preserve"/>
        </x:is>
      </x:c>
      <x:c r="G67" s="8" t="inlineStr">
        <x:is>
          <x:t xml:space="preserve"/>
        </x:is>
      </x:c>
      <x:c r="H67" s="6" t="inlineStr">
        <x:is>
          <x:t xml:space="preserve"/>
        </x:is>
      </x:c>
      <x:c r="I67" s="8" t="inlineStr">
        <x:is>
          <x:t xml:space="preserve"/>
        </x:is>
      </x:c>
      <x:c r="J67" s="7" t="inlineStr">
        <x:is>
          <x:t xml:space="preserve"/>
        </x:is>
      </x:c>
      <x:c r="K67" s="7">
        <x:f>IF(G67="","", TODAY()-G67)</x:f>
      </x:c>
      <x:c r="L67" s="7">
        <x:f>IF(OR(I67="",J67="Closed"),"", IF(TODAY()&gt;I67,"Yes","No"))</x:f>
      </x:c>
      <x:c r="M67" s="7" t="inlineStr">
        <x:is>
          <x:t xml:space="preserve"/>
        </x:is>
      </x:c>
      <x:c r="N67" s="6" t="inlineStr">
        <x:is>
          <x:t xml:space="preserve"/>
        </x:is>
      </x:c>
    </x:row>
    <x:row r="68">
      <x:c r="A68" s="7">
        <x:f>IF(E68="","", "ISS-"&amp;TEXT(ROW()-1,"00000"))</x:f>
      </x:c>
      <x:c r="B68" s="7" t="inlineStr">
        <x:is>
          <x:t xml:space="preserve"/>
        </x:is>
      </x:c>
      <x:c r="C68" s="7" t="inlineStr">
        <x:is>
          <x:t xml:space="preserve"/>
        </x:is>
      </x:c>
      <x:c r="D68" s="7" t="inlineStr">
        <x:is>
          <x:t xml:space="preserve"/>
        </x:is>
      </x:c>
      <x:c r="E68" s="6" t="inlineStr">
        <x:is>
          <x:t xml:space="preserve"/>
        </x:is>
      </x:c>
      <x:c r="F68" s="7" t="inlineStr">
        <x:is>
          <x:t xml:space="preserve"/>
        </x:is>
      </x:c>
      <x:c r="G68" s="8" t="inlineStr">
        <x:is>
          <x:t xml:space="preserve"/>
        </x:is>
      </x:c>
      <x:c r="H68" s="6" t="inlineStr">
        <x:is>
          <x:t xml:space="preserve"/>
        </x:is>
      </x:c>
      <x:c r="I68" s="8" t="inlineStr">
        <x:is>
          <x:t xml:space="preserve"/>
        </x:is>
      </x:c>
      <x:c r="J68" s="7" t="inlineStr">
        <x:is>
          <x:t xml:space="preserve"/>
        </x:is>
      </x:c>
      <x:c r="K68" s="7">
        <x:f>IF(G68="","", TODAY()-G68)</x:f>
      </x:c>
      <x:c r="L68" s="7">
        <x:f>IF(OR(I68="",J68="Closed"),"", IF(TODAY()&gt;I68,"Yes","No"))</x:f>
      </x:c>
      <x:c r="M68" s="7" t="inlineStr">
        <x:is>
          <x:t xml:space="preserve"/>
        </x:is>
      </x:c>
      <x:c r="N68" s="6" t="inlineStr">
        <x:is>
          <x:t xml:space="preserve"/>
        </x:is>
      </x:c>
    </x:row>
    <x:row r="69">
      <x:c r="A69" s="7">
        <x:f>IF(E69="","", "ISS-"&amp;TEXT(ROW()-1,"00000"))</x:f>
      </x:c>
      <x:c r="B69" s="7" t="inlineStr">
        <x:is>
          <x:t xml:space="preserve"/>
        </x:is>
      </x:c>
      <x:c r="C69" s="7" t="inlineStr">
        <x:is>
          <x:t xml:space="preserve"/>
        </x:is>
      </x:c>
      <x:c r="D69" s="7" t="inlineStr">
        <x:is>
          <x:t xml:space="preserve"/>
        </x:is>
      </x:c>
      <x:c r="E69" s="6" t="inlineStr">
        <x:is>
          <x:t xml:space="preserve"/>
        </x:is>
      </x:c>
      <x:c r="F69" s="7" t="inlineStr">
        <x:is>
          <x:t xml:space="preserve"/>
        </x:is>
      </x:c>
      <x:c r="G69" s="8" t="inlineStr">
        <x:is>
          <x:t xml:space="preserve"/>
        </x:is>
      </x:c>
      <x:c r="H69" s="6" t="inlineStr">
        <x:is>
          <x:t xml:space="preserve"/>
        </x:is>
      </x:c>
      <x:c r="I69" s="8" t="inlineStr">
        <x:is>
          <x:t xml:space="preserve"/>
        </x:is>
      </x:c>
      <x:c r="J69" s="7" t="inlineStr">
        <x:is>
          <x:t xml:space="preserve"/>
        </x:is>
      </x:c>
      <x:c r="K69" s="7">
        <x:f>IF(G69="","", TODAY()-G69)</x:f>
      </x:c>
      <x:c r="L69" s="7">
        <x:f>IF(OR(I69="",J69="Closed"),"", IF(TODAY()&gt;I69,"Yes","No"))</x:f>
      </x:c>
      <x:c r="M69" s="7" t="inlineStr">
        <x:is>
          <x:t xml:space="preserve"/>
        </x:is>
      </x:c>
      <x:c r="N69" s="6" t="inlineStr">
        <x:is>
          <x:t xml:space="preserve"/>
        </x:is>
      </x:c>
    </x:row>
    <x:row r="70">
      <x:c r="A70" s="7">
        <x:f>IF(E70="","", "ISS-"&amp;TEXT(ROW()-1,"00000"))</x:f>
      </x:c>
      <x:c r="B70" s="7" t="inlineStr">
        <x:is>
          <x:t xml:space="preserve"/>
        </x:is>
      </x:c>
      <x:c r="C70" s="7" t="inlineStr">
        <x:is>
          <x:t xml:space="preserve"/>
        </x:is>
      </x:c>
      <x:c r="D70" s="7" t="inlineStr">
        <x:is>
          <x:t xml:space="preserve"/>
        </x:is>
      </x:c>
      <x:c r="E70" s="6" t="inlineStr">
        <x:is>
          <x:t xml:space="preserve"/>
        </x:is>
      </x:c>
      <x:c r="F70" s="7" t="inlineStr">
        <x:is>
          <x:t xml:space="preserve"/>
        </x:is>
      </x:c>
      <x:c r="G70" s="8" t="inlineStr">
        <x:is>
          <x:t xml:space="preserve"/>
        </x:is>
      </x:c>
      <x:c r="H70" s="6" t="inlineStr">
        <x:is>
          <x:t xml:space="preserve"/>
        </x:is>
      </x:c>
      <x:c r="I70" s="8" t="inlineStr">
        <x:is>
          <x:t xml:space="preserve"/>
        </x:is>
      </x:c>
      <x:c r="J70" s="7" t="inlineStr">
        <x:is>
          <x:t xml:space="preserve"/>
        </x:is>
      </x:c>
      <x:c r="K70" s="7">
        <x:f>IF(G70="","", TODAY()-G70)</x:f>
      </x:c>
      <x:c r="L70" s="7">
        <x:f>IF(OR(I70="",J70="Closed"),"", IF(TODAY()&gt;I70,"Yes","No"))</x:f>
      </x:c>
      <x:c r="M70" s="7" t="inlineStr">
        <x:is>
          <x:t xml:space="preserve"/>
        </x:is>
      </x:c>
      <x:c r="N70" s="6" t="inlineStr">
        <x:is>
          <x:t xml:space="preserve"/>
        </x:is>
      </x:c>
    </x:row>
    <x:row r="71">
      <x:c r="A71" s="7">
        <x:f>IF(E71="","", "ISS-"&amp;TEXT(ROW()-1,"00000"))</x:f>
      </x:c>
      <x:c r="B71" s="7" t="inlineStr">
        <x:is>
          <x:t xml:space="preserve"/>
        </x:is>
      </x:c>
      <x:c r="C71" s="7" t="inlineStr">
        <x:is>
          <x:t xml:space="preserve"/>
        </x:is>
      </x:c>
      <x:c r="D71" s="7" t="inlineStr">
        <x:is>
          <x:t xml:space="preserve"/>
        </x:is>
      </x:c>
      <x:c r="E71" s="6" t="inlineStr">
        <x:is>
          <x:t xml:space="preserve"/>
        </x:is>
      </x:c>
      <x:c r="F71" s="7" t="inlineStr">
        <x:is>
          <x:t xml:space="preserve"/>
        </x:is>
      </x:c>
      <x:c r="G71" s="8" t="inlineStr">
        <x:is>
          <x:t xml:space="preserve"/>
        </x:is>
      </x:c>
      <x:c r="H71" s="6" t="inlineStr">
        <x:is>
          <x:t xml:space="preserve"/>
        </x:is>
      </x:c>
      <x:c r="I71" s="8" t="inlineStr">
        <x:is>
          <x:t xml:space="preserve"/>
        </x:is>
      </x:c>
      <x:c r="J71" s="7" t="inlineStr">
        <x:is>
          <x:t xml:space="preserve"/>
        </x:is>
      </x:c>
      <x:c r="K71" s="7">
        <x:f>IF(G71="","", TODAY()-G71)</x:f>
      </x:c>
      <x:c r="L71" s="7">
        <x:f>IF(OR(I71="",J71="Closed"),"", IF(TODAY()&gt;I71,"Yes","No"))</x:f>
      </x:c>
      <x:c r="M71" s="7" t="inlineStr">
        <x:is>
          <x:t xml:space="preserve"/>
        </x:is>
      </x:c>
      <x:c r="N71" s="6" t="inlineStr">
        <x:is>
          <x:t xml:space="preserve"/>
        </x:is>
      </x:c>
    </x:row>
    <x:row r="72">
      <x:c r="A72" s="7">
        <x:f>IF(E72="","", "ISS-"&amp;TEXT(ROW()-1,"00000"))</x:f>
      </x:c>
      <x:c r="B72" s="7" t="inlineStr">
        <x:is>
          <x:t xml:space="preserve"/>
        </x:is>
      </x:c>
      <x:c r="C72" s="7" t="inlineStr">
        <x:is>
          <x:t xml:space="preserve"/>
        </x:is>
      </x:c>
      <x:c r="D72" s="7" t="inlineStr">
        <x:is>
          <x:t xml:space="preserve"/>
        </x:is>
      </x:c>
      <x:c r="E72" s="6" t="inlineStr">
        <x:is>
          <x:t xml:space="preserve"/>
        </x:is>
      </x:c>
      <x:c r="F72" s="7" t="inlineStr">
        <x:is>
          <x:t xml:space="preserve"/>
        </x:is>
      </x:c>
      <x:c r="G72" s="8" t="inlineStr">
        <x:is>
          <x:t xml:space="preserve"/>
        </x:is>
      </x:c>
      <x:c r="H72" s="6" t="inlineStr">
        <x:is>
          <x:t xml:space="preserve"/>
        </x:is>
      </x:c>
      <x:c r="I72" s="8" t="inlineStr">
        <x:is>
          <x:t xml:space="preserve"/>
        </x:is>
      </x:c>
      <x:c r="J72" s="7" t="inlineStr">
        <x:is>
          <x:t xml:space="preserve"/>
        </x:is>
      </x:c>
      <x:c r="K72" s="7">
        <x:f>IF(G72="","", TODAY()-G72)</x:f>
      </x:c>
      <x:c r="L72" s="7">
        <x:f>IF(OR(I72="",J72="Closed"),"", IF(TODAY()&gt;I72,"Yes","No"))</x:f>
      </x:c>
      <x:c r="M72" s="7" t="inlineStr">
        <x:is>
          <x:t xml:space="preserve"/>
        </x:is>
      </x:c>
      <x:c r="N72" s="6" t="inlineStr">
        <x:is>
          <x:t xml:space="preserve"/>
        </x:is>
      </x:c>
    </x:row>
    <x:row r="73">
      <x:c r="A73" s="7">
        <x:f>IF(E73="","", "ISS-"&amp;TEXT(ROW()-1,"00000"))</x:f>
      </x:c>
      <x:c r="B73" s="7" t="inlineStr">
        <x:is>
          <x:t xml:space="preserve"/>
        </x:is>
      </x:c>
      <x:c r="C73" s="7" t="inlineStr">
        <x:is>
          <x:t xml:space="preserve"/>
        </x:is>
      </x:c>
      <x:c r="D73" s="7" t="inlineStr">
        <x:is>
          <x:t xml:space="preserve"/>
        </x:is>
      </x:c>
      <x:c r="E73" s="6" t="inlineStr">
        <x:is>
          <x:t xml:space="preserve"/>
        </x:is>
      </x:c>
      <x:c r="F73" s="7" t="inlineStr">
        <x:is>
          <x:t xml:space="preserve"/>
        </x:is>
      </x:c>
      <x:c r="G73" s="8" t="inlineStr">
        <x:is>
          <x:t xml:space="preserve"/>
        </x:is>
      </x:c>
      <x:c r="H73" s="6" t="inlineStr">
        <x:is>
          <x:t xml:space="preserve"/>
        </x:is>
      </x:c>
      <x:c r="I73" s="8" t="inlineStr">
        <x:is>
          <x:t xml:space="preserve"/>
        </x:is>
      </x:c>
      <x:c r="J73" s="7" t="inlineStr">
        <x:is>
          <x:t xml:space="preserve"/>
        </x:is>
      </x:c>
      <x:c r="K73" s="7">
        <x:f>IF(G73="","", TODAY()-G73)</x:f>
      </x:c>
      <x:c r="L73" s="7">
        <x:f>IF(OR(I73="",J73="Closed"),"", IF(TODAY()&gt;I73,"Yes","No"))</x:f>
      </x:c>
      <x:c r="M73" s="7" t="inlineStr">
        <x:is>
          <x:t xml:space="preserve"/>
        </x:is>
      </x:c>
      <x:c r="N73" s="6" t="inlineStr">
        <x:is>
          <x:t xml:space="preserve"/>
        </x:is>
      </x:c>
    </x:row>
    <x:row r="74">
      <x:c r="A74" s="7">
        <x:f>IF(E74="","", "ISS-"&amp;TEXT(ROW()-1,"00000"))</x:f>
      </x:c>
      <x:c r="B74" s="7" t="inlineStr">
        <x:is>
          <x:t xml:space="preserve"/>
        </x:is>
      </x:c>
      <x:c r="C74" s="7" t="inlineStr">
        <x:is>
          <x:t xml:space="preserve"/>
        </x:is>
      </x:c>
      <x:c r="D74" s="7" t="inlineStr">
        <x:is>
          <x:t xml:space="preserve"/>
        </x:is>
      </x:c>
      <x:c r="E74" s="6" t="inlineStr">
        <x:is>
          <x:t xml:space="preserve"/>
        </x:is>
      </x:c>
      <x:c r="F74" s="7" t="inlineStr">
        <x:is>
          <x:t xml:space="preserve"/>
        </x:is>
      </x:c>
      <x:c r="G74" s="8" t="inlineStr">
        <x:is>
          <x:t xml:space="preserve"/>
        </x:is>
      </x:c>
      <x:c r="H74" s="6" t="inlineStr">
        <x:is>
          <x:t xml:space="preserve"/>
        </x:is>
      </x:c>
      <x:c r="I74" s="8" t="inlineStr">
        <x:is>
          <x:t xml:space="preserve"/>
        </x:is>
      </x:c>
      <x:c r="J74" s="7" t="inlineStr">
        <x:is>
          <x:t xml:space="preserve"/>
        </x:is>
      </x:c>
      <x:c r="K74" s="7">
        <x:f>IF(G74="","", TODAY()-G74)</x:f>
      </x:c>
      <x:c r="L74" s="7">
        <x:f>IF(OR(I74="",J74="Closed"),"", IF(TODAY()&gt;I74,"Yes","No"))</x:f>
      </x:c>
      <x:c r="M74" s="7" t="inlineStr">
        <x:is>
          <x:t xml:space="preserve"/>
        </x:is>
      </x:c>
      <x:c r="N74" s="6" t="inlineStr">
        <x:is>
          <x:t xml:space="preserve"/>
        </x:is>
      </x:c>
    </x:row>
    <x:row r="75">
      <x:c r="A75" s="7">
        <x:f>IF(E75="","", "ISS-"&amp;TEXT(ROW()-1,"00000"))</x:f>
      </x:c>
      <x:c r="B75" s="7" t="inlineStr">
        <x:is>
          <x:t xml:space="preserve"/>
        </x:is>
      </x:c>
      <x:c r="C75" s="7" t="inlineStr">
        <x:is>
          <x:t xml:space="preserve"/>
        </x:is>
      </x:c>
      <x:c r="D75" s="7" t="inlineStr">
        <x:is>
          <x:t xml:space="preserve"/>
        </x:is>
      </x:c>
      <x:c r="E75" s="6" t="inlineStr">
        <x:is>
          <x:t xml:space="preserve"/>
        </x:is>
      </x:c>
      <x:c r="F75" s="7" t="inlineStr">
        <x:is>
          <x:t xml:space="preserve"/>
        </x:is>
      </x:c>
      <x:c r="G75" s="8" t="inlineStr">
        <x:is>
          <x:t xml:space="preserve"/>
        </x:is>
      </x:c>
      <x:c r="H75" s="6" t="inlineStr">
        <x:is>
          <x:t xml:space="preserve"/>
        </x:is>
      </x:c>
      <x:c r="I75" s="8" t="inlineStr">
        <x:is>
          <x:t xml:space="preserve"/>
        </x:is>
      </x:c>
      <x:c r="J75" s="7" t="inlineStr">
        <x:is>
          <x:t xml:space="preserve"/>
        </x:is>
      </x:c>
      <x:c r="K75" s="7">
        <x:f>IF(G75="","", TODAY()-G75)</x:f>
      </x:c>
      <x:c r="L75" s="7">
        <x:f>IF(OR(I75="",J75="Closed"),"", IF(TODAY()&gt;I75,"Yes","No"))</x:f>
      </x:c>
      <x:c r="M75" s="7" t="inlineStr">
        <x:is>
          <x:t xml:space="preserve"/>
        </x:is>
      </x:c>
      <x:c r="N75" s="6" t="inlineStr">
        <x:is>
          <x:t xml:space="preserve"/>
        </x:is>
      </x:c>
    </x:row>
    <x:row r="76">
      <x:c r="A76" s="7">
        <x:f>IF(E76="","", "ISS-"&amp;TEXT(ROW()-1,"00000"))</x:f>
      </x:c>
      <x:c r="B76" s="7" t="inlineStr">
        <x:is>
          <x:t xml:space="preserve"/>
        </x:is>
      </x:c>
      <x:c r="C76" s="7" t="inlineStr">
        <x:is>
          <x:t xml:space="preserve"/>
        </x:is>
      </x:c>
      <x:c r="D76" s="7" t="inlineStr">
        <x:is>
          <x:t xml:space="preserve"/>
        </x:is>
      </x:c>
      <x:c r="E76" s="6" t="inlineStr">
        <x:is>
          <x:t xml:space="preserve"/>
        </x:is>
      </x:c>
      <x:c r="F76" s="7" t="inlineStr">
        <x:is>
          <x:t xml:space="preserve"/>
        </x:is>
      </x:c>
      <x:c r="G76" s="8" t="inlineStr">
        <x:is>
          <x:t xml:space="preserve"/>
        </x:is>
      </x:c>
      <x:c r="H76" s="6" t="inlineStr">
        <x:is>
          <x:t xml:space="preserve"/>
        </x:is>
      </x:c>
      <x:c r="I76" s="8" t="inlineStr">
        <x:is>
          <x:t xml:space="preserve"/>
        </x:is>
      </x:c>
      <x:c r="J76" s="7" t="inlineStr">
        <x:is>
          <x:t xml:space="preserve"/>
        </x:is>
      </x:c>
      <x:c r="K76" s="7">
        <x:f>IF(G76="","", TODAY()-G76)</x:f>
      </x:c>
      <x:c r="L76" s="7">
        <x:f>IF(OR(I76="",J76="Closed"),"", IF(TODAY()&gt;I76,"Yes","No"))</x:f>
      </x:c>
      <x:c r="M76" s="7" t="inlineStr">
        <x:is>
          <x:t xml:space="preserve"/>
        </x:is>
      </x:c>
      <x:c r="N76" s="6" t="inlineStr">
        <x:is>
          <x:t xml:space="preserve"/>
        </x:is>
      </x:c>
    </x:row>
    <x:row r="77">
      <x:c r="A77" s="7">
        <x:f>IF(E77="","", "ISS-"&amp;TEXT(ROW()-1,"00000"))</x:f>
      </x:c>
      <x:c r="B77" s="7" t="inlineStr">
        <x:is>
          <x:t xml:space="preserve"/>
        </x:is>
      </x:c>
      <x:c r="C77" s="7" t="inlineStr">
        <x:is>
          <x:t xml:space="preserve"/>
        </x:is>
      </x:c>
      <x:c r="D77" s="7" t="inlineStr">
        <x:is>
          <x:t xml:space="preserve"/>
        </x:is>
      </x:c>
      <x:c r="E77" s="6" t="inlineStr">
        <x:is>
          <x:t xml:space="preserve"/>
        </x:is>
      </x:c>
      <x:c r="F77" s="7" t="inlineStr">
        <x:is>
          <x:t xml:space="preserve"/>
        </x:is>
      </x:c>
      <x:c r="G77" s="8" t="inlineStr">
        <x:is>
          <x:t xml:space="preserve"/>
        </x:is>
      </x:c>
      <x:c r="H77" s="6" t="inlineStr">
        <x:is>
          <x:t xml:space="preserve"/>
        </x:is>
      </x:c>
      <x:c r="I77" s="8" t="inlineStr">
        <x:is>
          <x:t xml:space="preserve"/>
        </x:is>
      </x:c>
      <x:c r="J77" s="7" t="inlineStr">
        <x:is>
          <x:t xml:space="preserve"/>
        </x:is>
      </x:c>
      <x:c r="K77" s="7">
        <x:f>IF(G77="","", TODAY()-G77)</x:f>
      </x:c>
      <x:c r="L77" s="7">
        <x:f>IF(OR(I77="",J77="Closed"),"", IF(TODAY()&gt;I77,"Yes","No"))</x:f>
      </x:c>
      <x:c r="M77" s="7" t="inlineStr">
        <x:is>
          <x:t xml:space="preserve"/>
        </x:is>
      </x:c>
      <x:c r="N77" s="6" t="inlineStr">
        <x:is>
          <x:t xml:space="preserve"/>
        </x:is>
      </x:c>
    </x:row>
    <x:row r="78">
      <x:c r="A78" s="7">
        <x:f>IF(E78="","", "ISS-"&amp;TEXT(ROW()-1,"00000"))</x:f>
      </x:c>
      <x:c r="B78" s="7" t="inlineStr">
        <x:is>
          <x:t xml:space="preserve"/>
        </x:is>
      </x:c>
      <x:c r="C78" s="7" t="inlineStr">
        <x:is>
          <x:t xml:space="preserve"/>
        </x:is>
      </x:c>
      <x:c r="D78" s="7" t="inlineStr">
        <x:is>
          <x:t xml:space="preserve"/>
        </x:is>
      </x:c>
      <x:c r="E78" s="6" t="inlineStr">
        <x:is>
          <x:t xml:space="preserve"/>
        </x:is>
      </x:c>
      <x:c r="F78" s="7" t="inlineStr">
        <x:is>
          <x:t xml:space="preserve"/>
        </x:is>
      </x:c>
      <x:c r="G78" s="8" t="inlineStr">
        <x:is>
          <x:t xml:space="preserve"/>
        </x:is>
      </x:c>
      <x:c r="H78" s="6" t="inlineStr">
        <x:is>
          <x:t xml:space="preserve"/>
        </x:is>
      </x:c>
      <x:c r="I78" s="8" t="inlineStr">
        <x:is>
          <x:t xml:space="preserve"/>
        </x:is>
      </x:c>
      <x:c r="J78" s="7" t="inlineStr">
        <x:is>
          <x:t xml:space="preserve"/>
        </x:is>
      </x:c>
      <x:c r="K78" s="7">
        <x:f>IF(G78="","", TODAY()-G78)</x:f>
      </x:c>
      <x:c r="L78" s="7">
        <x:f>IF(OR(I78="",J78="Closed"),"", IF(TODAY()&gt;I78,"Yes","No"))</x:f>
      </x:c>
      <x:c r="M78" s="7" t="inlineStr">
        <x:is>
          <x:t xml:space="preserve"/>
        </x:is>
      </x:c>
      <x:c r="N78" s="6" t="inlineStr">
        <x:is>
          <x:t xml:space="preserve"/>
        </x:is>
      </x:c>
    </x:row>
    <x:row r="79">
      <x:c r="A79" s="7">
        <x:f>IF(E79="","", "ISS-"&amp;TEXT(ROW()-1,"00000"))</x:f>
      </x:c>
      <x:c r="B79" s="7" t="inlineStr">
        <x:is>
          <x:t xml:space="preserve"/>
        </x:is>
      </x:c>
      <x:c r="C79" s="7" t="inlineStr">
        <x:is>
          <x:t xml:space="preserve"/>
        </x:is>
      </x:c>
      <x:c r="D79" s="7" t="inlineStr">
        <x:is>
          <x:t xml:space="preserve"/>
        </x:is>
      </x:c>
      <x:c r="E79" s="6" t="inlineStr">
        <x:is>
          <x:t xml:space="preserve"/>
        </x:is>
      </x:c>
      <x:c r="F79" s="7" t="inlineStr">
        <x:is>
          <x:t xml:space="preserve"/>
        </x:is>
      </x:c>
      <x:c r="G79" s="8" t="inlineStr">
        <x:is>
          <x:t xml:space="preserve"/>
        </x:is>
      </x:c>
      <x:c r="H79" s="6" t="inlineStr">
        <x:is>
          <x:t xml:space="preserve"/>
        </x:is>
      </x:c>
      <x:c r="I79" s="8" t="inlineStr">
        <x:is>
          <x:t xml:space="preserve"/>
        </x:is>
      </x:c>
      <x:c r="J79" s="7" t="inlineStr">
        <x:is>
          <x:t xml:space="preserve"/>
        </x:is>
      </x:c>
      <x:c r="K79" s="7">
        <x:f>IF(G79="","", TODAY()-G79)</x:f>
      </x:c>
      <x:c r="L79" s="7">
        <x:f>IF(OR(I79="",J79="Closed"),"", IF(TODAY()&gt;I79,"Yes","No"))</x:f>
      </x:c>
      <x:c r="M79" s="7" t="inlineStr">
        <x:is>
          <x:t xml:space="preserve"/>
        </x:is>
      </x:c>
      <x:c r="N79" s="6" t="inlineStr">
        <x:is>
          <x:t xml:space="preserve"/>
        </x:is>
      </x:c>
    </x:row>
    <x:row r="80">
      <x:c r="A80" s="7">
        <x:f>IF(E80="","", "ISS-"&amp;TEXT(ROW()-1,"00000"))</x:f>
      </x:c>
      <x:c r="B80" s="7" t="inlineStr">
        <x:is>
          <x:t xml:space="preserve"/>
        </x:is>
      </x:c>
      <x:c r="C80" s="7" t="inlineStr">
        <x:is>
          <x:t xml:space="preserve"/>
        </x:is>
      </x:c>
      <x:c r="D80" s="7" t="inlineStr">
        <x:is>
          <x:t xml:space="preserve"/>
        </x:is>
      </x:c>
      <x:c r="E80" s="6" t="inlineStr">
        <x:is>
          <x:t xml:space="preserve"/>
        </x:is>
      </x:c>
      <x:c r="F80" s="7" t="inlineStr">
        <x:is>
          <x:t xml:space="preserve"/>
        </x:is>
      </x:c>
      <x:c r="G80" s="8" t="inlineStr">
        <x:is>
          <x:t xml:space="preserve"/>
        </x:is>
      </x:c>
      <x:c r="H80" s="6" t="inlineStr">
        <x:is>
          <x:t xml:space="preserve"/>
        </x:is>
      </x:c>
      <x:c r="I80" s="8" t="inlineStr">
        <x:is>
          <x:t xml:space="preserve"/>
        </x:is>
      </x:c>
      <x:c r="J80" s="7" t="inlineStr">
        <x:is>
          <x:t xml:space="preserve"/>
        </x:is>
      </x:c>
      <x:c r="K80" s="7">
        <x:f>IF(G80="","", TODAY()-G80)</x:f>
      </x:c>
      <x:c r="L80" s="7">
        <x:f>IF(OR(I80="",J80="Closed"),"", IF(TODAY()&gt;I80,"Yes","No"))</x:f>
      </x:c>
      <x:c r="M80" s="7" t="inlineStr">
        <x:is>
          <x:t xml:space="preserve"/>
        </x:is>
      </x:c>
      <x:c r="N80" s="6" t="inlineStr">
        <x:is>
          <x:t xml:space="preserve"/>
        </x:is>
      </x:c>
    </x:row>
    <x:row r="81">
      <x:c r="A81" s="7">
        <x:f>IF(E81="","", "ISS-"&amp;TEXT(ROW()-1,"00000"))</x:f>
      </x:c>
      <x:c r="B81" s="7" t="inlineStr">
        <x:is>
          <x:t xml:space="preserve"/>
        </x:is>
      </x:c>
      <x:c r="C81" s="7" t="inlineStr">
        <x:is>
          <x:t xml:space="preserve"/>
        </x:is>
      </x:c>
      <x:c r="D81" s="7" t="inlineStr">
        <x:is>
          <x:t xml:space="preserve"/>
        </x:is>
      </x:c>
      <x:c r="E81" s="6" t="inlineStr">
        <x:is>
          <x:t xml:space="preserve"/>
        </x:is>
      </x:c>
      <x:c r="F81" s="7" t="inlineStr">
        <x:is>
          <x:t xml:space="preserve"/>
        </x:is>
      </x:c>
      <x:c r="G81" s="8" t="inlineStr">
        <x:is>
          <x:t xml:space="preserve"/>
        </x:is>
      </x:c>
      <x:c r="H81" s="6" t="inlineStr">
        <x:is>
          <x:t xml:space="preserve"/>
        </x:is>
      </x:c>
      <x:c r="I81" s="8" t="inlineStr">
        <x:is>
          <x:t xml:space="preserve"/>
        </x:is>
      </x:c>
      <x:c r="J81" s="7" t="inlineStr">
        <x:is>
          <x:t xml:space="preserve"/>
        </x:is>
      </x:c>
      <x:c r="K81" s="7">
        <x:f>IF(G81="","", TODAY()-G81)</x:f>
      </x:c>
      <x:c r="L81" s="7">
        <x:f>IF(OR(I81="",J81="Closed"),"", IF(TODAY()&gt;I81,"Yes","No"))</x:f>
      </x:c>
      <x:c r="M81" s="7" t="inlineStr">
        <x:is>
          <x:t xml:space="preserve"/>
        </x:is>
      </x:c>
      <x:c r="N81" s="6" t="inlineStr">
        <x:is>
          <x:t xml:space="preserve"/>
        </x:is>
      </x:c>
    </x:row>
    <x:row r="82">
      <x:c r="A82" s="7">
        <x:f>IF(E82="","", "ISS-"&amp;TEXT(ROW()-1,"00000"))</x:f>
      </x:c>
      <x:c r="B82" s="7" t="inlineStr">
        <x:is>
          <x:t xml:space="preserve"/>
        </x:is>
      </x:c>
      <x:c r="C82" s="7" t="inlineStr">
        <x:is>
          <x:t xml:space="preserve"/>
        </x:is>
      </x:c>
      <x:c r="D82" s="7" t="inlineStr">
        <x:is>
          <x:t xml:space="preserve"/>
        </x:is>
      </x:c>
      <x:c r="E82" s="6" t="inlineStr">
        <x:is>
          <x:t xml:space="preserve"/>
        </x:is>
      </x:c>
      <x:c r="F82" s="7" t="inlineStr">
        <x:is>
          <x:t xml:space="preserve"/>
        </x:is>
      </x:c>
      <x:c r="G82" s="8" t="inlineStr">
        <x:is>
          <x:t xml:space="preserve"/>
        </x:is>
      </x:c>
      <x:c r="H82" s="6" t="inlineStr">
        <x:is>
          <x:t xml:space="preserve"/>
        </x:is>
      </x:c>
      <x:c r="I82" s="8" t="inlineStr">
        <x:is>
          <x:t xml:space="preserve"/>
        </x:is>
      </x:c>
      <x:c r="J82" s="7" t="inlineStr">
        <x:is>
          <x:t xml:space="preserve"/>
        </x:is>
      </x:c>
      <x:c r="K82" s="7">
        <x:f>IF(G82="","", TODAY()-G82)</x:f>
      </x:c>
      <x:c r="L82" s="7">
        <x:f>IF(OR(I82="",J82="Closed"),"", IF(TODAY()&gt;I82,"Yes","No"))</x:f>
      </x:c>
      <x:c r="M82" s="7" t="inlineStr">
        <x:is>
          <x:t xml:space="preserve"/>
        </x:is>
      </x:c>
      <x:c r="N82" s="6" t="inlineStr">
        <x:is>
          <x:t xml:space="preserve"/>
        </x:is>
      </x:c>
    </x:row>
    <x:row r="83">
      <x:c r="A83" s="7">
        <x:f>IF(E83="","", "ISS-"&amp;TEXT(ROW()-1,"00000"))</x:f>
      </x:c>
      <x:c r="B83" s="7" t="inlineStr">
        <x:is>
          <x:t xml:space="preserve"/>
        </x:is>
      </x:c>
      <x:c r="C83" s="7" t="inlineStr">
        <x:is>
          <x:t xml:space="preserve"/>
        </x:is>
      </x:c>
      <x:c r="D83" s="7" t="inlineStr">
        <x:is>
          <x:t xml:space="preserve"/>
        </x:is>
      </x:c>
      <x:c r="E83" s="6" t="inlineStr">
        <x:is>
          <x:t xml:space="preserve"/>
        </x:is>
      </x:c>
      <x:c r="F83" s="7" t="inlineStr">
        <x:is>
          <x:t xml:space="preserve"/>
        </x:is>
      </x:c>
      <x:c r="G83" s="8" t="inlineStr">
        <x:is>
          <x:t xml:space="preserve"/>
        </x:is>
      </x:c>
      <x:c r="H83" s="6" t="inlineStr">
        <x:is>
          <x:t xml:space="preserve"/>
        </x:is>
      </x:c>
      <x:c r="I83" s="8" t="inlineStr">
        <x:is>
          <x:t xml:space="preserve"/>
        </x:is>
      </x:c>
      <x:c r="J83" s="7" t="inlineStr">
        <x:is>
          <x:t xml:space="preserve"/>
        </x:is>
      </x:c>
      <x:c r="K83" s="7">
        <x:f>IF(G83="","", TODAY()-G83)</x:f>
      </x:c>
      <x:c r="L83" s="7">
        <x:f>IF(OR(I83="",J83="Closed"),"", IF(TODAY()&gt;I83,"Yes","No"))</x:f>
      </x:c>
      <x:c r="M83" s="7" t="inlineStr">
        <x:is>
          <x:t xml:space="preserve"/>
        </x:is>
      </x:c>
      <x:c r="N83" s="6" t="inlineStr">
        <x:is>
          <x:t xml:space="preserve"/>
        </x:is>
      </x:c>
    </x:row>
    <x:row r="84">
      <x:c r="A84" s="7">
        <x:f>IF(E84="","", "ISS-"&amp;TEXT(ROW()-1,"00000"))</x:f>
      </x:c>
      <x:c r="B84" s="7" t="inlineStr">
        <x:is>
          <x:t xml:space="preserve"/>
        </x:is>
      </x:c>
      <x:c r="C84" s="7" t="inlineStr">
        <x:is>
          <x:t xml:space="preserve"/>
        </x:is>
      </x:c>
      <x:c r="D84" s="7" t="inlineStr">
        <x:is>
          <x:t xml:space="preserve"/>
        </x:is>
      </x:c>
      <x:c r="E84" s="6" t="inlineStr">
        <x:is>
          <x:t xml:space="preserve"/>
        </x:is>
      </x:c>
      <x:c r="F84" s="7" t="inlineStr">
        <x:is>
          <x:t xml:space="preserve"/>
        </x:is>
      </x:c>
      <x:c r="G84" s="8" t="inlineStr">
        <x:is>
          <x:t xml:space="preserve"/>
        </x:is>
      </x:c>
      <x:c r="H84" s="6" t="inlineStr">
        <x:is>
          <x:t xml:space="preserve"/>
        </x:is>
      </x:c>
      <x:c r="I84" s="8" t="inlineStr">
        <x:is>
          <x:t xml:space="preserve"/>
        </x:is>
      </x:c>
      <x:c r="J84" s="7" t="inlineStr">
        <x:is>
          <x:t xml:space="preserve"/>
        </x:is>
      </x:c>
      <x:c r="K84" s="7">
        <x:f>IF(G84="","", TODAY()-G84)</x:f>
      </x:c>
      <x:c r="L84" s="7">
        <x:f>IF(OR(I84="",J84="Closed"),"", IF(TODAY()&gt;I84,"Yes","No"))</x:f>
      </x:c>
      <x:c r="M84" s="7" t="inlineStr">
        <x:is>
          <x:t xml:space="preserve"/>
        </x:is>
      </x:c>
      <x:c r="N84" s="6" t="inlineStr">
        <x:is>
          <x:t xml:space="preserve"/>
        </x:is>
      </x:c>
    </x:row>
    <x:row r="85">
      <x:c r="A85" s="7">
        <x:f>IF(E85="","", "ISS-"&amp;TEXT(ROW()-1,"00000"))</x:f>
      </x:c>
      <x:c r="B85" s="7" t="inlineStr">
        <x:is>
          <x:t xml:space="preserve"/>
        </x:is>
      </x:c>
      <x:c r="C85" s="7" t="inlineStr">
        <x:is>
          <x:t xml:space="preserve"/>
        </x:is>
      </x:c>
      <x:c r="D85" s="7" t="inlineStr">
        <x:is>
          <x:t xml:space="preserve"/>
        </x:is>
      </x:c>
      <x:c r="E85" s="6" t="inlineStr">
        <x:is>
          <x:t xml:space="preserve"/>
        </x:is>
      </x:c>
      <x:c r="F85" s="7" t="inlineStr">
        <x:is>
          <x:t xml:space="preserve"/>
        </x:is>
      </x:c>
      <x:c r="G85" s="8" t="inlineStr">
        <x:is>
          <x:t xml:space="preserve"/>
        </x:is>
      </x:c>
      <x:c r="H85" s="6" t="inlineStr">
        <x:is>
          <x:t xml:space="preserve"/>
        </x:is>
      </x:c>
      <x:c r="I85" s="8" t="inlineStr">
        <x:is>
          <x:t xml:space="preserve"/>
        </x:is>
      </x:c>
      <x:c r="J85" s="7" t="inlineStr">
        <x:is>
          <x:t xml:space="preserve"/>
        </x:is>
      </x:c>
      <x:c r="K85" s="7">
        <x:f>IF(G85="","", TODAY()-G85)</x:f>
      </x:c>
      <x:c r="L85" s="7">
        <x:f>IF(OR(I85="",J85="Closed"),"", IF(TODAY()&gt;I85,"Yes","No"))</x:f>
      </x:c>
      <x:c r="M85" s="7" t="inlineStr">
        <x:is>
          <x:t xml:space="preserve"/>
        </x:is>
      </x:c>
      <x:c r="N85" s="6" t="inlineStr">
        <x:is>
          <x:t xml:space="preserve"/>
        </x:is>
      </x:c>
    </x:row>
    <x:row r="86">
      <x:c r="A86" s="7">
        <x:f>IF(E86="","", "ISS-"&amp;TEXT(ROW()-1,"00000"))</x:f>
      </x:c>
      <x:c r="B86" s="7" t="inlineStr">
        <x:is>
          <x:t xml:space="preserve"/>
        </x:is>
      </x:c>
      <x:c r="C86" s="7" t="inlineStr">
        <x:is>
          <x:t xml:space="preserve"/>
        </x:is>
      </x:c>
      <x:c r="D86" s="7" t="inlineStr">
        <x:is>
          <x:t xml:space="preserve"/>
        </x:is>
      </x:c>
      <x:c r="E86" s="6" t="inlineStr">
        <x:is>
          <x:t xml:space="preserve"/>
        </x:is>
      </x:c>
      <x:c r="F86" s="7" t="inlineStr">
        <x:is>
          <x:t xml:space="preserve"/>
        </x:is>
      </x:c>
      <x:c r="G86" s="8" t="inlineStr">
        <x:is>
          <x:t xml:space="preserve"/>
        </x:is>
      </x:c>
      <x:c r="H86" s="6" t="inlineStr">
        <x:is>
          <x:t xml:space="preserve"/>
        </x:is>
      </x:c>
      <x:c r="I86" s="8" t="inlineStr">
        <x:is>
          <x:t xml:space="preserve"/>
        </x:is>
      </x:c>
      <x:c r="J86" s="7" t="inlineStr">
        <x:is>
          <x:t xml:space="preserve"/>
        </x:is>
      </x:c>
      <x:c r="K86" s="7">
        <x:f>IF(G86="","", TODAY()-G86)</x:f>
      </x:c>
      <x:c r="L86" s="7">
        <x:f>IF(OR(I86="",J86="Closed"),"", IF(TODAY()&gt;I86,"Yes","No"))</x:f>
      </x:c>
      <x:c r="M86" s="7" t="inlineStr">
        <x:is>
          <x:t xml:space="preserve"/>
        </x:is>
      </x:c>
      <x:c r="N86" s="6" t="inlineStr">
        <x:is>
          <x:t xml:space="preserve"/>
        </x:is>
      </x:c>
    </x:row>
    <x:row r="87">
      <x:c r="A87" s="7">
        <x:f>IF(E87="","", "ISS-"&amp;TEXT(ROW()-1,"00000"))</x:f>
      </x:c>
      <x:c r="B87" s="7" t="inlineStr">
        <x:is>
          <x:t xml:space="preserve"/>
        </x:is>
      </x:c>
      <x:c r="C87" s="7" t="inlineStr">
        <x:is>
          <x:t xml:space="preserve"/>
        </x:is>
      </x:c>
      <x:c r="D87" s="7" t="inlineStr">
        <x:is>
          <x:t xml:space="preserve"/>
        </x:is>
      </x:c>
      <x:c r="E87" s="6" t="inlineStr">
        <x:is>
          <x:t xml:space="preserve"/>
        </x:is>
      </x:c>
      <x:c r="F87" s="7" t="inlineStr">
        <x:is>
          <x:t xml:space="preserve"/>
        </x:is>
      </x:c>
      <x:c r="G87" s="8" t="inlineStr">
        <x:is>
          <x:t xml:space="preserve"/>
        </x:is>
      </x:c>
      <x:c r="H87" s="6" t="inlineStr">
        <x:is>
          <x:t xml:space="preserve"/>
        </x:is>
      </x:c>
      <x:c r="I87" s="8" t="inlineStr">
        <x:is>
          <x:t xml:space="preserve"/>
        </x:is>
      </x:c>
      <x:c r="J87" s="7" t="inlineStr">
        <x:is>
          <x:t xml:space="preserve"/>
        </x:is>
      </x:c>
      <x:c r="K87" s="7">
        <x:f>IF(G87="","", TODAY()-G87)</x:f>
      </x:c>
      <x:c r="L87" s="7">
        <x:f>IF(OR(I87="",J87="Closed"),"", IF(TODAY()&gt;I87,"Yes","No"))</x:f>
      </x:c>
      <x:c r="M87" s="7" t="inlineStr">
        <x:is>
          <x:t xml:space="preserve"/>
        </x:is>
      </x:c>
      <x:c r="N87" s="6" t="inlineStr">
        <x:is>
          <x:t xml:space="preserve"/>
        </x:is>
      </x:c>
    </x:row>
    <x:row r="88">
      <x:c r="A88" s="7">
        <x:f>IF(E88="","", "ISS-"&amp;TEXT(ROW()-1,"00000"))</x:f>
      </x:c>
      <x:c r="B88" s="7" t="inlineStr">
        <x:is>
          <x:t xml:space="preserve"/>
        </x:is>
      </x:c>
      <x:c r="C88" s="7" t="inlineStr">
        <x:is>
          <x:t xml:space="preserve"/>
        </x:is>
      </x:c>
      <x:c r="D88" s="7" t="inlineStr">
        <x:is>
          <x:t xml:space="preserve"/>
        </x:is>
      </x:c>
      <x:c r="E88" s="6" t="inlineStr">
        <x:is>
          <x:t xml:space="preserve"/>
        </x:is>
      </x:c>
      <x:c r="F88" s="7" t="inlineStr">
        <x:is>
          <x:t xml:space="preserve"/>
        </x:is>
      </x:c>
      <x:c r="G88" s="8" t="inlineStr">
        <x:is>
          <x:t xml:space="preserve"/>
        </x:is>
      </x:c>
      <x:c r="H88" s="6" t="inlineStr">
        <x:is>
          <x:t xml:space="preserve"/>
        </x:is>
      </x:c>
      <x:c r="I88" s="8" t="inlineStr">
        <x:is>
          <x:t xml:space="preserve"/>
        </x:is>
      </x:c>
      <x:c r="J88" s="7" t="inlineStr">
        <x:is>
          <x:t xml:space="preserve"/>
        </x:is>
      </x:c>
      <x:c r="K88" s="7">
        <x:f>IF(G88="","", TODAY()-G88)</x:f>
      </x:c>
      <x:c r="L88" s="7">
        <x:f>IF(OR(I88="",J88="Closed"),"", IF(TODAY()&gt;I88,"Yes","No"))</x:f>
      </x:c>
      <x:c r="M88" s="7" t="inlineStr">
        <x:is>
          <x:t xml:space="preserve"/>
        </x:is>
      </x:c>
      <x:c r="N88" s="6" t="inlineStr">
        <x:is>
          <x:t xml:space="preserve"/>
        </x:is>
      </x:c>
    </x:row>
    <x:row r="89">
      <x:c r="A89" s="7">
        <x:f>IF(E89="","", "ISS-"&amp;TEXT(ROW()-1,"00000"))</x:f>
      </x:c>
      <x:c r="B89" s="7" t="inlineStr">
        <x:is>
          <x:t xml:space="preserve"/>
        </x:is>
      </x:c>
      <x:c r="C89" s="7" t="inlineStr">
        <x:is>
          <x:t xml:space="preserve"/>
        </x:is>
      </x:c>
      <x:c r="D89" s="7" t="inlineStr">
        <x:is>
          <x:t xml:space="preserve"/>
        </x:is>
      </x:c>
      <x:c r="E89" s="6" t="inlineStr">
        <x:is>
          <x:t xml:space="preserve"/>
        </x:is>
      </x:c>
      <x:c r="F89" s="7" t="inlineStr">
        <x:is>
          <x:t xml:space="preserve"/>
        </x:is>
      </x:c>
      <x:c r="G89" s="8" t="inlineStr">
        <x:is>
          <x:t xml:space="preserve"/>
        </x:is>
      </x:c>
      <x:c r="H89" s="6" t="inlineStr">
        <x:is>
          <x:t xml:space="preserve"/>
        </x:is>
      </x:c>
      <x:c r="I89" s="8" t="inlineStr">
        <x:is>
          <x:t xml:space="preserve"/>
        </x:is>
      </x:c>
      <x:c r="J89" s="7" t="inlineStr">
        <x:is>
          <x:t xml:space="preserve"/>
        </x:is>
      </x:c>
      <x:c r="K89" s="7">
        <x:f>IF(G89="","", TODAY()-G89)</x:f>
      </x:c>
      <x:c r="L89" s="7">
        <x:f>IF(OR(I89="",J89="Closed"),"", IF(TODAY()&gt;I89,"Yes","No"))</x:f>
      </x:c>
      <x:c r="M89" s="7" t="inlineStr">
        <x:is>
          <x:t xml:space="preserve"/>
        </x:is>
      </x:c>
      <x:c r="N89" s="6" t="inlineStr">
        <x:is>
          <x:t xml:space="preserve"/>
        </x:is>
      </x:c>
    </x:row>
    <x:row r="90">
      <x:c r="A90" s="7">
        <x:f>IF(E90="","", "ISS-"&amp;TEXT(ROW()-1,"00000"))</x:f>
      </x:c>
      <x:c r="B90" s="7" t="inlineStr">
        <x:is>
          <x:t xml:space="preserve"/>
        </x:is>
      </x:c>
      <x:c r="C90" s="7" t="inlineStr">
        <x:is>
          <x:t xml:space="preserve"/>
        </x:is>
      </x:c>
      <x:c r="D90" s="7" t="inlineStr">
        <x:is>
          <x:t xml:space="preserve"/>
        </x:is>
      </x:c>
      <x:c r="E90" s="6" t="inlineStr">
        <x:is>
          <x:t xml:space="preserve"/>
        </x:is>
      </x:c>
      <x:c r="F90" s="7" t="inlineStr">
        <x:is>
          <x:t xml:space="preserve"/>
        </x:is>
      </x:c>
      <x:c r="G90" s="8" t="inlineStr">
        <x:is>
          <x:t xml:space="preserve"/>
        </x:is>
      </x:c>
      <x:c r="H90" s="6" t="inlineStr">
        <x:is>
          <x:t xml:space="preserve"/>
        </x:is>
      </x:c>
      <x:c r="I90" s="8" t="inlineStr">
        <x:is>
          <x:t xml:space="preserve"/>
        </x:is>
      </x:c>
      <x:c r="J90" s="7" t="inlineStr">
        <x:is>
          <x:t xml:space="preserve"/>
        </x:is>
      </x:c>
      <x:c r="K90" s="7">
        <x:f>IF(G90="","", TODAY()-G90)</x:f>
      </x:c>
      <x:c r="L90" s="7">
        <x:f>IF(OR(I90="",J90="Closed"),"", IF(TODAY()&gt;I90,"Yes","No"))</x:f>
      </x:c>
      <x:c r="M90" s="7" t="inlineStr">
        <x:is>
          <x:t xml:space="preserve"/>
        </x:is>
      </x:c>
      <x:c r="N90" s="6" t="inlineStr">
        <x:is>
          <x:t xml:space="preserve"/>
        </x:is>
      </x:c>
    </x:row>
    <x:row r="91">
      <x:c r="A91" s="7">
        <x:f>IF(E91="","", "ISS-"&amp;TEXT(ROW()-1,"00000"))</x:f>
      </x:c>
      <x:c r="B91" s="7" t="inlineStr">
        <x:is>
          <x:t xml:space="preserve"/>
        </x:is>
      </x:c>
      <x:c r="C91" s="7" t="inlineStr">
        <x:is>
          <x:t xml:space="preserve"/>
        </x:is>
      </x:c>
      <x:c r="D91" s="7" t="inlineStr">
        <x:is>
          <x:t xml:space="preserve"/>
        </x:is>
      </x:c>
      <x:c r="E91" s="6" t="inlineStr">
        <x:is>
          <x:t xml:space="preserve"/>
        </x:is>
      </x:c>
      <x:c r="F91" s="7" t="inlineStr">
        <x:is>
          <x:t xml:space="preserve"/>
        </x:is>
      </x:c>
      <x:c r="G91" s="8" t="inlineStr">
        <x:is>
          <x:t xml:space="preserve"/>
        </x:is>
      </x:c>
      <x:c r="H91" s="6" t="inlineStr">
        <x:is>
          <x:t xml:space="preserve"/>
        </x:is>
      </x:c>
      <x:c r="I91" s="8" t="inlineStr">
        <x:is>
          <x:t xml:space="preserve"/>
        </x:is>
      </x:c>
      <x:c r="J91" s="7" t="inlineStr">
        <x:is>
          <x:t xml:space="preserve"/>
        </x:is>
      </x:c>
      <x:c r="K91" s="7">
        <x:f>IF(G91="","", TODAY()-G91)</x:f>
      </x:c>
      <x:c r="L91" s="7">
        <x:f>IF(OR(I91="",J91="Closed"),"", IF(TODAY()&gt;I91,"Yes","No"))</x:f>
      </x:c>
      <x:c r="M91" s="7" t="inlineStr">
        <x:is>
          <x:t xml:space="preserve"/>
        </x:is>
      </x:c>
      <x:c r="N91" s="6" t="inlineStr">
        <x:is>
          <x:t xml:space="preserve"/>
        </x:is>
      </x:c>
    </x:row>
    <x:row r="92">
      <x:c r="A92" s="7">
        <x:f>IF(E92="","", "ISS-"&amp;TEXT(ROW()-1,"00000"))</x:f>
      </x:c>
      <x:c r="B92" s="7" t="inlineStr">
        <x:is>
          <x:t xml:space="preserve"/>
        </x:is>
      </x:c>
      <x:c r="C92" s="7" t="inlineStr">
        <x:is>
          <x:t xml:space="preserve"/>
        </x:is>
      </x:c>
      <x:c r="D92" s="7" t="inlineStr">
        <x:is>
          <x:t xml:space="preserve"/>
        </x:is>
      </x:c>
      <x:c r="E92" s="6" t="inlineStr">
        <x:is>
          <x:t xml:space="preserve"/>
        </x:is>
      </x:c>
      <x:c r="F92" s="7" t="inlineStr">
        <x:is>
          <x:t xml:space="preserve"/>
        </x:is>
      </x:c>
      <x:c r="G92" s="8" t="inlineStr">
        <x:is>
          <x:t xml:space="preserve"/>
        </x:is>
      </x:c>
      <x:c r="H92" s="6" t="inlineStr">
        <x:is>
          <x:t xml:space="preserve"/>
        </x:is>
      </x:c>
      <x:c r="I92" s="8" t="inlineStr">
        <x:is>
          <x:t xml:space="preserve"/>
        </x:is>
      </x:c>
      <x:c r="J92" s="7" t="inlineStr">
        <x:is>
          <x:t xml:space="preserve"/>
        </x:is>
      </x:c>
      <x:c r="K92" s="7">
        <x:f>IF(G92="","", TODAY()-G92)</x:f>
      </x:c>
      <x:c r="L92" s="7">
        <x:f>IF(OR(I92="",J92="Closed"),"", IF(TODAY()&gt;I92,"Yes","No"))</x:f>
      </x:c>
      <x:c r="M92" s="7" t="inlineStr">
        <x:is>
          <x:t xml:space="preserve"/>
        </x:is>
      </x:c>
      <x:c r="N92" s="6" t="inlineStr">
        <x:is>
          <x:t xml:space="preserve"/>
        </x:is>
      </x:c>
    </x:row>
    <x:row r="93">
      <x:c r="A93" s="7">
        <x:f>IF(E93="","", "ISS-"&amp;TEXT(ROW()-1,"00000"))</x:f>
      </x:c>
      <x:c r="B93" s="7" t="inlineStr">
        <x:is>
          <x:t xml:space="preserve"/>
        </x:is>
      </x:c>
      <x:c r="C93" s="7" t="inlineStr">
        <x:is>
          <x:t xml:space="preserve"/>
        </x:is>
      </x:c>
      <x:c r="D93" s="7" t="inlineStr">
        <x:is>
          <x:t xml:space="preserve"/>
        </x:is>
      </x:c>
      <x:c r="E93" s="6" t="inlineStr">
        <x:is>
          <x:t xml:space="preserve"/>
        </x:is>
      </x:c>
      <x:c r="F93" s="7" t="inlineStr">
        <x:is>
          <x:t xml:space="preserve"/>
        </x:is>
      </x:c>
      <x:c r="G93" s="8" t="inlineStr">
        <x:is>
          <x:t xml:space="preserve"/>
        </x:is>
      </x:c>
      <x:c r="H93" s="6" t="inlineStr">
        <x:is>
          <x:t xml:space="preserve"/>
        </x:is>
      </x:c>
      <x:c r="I93" s="8" t="inlineStr">
        <x:is>
          <x:t xml:space="preserve"/>
        </x:is>
      </x:c>
      <x:c r="J93" s="7" t="inlineStr">
        <x:is>
          <x:t xml:space="preserve"/>
        </x:is>
      </x:c>
      <x:c r="K93" s="7">
        <x:f>IF(G93="","", TODAY()-G93)</x:f>
      </x:c>
      <x:c r="L93" s="7">
        <x:f>IF(OR(I93="",J93="Closed"),"", IF(TODAY()&gt;I93,"Yes","No"))</x:f>
      </x:c>
      <x:c r="M93" s="7" t="inlineStr">
        <x:is>
          <x:t xml:space="preserve"/>
        </x:is>
      </x:c>
      <x:c r="N93" s="6" t="inlineStr">
        <x:is>
          <x:t xml:space="preserve"/>
        </x:is>
      </x:c>
    </x:row>
    <x:row r="94">
      <x:c r="A94" s="7">
        <x:f>IF(E94="","", "ISS-"&amp;TEXT(ROW()-1,"00000"))</x:f>
      </x:c>
      <x:c r="B94" s="7" t="inlineStr">
        <x:is>
          <x:t xml:space="preserve"/>
        </x:is>
      </x:c>
      <x:c r="C94" s="7" t="inlineStr">
        <x:is>
          <x:t xml:space="preserve"/>
        </x:is>
      </x:c>
      <x:c r="D94" s="7" t="inlineStr">
        <x:is>
          <x:t xml:space="preserve"/>
        </x:is>
      </x:c>
      <x:c r="E94" s="6" t="inlineStr">
        <x:is>
          <x:t xml:space="preserve"/>
        </x:is>
      </x:c>
      <x:c r="F94" s="7" t="inlineStr">
        <x:is>
          <x:t xml:space="preserve"/>
        </x:is>
      </x:c>
      <x:c r="G94" s="8" t="inlineStr">
        <x:is>
          <x:t xml:space="preserve"/>
        </x:is>
      </x:c>
      <x:c r="H94" s="6" t="inlineStr">
        <x:is>
          <x:t xml:space="preserve"/>
        </x:is>
      </x:c>
      <x:c r="I94" s="8" t="inlineStr">
        <x:is>
          <x:t xml:space="preserve"/>
        </x:is>
      </x:c>
      <x:c r="J94" s="7" t="inlineStr">
        <x:is>
          <x:t xml:space="preserve"/>
        </x:is>
      </x:c>
      <x:c r="K94" s="7">
        <x:f>IF(G94="","", TODAY()-G94)</x:f>
      </x:c>
      <x:c r="L94" s="7">
        <x:f>IF(OR(I94="",J94="Closed"),"", IF(TODAY()&gt;I94,"Yes","No"))</x:f>
      </x:c>
      <x:c r="M94" s="7" t="inlineStr">
        <x:is>
          <x:t xml:space="preserve"/>
        </x:is>
      </x:c>
      <x:c r="N94" s="6" t="inlineStr">
        <x:is>
          <x:t xml:space="preserve"/>
        </x:is>
      </x:c>
    </x:row>
    <x:row r="95">
      <x:c r="A95" s="7">
        <x:f>IF(E95="","", "ISS-"&amp;TEXT(ROW()-1,"00000"))</x:f>
      </x:c>
      <x:c r="B95" s="7" t="inlineStr">
        <x:is>
          <x:t xml:space="preserve"/>
        </x:is>
      </x:c>
      <x:c r="C95" s="7" t="inlineStr">
        <x:is>
          <x:t xml:space="preserve"/>
        </x:is>
      </x:c>
      <x:c r="D95" s="7" t="inlineStr">
        <x:is>
          <x:t xml:space="preserve"/>
        </x:is>
      </x:c>
      <x:c r="E95" s="6" t="inlineStr">
        <x:is>
          <x:t xml:space="preserve"/>
        </x:is>
      </x:c>
      <x:c r="F95" s="7" t="inlineStr">
        <x:is>
          <x:t xml:space="preserve"/>
        </x:is>
      </x:c>
      <x:c r="G95" s="8" t="inlineStr">
        <x:is>
          <x:t xml:space="preserve"/>
        </x:is>
      </x:c>
      <x:c r="H95" s="6" t="inlineStr">
        <x:is>
          <x:t xml:space="preserve"/>
        </x:is>
      </x:c>
      <x:c r="I95" s="8" t="inlineStr">
        <x:is>
          <x:t xml:space="preserve"/>
        </x:is>
      </x:c>
      <x:c r="J95" s="7" t="inlineStr">
        <x:is>
          <x:t xml:space="preserve"/>
        </x:is>
      </x:c>
      <x:c r="K95" s="7">
        <x:f>IF(G95="","", TODAY()-G95)</x:f>
      </x:c>
      <x:c r="L95" s="7">
        <x:f>IF(OR(I95="",J95="Closed"),"", IF(TODAY()&gt;I95,"Yes","No"))</x:f>
      </x:c>
      <x:c r="M95" s="7" t="inlineStr">
        <x:is>
          <x:t xml:space="preserve"/>
        </x:is>
      </x:c>
      <x:c r="N95" s="6" t="inlineStr">
        <x:is>
          <x:t xml:space="preserve"/>
        </x:is>
      </x:c>
    </x:row>
    <x:row r="96">
      <x:c r="A96" s="7">
        <x:f>IF(E96="","", "ISS-"&amp;TEXT(ROW()-1,"00000"))</x:f>
      </x:c>
      <x:c r="B96" s="7" t="inlineStr">
        <x:is>
          <x:t xml:space="preserve"/>
        </x:is>
      </x:c>
      <x:c r="C96" s="7" t="inlineStr">
        <x:is>
          <x:t xml:space="preserve"/>
        </x:is>
      </x:c>
      <x:c r="D96" s="7" t="inlineStr">
        <x:is>
          <x:t xml:space="preserve"/>
        </x:is>
      </x:c>
      <x:c r="E96" s="6" t="inlineStr">
        <x:is>
          <x:t xml:space="preserve"/>
        </x:is>
      </x:c>
      <x:c r="F96" s="7" t="inlineStr">
        <x:is>
          <x:t xml:space="preserve"/>
        </x:is>
      </x:c>
      <x:c r="G96" s="8" t="inlineStr">
        <x:is>
          <x:t xml:space="preserve"/>
        </x:is>
      </x:c>
      <x:c r="H96" s="6" t="inlineStr">
        <x:is>
          <x:t xml:space="preserve"/>
        </x:is>
      </x:c>
      <x:c r="I96" s="8" t="inlineStr">
        <x:is>
          <x:t xml:space="preserve"/>
        </x:is>
      </x:c>
      <x:c r="J96" s="7" t="inlineStr">
        <x:is>
          <x:t xml:space="preserve"/>
        </x:is>
      </x:c>
      <x:c r="K96" s="7">
        <x:f>IF(G96="","", TODAY()-G96)</x:f>
      </x:c>
      <x:c r="L96" s="7">
        <x:f>IF(OR(I96="",J96="Closed"),"", IF(TODAY()&gt;I96,"Yes","No"))</x:f>
      </x:c>
      <x:c r="M96" s="7" t="inlineStr">
        <x:is>
          <x:t xml:space="preserve"/>
        </x:is>
      </x:c>
      <x:c r="N96" s="6" t="inlineStr">
        <x:is>
          <x:t xml:space="preserve"/>
        </x:is>
      </x:c>
    </x:row>
    <x:row r="97">
      <x:c r="A97" s="7">
        <x:f>IF(E97="","", "ISS-"&amp;TEXT(ROW()-1,"00000"))</x:f>
      </x:c>
      <x:c r="B97" s="7" t="inlineStr">
        <x:is>
          <x:t xml:space="preserve"/>
        </x:is>
      </x:c>
      <x:c r="C97" s="7" t="inlineStr">
        <x:is>
          <x:t xml:space="preserve"/>
        </x:is>
      </x:c>
      <x:c r="D97" s="7" t="inlineStr">
        <x:is>
          <x:t xml:space="preserve"/>
        </x:is>
      </x:c>
      <x:c r="E97" s="6" t="inlineStr">
        <x:is>
          <x:t xml:space="preserve"/>
        </x:is>
      </x:c>
      <x:c r="F97" s="7" t="inlineStr">
        <x:is>
          <x:t xml:space="preserve"/>
        </x:is>
      </x:c>
      <x:c r="G97" s="8" t="inlineStr">
        <x:is>
          <x:t xml:space="preserve"/>
        </x:is>
      </x:c>
      <x:c r="H97" s="6" t="inlineStr">
        <x:is>
          <x:t xml:space="preserve"/>
        </x:is>
      </x:c>
      <x:c r="I97" s="8" t="inlineStr">
        <x:is>
          <x:t xml:space="preserve"/>
        </x:is>
      </x:c>
      <x:c r="J97" s="7" t="inlineStr">
        <x:is>
          <x:t xml:space="preserve"/>
        </x:is>
      </x:c>
      <x:c r="K97" s="7">
        <x:f>IF(G97="","", TODAY()-G97)</x:f>
      </x:c>
      <x:c r="L97" s="7">
        <x:f>IF(OR(I97="",J97="Closed"),"", IF(TODAY()&gt;I97,"Yes","No"))</x:f>
      </x:c>
      <x:c r="M97" s="7" t="inlineStr">
        <x:is>
          <x:t xml:space="preserve"/>
        </x:is>
      </x:c>
      <x:c r="N97" s="6" t="inlineStr">
        <x:is>
          <x:t xml:space="preserve"/>
        </x:is>
      </x:c>
    </x:row>
    <x:row r="98">
      <x:c r="A98" s="7">
        <x:f>IF(E98="","", "ISS-"&amp;TEXT(ROW()-1,"00000"))</x:f>
      </x:c>
      <x:c r="B98" s="7" t="inlineStr">
        <x:is>
          <x:t xml:space="preserve"/>
        </x:is>
      </x:c>
      <x:c r="C98" s="7" t="inlineStr">
        <x:is>
          <x:t xml:space="preserve"/>
        </x:is>
      </x:c>
      <x:c r="D98" s="7" t="inlineStr">
        <x:is>
          <x:t xml:space="preserve"/>
        </x:is>
      </x:c>
      <x:c r="E98" s="6" t="inlineStr">
        <x:is>
          <x:t xml:space="preserve"/>
        </x:is>
      </x:c>
      <x:c r="F98" s="7" t="inlineStr">
        <x:is>
          <x:t xml:space="preserve"/>
        </x:is>
      </x:c>
      <x:c r="G98" s="8" t="inlineStr">
        <x:is>
          <x:t xml:space="preserve"/>
        </x:is>
      </x:c>
      <x:c r="H98" s="6" t="inlineStr">
        <x:is>
          <x:t xml:space="preserve"/>
        </x:is>
      </x:c>
      <x:c r="I98" s="8" t="inlineStr">
        <x:is>
          <x:t xml:space="preserve"/>
        </x:is>
      </x:c>
      <x:c r="J98" s="7" t="inlineStr">
        <x:is>
          <x:t xml:space="preserve"/>
        </x:is>
      </x:c>
      <x:c r="K98" s="7">
        <x:f>IF(G98="","", TODAY()-G98)</x:f>
      </x:c>
      <x:c r="L98" s="7">
        <x:f>IF(OR(I98="",J98="Closed"),"", IF(TODAY()&gt;I98,"Yes","No"))</x:f>
      </x:c>
      <x:c r="M98" s="7" t="inlineStr">
        <x:is>
          <x:t xml:space="preserve"/>
        </x:is>
      </x:c>
      <x:c r="N98" s="6" t="inlineStr">
        <x:is>
          <x:t xml:space="preserve"/>
        </x:is>
      </x:c>
    </x:row>
    <x:row r="99">
      <x:c r="A99" s="7">
        <x:f>IF(E99="","", "ISS-"&amp;TEXT(ROW()-1,"00000"))</x:f>
      </x:c>
      <x:c r="B99" s="7" t="inlineStr">
        <x:is>
          <x:t xml:space="preserve"/>
        </x:is>
      </x:c>
      <x:c r="C99" s="7" t="inlineStr">
        <x:is>
          <x:t xml:space="preserve"/>
        </x:is>
      </x:c>
      <x:c r="D99" s="7" t="inlineStr">
        <x:is>
          <x:t xml:space="preserve"/>
        </x:is>
      </x:c>
      <x:c r="E99" s="6" t="inlineStr">
        <x:is>
          <x:t xml:space="preserve"/>
        </x:is>
      </x:c>
      <x:c r="F99" s="7" t="inlineStr">
        <x:is>
          <x:t xml:space="preserve"/>
        </x:is>
      </x:c>
      <x:c r="G99" s="8" t="inlineStr">
        <x:is>
          <x:t xml:space="preserve"/>
        </x:is>
      </x:c>
      <x:c r="H99" s="6" t="inlineStr">
        <x:is>
          <x:t xml:space="preserve"/>
        </x:is>
      </x:c>
      <x:c r="I99" s="8" t="inlineStr">
        <x:is>
          <x:t xml:space="preserve"/>
        </x:is>
      </x:c>
      <x:c r="J99" s="7" t="inlineStr">
        <x:is>
          <x:t xml:space="preserve"/>
        </x:is>
      </x:c>
      <x:c r="K99" s="7">
        <x:f>IF(G99="","", TODAY()-G99)</x:f>
      </x:c>
      <x:c r="L99" s="7">
        <x:f>IF(OR(I99="",J99="Closed"),"", IF(TODAY()&gt;I99,"Yes","No"))</x:f>
      </x:c>
      <x:c r="M99" s="7" t="inlineStr">
        <x:is>
          <x:t xml:space="preserve"/>
        </x:is>
      </x:c>
      <x:c r="N99" s="6" t="inlineStr">
        <x:is>
          <x:t xml:space="preserve"/>
        </x:is>
      </x:c>
    </x:row>
    <x:row r="100">
      <x:c r="A100" s="7">
        <x:f>IF(E100="","", "ISS-"&amp;TEXT(ROW()-1,"00000"))</x:f>
      </x:c>
      <x:c r="B100" s="7" t="inlineStr">
        <x:is>
          <x:t xml:space="preserve"/>
        </x:is>
      </x:c>
      <x:c r="C100" s="7" t="inlineStr">
        <x:is>
          <x:t xml:space="preserve"/>
        </x:is>
      </x:c>
      <x:c r="D100" s="7" t="inlineStr">
        <x:is>
          <x:t xml:space="preserve"/>
        </x:is>
      </x:c>
      <x:c r="E100" s="6" t="inlineStr">
        <x:is>
          <x:t xml:space="preserve"/>
        </x:is>
      </x:c>
      <x:c r="F100" s="7" t="inlineStr">
        <x:is>
          <x:t xml:space="preserve"/>
        </x:is>
      </x:c>
      <x:c r="G100" s="8" t="inlineStr">
        <x:is>
          <x:t xml:space="preserve"/>
        </x:is>
      </x:c>
      <x:c r="H100" s="6" t="inlineStr">
        <x:is>
          <x:t xml:space="preserve"/>
        </x:is>
      </x:c>
      <x:c r="I100" s="8" t="inlineStr">
        <x:is>
          <x:t xml:space="preserve"/>
        </x:is>
      </x:c>
      <x:c r="J100" s="7" t="inlineStr">
        <x:is>
          <x:t xml:space="preserve"/>
        </x:is>
      </x:c>
      <x:c r="K100" s="7">
        <x:f>IF(G100="","", TODAY()-G100)</x:f>
      </x:c>
      <x:c r="L100" s="7">
        <x:f>IF(OR(I100="",J100="Closed"),"", IF(TODAY()&gt;I100,"Yes","No"))</x:f>
      </x:c>
      <x:c r="M100" s="7" t="inlineStr">
        <x:is>
          <x:t xml:space="preserve"/>
        </x:is>
      </x:c>
      <x:c r="N100" s="6" t="inlineStr">
        <x:is>
          <x:t xml:space="preserve"/>
        </x:is>
      </x:c>
    </x:row>
    <x:row r="101">
      <x:c r="A101" s="7">
        <x:f>IF(E101="","", "ISS-"&amp;TEXT(ROW()-1,"00000"))</x:f>
      </x:c>
      <x:c r="B101" s="7" t="inlineStr">
        <x:is>
          <x:t xml:space="preserve"/>
        </x:is>
      </x:c>
      <x:c r="C101" s="7" t="inlineStr">
        <x:is>
          <x:t xml:space="preserve"/>
        </x:is>
      </x:c>
      <x:c r="D101" s="7" t="inlineStr">
        <x:is>
          <x:t xml:space="preserve"/>
        </x:is>
      </x:c>
      <x:c r="E101" s="6" t="inlineStr">
        <x:is>
          <x:t xml:space="preserve"/>
        </x:is>
      </x:c>
      <x:c r="F101" s="7" t="inlineStr">
        <x:is>
          <x:t xml:space="preserve"/>
        </x:is>
      </x:c>
      <x:c r="G101" s="8" t="inlineStr">
        <x:is>
          <x:t xml:space="preserve"/>
        </x:is>
      </x:c>
      <x:c r="H101" s="6" t="inlineStr">
        <x:is>
          <x:t xml:space="preserve"/>
        </x:is>
      </x:c>
      <x:c r="I101" s="8" t="inlineStr">
        <x:is>
          <x:t xml:space="preserve"/>
        </x:is>
      </x:c>
      <x:c r="J101" s="7" t="inlineStr">
        <x:is>
          <x:t xml:space="preserve"/>
        </x:is>
      </x:c>
      <x:c r="K101" s="7">
        <x:f>IF(G101="","", TODAY()-G101)</x:f>
      </x:c>
      <x:c r="L101" s="7">
        <x:f>IF(OR(I101="",J101="Closed"),"", IF(TODAY()&gt;I101,"Yes","No"))</x:f>
      </x:c>
      <x:c r="M101" s="7" t="inlineStr">
        <x:is>
          <x:t xml:space="preserve"/>
        </x:is>
      </x:c>
      <x:c r="N101" s="6" t="inlineStr">
        <x:is>
          <x:t xml:space="preserve"/>
        </x:is>
      </x:c>
    </x:row>
    <x:row r="102">
      <x:c r="A102" s="7">
        <x:f>IF(E102="","", "ISS-"&amp;TEXT(ROW()-1,"00000"))</x:f>
      </x:c>
      <x:c r="B102" s="7" t="inlineStr">
        <x:is>
          <x:t xml:space="preserve"/>
        </x:is>
      </x:c>
      <x:c r="C102" s="7" t="inlineStr">
        <x:is>
          <x:t xml:space="preserve"/>
        </x:is>
      </x:c>
      <x:c r="D102" s="7" t="inlineStr">
        <x:is>
          <x:t xml:space="preserve"/>
        </x:is>
      </x:c>
      <x:c r="E102" s="6" t="inlineStr">
        <x:is>
          <x:t xml:space="preserve"/>
        </x:is>
      </x:c>
      <x:c r="F102" s="7" t="inlineStr">
        <x:is>
          <x:t xml:space="preserve"/>
        </x:is>
      </x:c>
      <x:c r="G102" s="8" t="inlineStr">
        <x:is>
          <x:t xml:space="preserve"/>
        </x:is>
      </x:c>
      <x:c r="H102" s="6" t="inlineStr">
        <x:is>
          <x:t xml:space="preserve"/>
        </x:is>
      </x:c>
      <x:c r="I102" s="8" t="inlineStr">
        <x:is>
          <x:t xml:space="preserve"/>
        </x:is>
      </x:c>
      <x:c r="J102" s="7" t="inlineStr">
        <x:is>
          <x:t xml:space="preserve"/>
        </x:is>
      </x:c>
      <x:c r="K102" s="7">
        <x:f>IF(G102="","", TODAY()-G102)</x:f>
      </x:c>
      <x:c r="L102" s="7">
        <x:f>IF(OR(I102="",J102="Closed"),"", IF(TODAY()&gt;I102,"Yes","No"))</x:f>
      </x:c>
      <x:c r="M102" s="7" t="inlineStr">
        <x:is>
          <x:t xml:space="preserve"/>
        </x:is>
      </x:c>
      <x:c r="N102" s="6" t="inlineStr">
        <x:is>
          <x:t xml:space="preserve"/>
        </x:is>
      </x:c>
    </x:row>
    <x:row r="103">
      <x:c r="A103" s="7">
        <x:f>IF(E103="","", "ISS-"&amp;TEXT(ROW()-1,"00000"))</x:f>
      </x:c>
      <x:c r="B103" s="7" t="inlineStr">
        <x:is>
          <x:t xml:space="preserve"/>
        </x:is>
      </x:c>
      <x:c r="C103" s="7" t="inlineStr">
        <x:is>
          <x:t xml:space="preserve"/>
        </x:is>
      </x:c>
      <x:c r="D103" s="7" t="inlineStr">
        <x:is>
          <x:t xml:space="preserve"/>
        </x:is>
      </x:c>
      <x:c r="E103" s="6" t="inlineStr">
        <x:is>
          <x:t xml:space="preserve"/>
        </x:is>
      </x:c>
      <x:c r="F103" s="7" t="inlineStr">
        <x:is>
          <x:t xml:space="preserve"/>
        </x:is>
      </x:c>
      <x:c r="G103" s="8" t="inlineStr">
        <x:is>
          <x:t xml:space="preserve"/>
        </x:is>
      </x:c>
      <x:c r="H103" s="6" t="inlineStr">
        <x:is>
          <x:t xml:space="preserve"/>
        </x:is>
      </x:c>
      <x:c r="I103" s="8" t="inlineStr">
        <x:is>
          <x:t xml:space="preserve"/>
        </x:is>
      </x:c>
      <x:c r="J103" s="7" t="inlineStr">
        <x:is>
          <x:t xml:space="preserve"/>
        </x:is>
      </x:c>
      <x:c r="K103" s="7">
        <x:f>IF(G103="","", TODAY()-G103)</x:f>
      </x:c>
      <x:c r="L103" s="7">
        <x:f>IF(OR(I103="",J103="Closed"),"", IF(TODAY()&gt;I103,"Yes","No"))</x:f>
      </x:c>
      <x:c r="M103" s="7" t="inlineStr">
        <x:is>
          <x:t xml:space="preserve"/>
        </x:is>
      </x:c>
      <x:c r="N103" s="6" t="inlineStr">
        <x:is>
          <x:t xml:space="preserve"/>
        </x:is>
      </x:c>
    </x:row>
    <x:row r="104">
      <x:c r="A104" s="7">
        <x:f>IF(E104="","", "ISS-"&amp;TEXT(ROW()-1,"00000"))</x:f>
      </x:c>
      <x:c r="B104" s="7" t="inlineStr">
        <x:is>
          <x:t xml:space="preserve"/>
        </x:is>
      </x:c>
      <x:c r="C104" s="7" t="inlineStr">
        <x:is>
          <x:t xml:space="preserve"/>
        </x:is>
      </x:c>
      <x:c r="D104" s="7" t="inlineStr">
        <x:is>
          <x:t xml:space="preserve"/>
        </x:is>
      </x:c>
      <x:c r="E104" s="6" t="inlineStr">
        <x:is>
          <x:t xml:space="preserve"/>
        </x:is>
      </x:c>
      <x:c r="F104" s="7" t="inlineStr">
        <x:is>
          <x:t xml:space="preserve"/>
        </x:is>
      </x:c>
      <x:c r="G104" s="8" t="inlineStr">
        <x:is>
          <x:t xml:space="preserve"/>
        </x:is>
      </x:c>
      <x:c r="H104" s="6" t="inlineStr">
        <x:is>
          <x:t xml:space="preserve"/>
        </x:is>
      </x:c>
      <x:c r="I104" s="8" t="inlineStr">
        <x:is>
          <x:t xml:space="preserve"/>
        </x:is>
      </x:c>
      <x:c r="J104" s="7" t="inlineStr">
        <x:is>
          <x:t xml:space="preserve"/>
        </x:is>
      </x:c>
      <x:c r="K104" s="7">
        <x:f>IF(G104="","", TODAY()-G104)</x:f>
      </x:c>
      <x:c r="L104" s="7">
        <x:f>IF(OR(I104="",J104="Closed"),"", IF(TODAY()&gt;I104,"Yes","No"))</x:f>
      </x:c>
      <x:c r="M104" s="7" t="inlineStr">
        <x:is>
          <x:t xml:space="preserve"/>
        </x:is>
      </x:c>
      <x:c r="N104" s="6" t="inlineStr">
        <x:is>
          <x:t xml:space="preserve"/>
        </x:is>
      </x:c>
    </x:row>
    <x:row r="105">
      <x:c r="A105" s="7">
        <x:f>IF(E105="","", "ISS-"&amp;TEXT(ROW()-1,"00000"))</x:f>
      </x:c>
      <x:c r="B105" s="7" t="inlineStr">
        <x:is>
          <x:t xml:space="preserve"/>
        </x:is>
      </x:c>
      <x:c r="C105" s="7" t="inlineStr">
        <x:is>
          <x:t xml:space="preserve"/>
        </x:is>
      </x:c>
      <x:c r="D105" s="7" t="inlineStr">
        <x:is>
          <x:t xml:space="preserve"/>
        </x:is>
      </x:c>
      <x:c r="E105" s="6" t="inlineStr">
        <x:is>
          <x:t xml:space="preserve"/>
        </x:is>
      </x:c>
      <x:c r="F105" s="7" t="inlineStr">
        <x:is>
          <x:t xml:space="preserve"/>
        </x:is>
      </x:c>
      <x:c r="G105" s="8" t="inlineStr">
        <x:is>
          <x:t xml:space="preserve"/>
        </x:is>
      </x:c>
      <x:c r="H105" s="6" t="inlineStr">
        <x:is>
          <x:t xml:space="preserve"/>
        </x:is>
      </x:c>
      <x:c r="I105" s="8" t="inlineStr">
        <x:is>
          <x:t xml:space="preserve"/>
        </x:is>
      </x:c>
      <x:c r="J105" s="7" t="inlineStr">
        <x:is>
          <x:t xml:space="preserve"/>
        </x:is>
      </x:c>
      <x:c r="K105" s="7">
        <x:f>IF(G105="","", TODAY()-G105)</x:f>
      </x:c>
      <x:c r="L105" s="7">
        <x:f>IF(OR(I105="",J105="Closed"),"", IF(TODAY()&gt;I105,"Yes","No"))</x:f>
      </x:c>
      <x:c r="M105" s="7" t="inlineStr">
        <x:is>
          <x:t xml:space="preserve"/>
        </x:is>
      </x:c>
      <x:c r="N105" s="6" t="inlineStr">
        <x:is>
          <x:t xml:space="preserve"/>
        </x:is>
      </x:c>
    </x:row>
    <x:row r="106">
      <x:c r="A106" s="7">
        <x:f>IF(E106="","", "ISS-"&amp;TEXT(ROW()-1,"00000"))</x:f>
      </x:c>
      <x:c r="B106" s="7" t="inlineStr">
        <x:is>
          <x:t xml:space="preserve"/>
        </x:is>
      </x:c>
      <x:c r="C106" s="7" t="inlineStr">
        <x:is>
          <x:t xml:space="preserve"/>
        </x:is>
      </x:c>
      <x:c r="D106" s="7" t="inlineStr">
        <x:is>
          <x:t xml:space="preserve"/>
        </x:is>
      </x:c>
      <x:c r="E106" s="6" t="inlineStr">
        <x:is>
          <x:t xml:space="preserve"/>
        </x:is>
      </x:c>
      <x:c r="F106" s="7" t="inlineStr">
        <x:is>
          <x:t xml:space="preserve"/>
        </x:is>
      </x:c>
      <x:c r="G106" s="8" t="inlineStr">
        <x:is>
          <x:t xml:space="preserve"/>
        </x:is>
      </x:c>
      <x:c r="H106" s="6" t="inlineStr">
        <x:is>
          <x:t xml:space="preserve"/>
        </x:is>
      </x:c>
      <x:c r="I106" s="8" t="inlineStr">
        <x:is>
          <x:t xml:space="preserve"/>
        </x:is>
      </x:c>
      <x:c r="J106" s="7" t="inlineStr">
        <x:is>
          <x:t xml:space="preserve"/>
        </x:is>
      </x:c>
      <x:c r="K106" s="7">
        <x:f>IF(G106="","", TODAY()-G106)</x:f>
      </x:c>
      <x:c r="L106" s="7">
        <x:f>IF(OR(I106="",J106="Closed"),"", IF(TODAY()&gt;I106,"Yes","No"))</x:f>
      </x:c>
      <x:c r="M106" s="7" t="inlineStr">
        <x:is>
          <x:t xml:space="preserve"/>
        </x:is>
      </x:c>
      <x:c r="N106" s="6" t="inlineStr">
        <x:is>
          <x:t xml:space="preserve"/>
        </x:is>
      </x:c>
    </x:row>
    <x:row r="107">
      <x:c r="A107" s="7">
        <x:f>IF(E107="","", "ISS-"&amp;TEXT(ROW()-1,"00000"))</x:f>
      </x:c>
      <x:c r="B107" s="7" t="inlineStr">
        <x:is>
          <x:t xml:space="preserve"/>
        </x:is>
      </x:c>
      <x:c r="C107" s="7" t="inlineStr">
        <x:is>
          <x:t xml:space="preserve"/>
        </x:is>
      </x:c>
      <x:c r="D107" s="7" t="inlineStr">
        <x:is>
          <x:t xml:space="preserve"/>
        </x:is>
      </x:c>
      <x:c r="E107" s="6" t="inlineStr">
        <x:is>
          <x:t xml:space="preserve"/>
        </x:is>
      </x:c>
      <x:c r="F107" s="7" t="inlineStr">
        <x:is>
          <x:t xml:space="preserve"/>
        </x:is>
      </x:c>
      <x:c r="G107" s="8" t="inlineStr">
        <x:is>
          <x:t xml:space="preserve"/>
        </x:is>
      </x:c>
      <x:c r="H107" s="6" t="inlineStr">
        <x:is>
          <x:t xml:space="preserve"/>
        </x:is>
      </x:c>
      <x:c r="I107" s="8" t="inlineStr">
        <x:is>
          <x:t xml:space="preserve"/>
        </x:is>
      </x:c>
      <x:c r="J107" s="7" t="inlineStr">
        <x:is>
          <x:t xml:space="preserve"/>
        </x:is>
      </x:c>
      <x:c r="K107" s="7">
        <x:f>IF(G107="","", TODAY()-G107)</x:f>
      </x:c>
      <x:c r="L107" s="7">
        <x:f>IF(OR(I107="",J107="Closed"),"", IF(TODAY()&gt;I107,"Yes","No"))</x:f>
      </x:c>
      <x:c r="M107" s="7" t="inlineStr">
        <x:is>
          <x:t xml:space="preserve"/>
        </x:is>
      </x:c>
      <x:c r="N107" s="6" t="inlineStr">
        <x:is>
          <x:t xml:space="preserve"/>
        </x:is>
      </x:c>
    </x:row>
    <x:row r="108">
      <x:c r="A108" s="7">
        <x:f>IF(E108="","", "ISS-"&amp;TEXT(ROW()-1,"00000"))</x:f>
      </x:c>
      <x:c r="B108" s="7" t="inlineStr">
        <x:is>
          <x:t xml:space="preserve"/>
        </x:is>
      </x:c>
      <x:c r="C108" s="7" t="inlineStr">
        <x:is>
          <x:t xml:space="preserve"/>
        </x:is>
      </x:c>
      <x:c r="D108" s="7" t="inlineStr">
        <x:is>
          <x:t xml:space="preserve"/>
        </x:is>
      </x:c>
      <x:c r="E108" s="6" t="inlineStr">
        <x:is>
          <x:t xml:space="preserve"/>
        </x:is>
      </x:c>
      <x:c r="F108" s="7" t="inlineStr">
        <x:is>
          <x:t xml:space="preserve"/>
        </x:is>
      </x:c>
      <x:c r="G108" s="8" t="inlineStr">
        <x:is>
          <x:t xml:space="preserve"/>
        </x:is>
      </x:c>
      <x:c r="H108" s="6" t="inlineStr">
        <x:is>
          <x:t xml:space="preserve"/>
        </x:is>
      </x:c>
      <x:c r="I108" s="8" t="inlineStr">
        <x:is>
          <x:t xml:space="preserve"/>
        </x:is>
      </x:c>
      <x:c r="J108" s="7" t="inlineStr">
        <x:is>
          <x:t xml:space="preserve"/>
        </x:is>
      </x:c>
      <x:c r="K108" s="7">
        <x:f>IF(G108="","", TODAY()-G108)</x:f>
      </x:c>
      <x:c r="L108" s="7">
        <x:f>IF(OR(I108="",J108="Closed"),"", IF(TODAY()&gt;I108,"Yes","No"))</x:f>
      </x:c>
      <x:c r="M108" s="7" t="inlineStr">
        <x:is>
          <x:t xml:space="preserve"/>
        </x:is>
      </x:c>
      <x:c r="N108" s="6" t="inlineStr">
        <x:is>
          <x:t xml:space="preserve"/>
        </x:is>
      </x:c>
    </x:row>
    <x:row r="109">
      <x:c r="A109" s="7">
        <x:f>IF(E109="","", "ISS-"&amp;TEXT(ROW()-1,"00000"))</x:f>
      </x:c>
      <x:c r="B109" s="7" t="inlineStr">
        <x:is>
          <x:t xml:space="preserve"/>
        </x:is>
      </x:c>
      <x:c r="C109" s="7" t="inlineStr">
        <x:is>
          <x:t xml:space="preserve"/>
        </x:is>
      </x:c>
      <x:c r="D109" s="7" t="inlineStr">
        <x:is>
          <x:t xml:space="preserve"/>
        </x:is>
      </x:c>
      <x:c r="E109" s="6" t="inlineStr">
        <x:is>
          <x:t xml:space="preserve"/>
        </x:is>
      </x:c>
      <x:c r="F109" s="7" t="inlineStr">
        <x:is>
          <x:t xml:space="preserve"/>
        </x:is>
      </x:c>
      <x:c r="G109" s="8" t="inlineStr">
        <x:is>
          <x:t xml:space="preserve"/>
        </x:is>
      </x:c>
      <x:c r="H109" s="6" t="inlineStr">
        <x:is>
          <x:t xml:space="preserve"/>
        </x:is>
      </x:c>
      <x:c r="I109" s="8" t="inlineStr">
        <x:is>
          <x:t xml:space="preserve"/>
        </x:is>
      </x:c>
      <x:c r="J109" s="7" t="inlineStr">
        <x:is>
          <x:t xml:space="preserve"/>
        </x:is>
      </x:c>
      <x:c r="K109" s="7">
        <x:f>IF(G109="","", TODAY()-G109)</x:f>
      </x:c>
      <x:c r="L109" s="7">
        <x:f>IF(OR(I109="",J109="Closed"),"", IF(TODAY()&gt;I109,"Yes","No"))</x:f>
      </x:c>
      <x:c r="M109" s="7" t="inlineStr">
        <x:is>
          <x:t xml:space="preserve"/>
        </x:is>
      </x:c>
      <x:c r="N109" s="6" t="inlineStr">
        <x:is>
          <x:t xml:space="preserve"/>
        </x:is>
      </x:c>
    </x:row>
    <x:row r="110">
      <x:c r="A110" s="7">
        <x:f>IF(E110="","", "ISS-"&amp;TEXT(ROW()-1,"00000"))</x:f>
      </x:c>
      <x:c r="B110" s="7" t="inlineStr">
        <x:is>
          <x:t xml:space="preserve"/>
        </x:is>
      </x:c>
      <x:c r="C110" s="7" t="inlineStr">
        <x:is>
          <x:t xml:space="preserve"/>
        </x:is>
      </x:c>
      <x:c r="D110" s="7" t="inlineStr">
        <x:is>
          <x:t xml:space="preserve"/>
        </x:is>
      </x:c>
      <x:c r="E110" s="6" t="inlineStr">
        <x:is>
          <x:t xml:space="preserve"/>
        </x:is>
      </x:c>
      <x:c r="F110" s="7" t="inlineStr">
        <x:is>
          <x:t xml:space="preserve"/>
        </x:is>
      </x:c>
      <x:c r="G110" s="8" t="inlineStr">
        <x:is>
          <x:t xml:space="preserve"/>
        </x:is>
      </x:c>
      <x:c r="H110" s="6" t="inlineStr">
        <x:is>
          <x:t xml:space="preserve"/>
        </x:is>
      </x:c>
      <x:c r="I110" s="8" t="inlineStr">
        <x:is>
          <x:t xml:space="preserve"/>
        </x:is>
      </x:c>
      <x:c r="J110" s="7" t="inlineStr">
        <x:is>
          <x:t xml:space="preserve"/>
        </x:is>
      </x:c>
      <x:c r="K110" s="7">
        <x:f>IF(G110="","", TODAY()-G110)</x:f>
      </x:c>
      <x:c r="L110" s="7">
        <x:f>IF(OR(I110="",J110="Closed"),"", IF(TODAY()&gt;I110,"Yes","No"))</x:f>
      </x:c>
      <x:c r="M110" s="7" t="inlineStr">
        <x:is>
          <x:t xml:space="preserve"/>
        </x:is>
      </x:c>
      <x:c r="N110" s="6" t="inlineStr">
        <x:is>
          <x:t xml:space="preserve"/>
        </x:is>
      </x:c>
    </x:row>
    <x:row r="111">
      <x:c r="A111" s="7">
        <x:f>IF(E111="","", "ISS-"&amp;TEXT(ROW()-1,"00000"))</x:f>
      </x:c>
      <x:c r="B111" s="7" t="inlineStr">
        <x:is>
          <x:t xml:space="preserve"/>
        </x:is>
      </x:c>
      <x:c r="C111" s="7" t="inlineStr">
        <x:is>
          <x:t xml:space="preserve"/>
        </x:is>
      </x:c>
      <x:c r="D111" s="7" t="inlineStr">
        <x:is>
          <x:t xml:space="preserve"/>
        </x:is>
      </x:c>
      <x:c r="E111" s="6" t="inlineStr">
        <x:is>
          <x:t xml:space="preserve"/>
        </x:is>
      </x:c>
      <x:c r="F111" s="7" t="inlineStr">
        <x:is>
          <x:t xml:space="preserve"/>
        </x:is>
      </x:c>
      <x:c r="G111" s="8" t="inlineStr">
        <x:is>
          <x:t xml:space="preserve"/>
        </x:is>
      </x:c>
      <x:c r="H111" s="6" t="inlineStr">
        <x:is>
          <x:t xml:space="preserve"/>
        </x:is>
      </x:c>
      <x:c r="I111" s="8" t="inlineStr">
        <x:is>
          <x:t xml:space="preserve"/>
        </x:is>
      </x:c>
      <x:c r="J111" s="7" t="inlineStr">
        <x:is>
          <x:t xml:space="preserve"/>
        </x:is>
      </x:c>
      <x:c r="K111" s="7">
        <x:f>IF(G111="","", TODAY()-G111)</x:f>
      </x:c>
      <x:c r="L111" s="7">
        <x:f>IF(OR(I111="",J111="Closed"),"", IF(TODAY()&gt;I111,"Yes","No"))</x:f>
      </x:c>
      <x:c r="M111" s="7" t="inlineStr">
        <x:is>
          <x:t xml:space="preserve"/>
        </x:is>
      </x:c>
      <x:c r="N111" s="6" t="inlineStr">
        <x:is>
          <x:t xml:space="preserve"/>
        </x:is>
      </x:c>
    </x:row>
    <x:row r="112">
      <x:c r="A112" s="7">
        <x:f>IF(E112="","", "ISS-"&amp;TEXT(ROW()-1,"00000"))</x:f>
      </x:c>
      <x:c r="B112" s="7" t="inlineStr">
        <x:is>
          <x:t xml:space="preserve"/>
        </x:is>
      </x:c>
      <x:c r="C112" s="7" t="inlineStr">
        <x:is>
          <x:t xml:space="preserve"/>
        </x:is>
      </x:c>
      <x:c r="D112" s="7" t="inlineStr">
        <x:is>
          <x:t xml:space="preserve"/>
        </x:is>
      </x:c>
      <x:c r="E112" s="6" t="inlineStr">
        <x:is>
          <x:t xml:space="preserve"/>
        </x:is>
      </x:c>
      <x:c r="F112" s="7" t="inlineStr">
        <x:is>
          <x:t xml:space="preserve"/>
        </x:is>
      </x:c>
      <x:c r="G112" s="8" t="inlineStr">
        <x:is>
          <x:t xml:space="preserve"/>
        </x:is>
      </x:c>
      <x:c r="H112" s="6" t="inlineStr">
        <x:is>
          <x:t xml:space="preserve"/>
        </x:is>
      </x:c>
      <x:c r="I112" s="8" t="inlineStr">
        <x:is>
          <x:t xml:space="preserve"/>
        </x:is>
      </x:c>
      <x:c r="J112" s="7" t="inlineStr">
        <x:is>
          <x:t xml:space="preserve"/>
        </x:is>
      </x:c>
      <x:c r="K112" s="7">
        <x:f>IF(G112="","", TODAY()-G112)</x:f>
      </x:c>
      <x:c r="L112" s="7">
        <x:f>IF(OR(I112="",J112="Closed"),"", IF(TODAY()&gt;I112,"Yes","No"))</x:f>
      </x:c>
      <x:c r="M112" s="7" t="inlineStr">
        <x:is>
          <x:t xml:space="preserve"/>
        </x:is>
      </x:c>
      <x:c r="N112" s="6" t="inlineStr">
        <x:is>
          <x:t xml:space="preserve"/>
        </x:is>
      </x:c>
    </x:row>
    <x:row r="113">
      <x:c r="A113" s="7">
        <x:f>IF(E113="","", "ISS-"&amp;TEXT(ROW()-1,"00000"))</x:f>
      </x:c>
      <x:c r="B113" s="7" t="inlineStr">
        <x:is>
          <x:t xml:space="preserve"/>
        </x:is>
      </x:c>
      <x:c r="C113" s="7" t="inlineStr">
        <x:is>
          <x:t xml:space="preserve"/>
        </x:is>
      </x:c>
      <x:c r="D113" s="7" t="inlineStr">
        <x:is>
          <x:t xml:space="preserve"/>
        </x:is>
      </x:c>
      <x:c r="E113" s="6" t="inlineStr">
        <x:is>
          <x:t xml:space="preserve"/>
        </x:is>
      </x:c>
      <x:c r="F113" s="7" t="inlineStr">
        <x:is>
          <x:t xml:space="preserve"/>
        </x:is>
      </x:c>
      <x:c r="G113" s="8" t="inlineStr">
        <x:is>
          <x:t xml:space="preserve"/>
        </x:is>
      </x:c>
      <x:c r="H113" s="6" t="inlineStr">
        <x:is>
          <x:t xml:space="preserve"/>
        </x:is>
      </x:c>
      <x:c r="I113" s="8" t="inlineStr">
        <x:is>
          <x:t xml:space="preserve"/>
        </x:is>
      </x:c>
      <x:c r="J113" s="7" t="inlineStr">
        <x:is>
          <x:t xml:space="preserve"/>
        </x:is>
      </x:c>
      <x:c r="K113" s="7">
        <x:f>IF(G113="","", TODAY()-G113)</x:f>
      </x:c>
      <x:c r="L113" s="7">
        <x:f>IF(OR(I113="",J113="Closed"),"", IF(TODAY()&gt;I113,"Yes","No"))</x:f>
      </x:c>
      <x:c r="M113" s="7" t="inlineStr">
        <x:is>
          <x:t xml:space="preserve"/>
        </x:is>
      </x:c>
      <x:c r="N113" s="6" t="inlineStr">
        <x:is>
          <x:t xml:space="preserve"/>
        </x:is>
      </x:c>
    </x:row>
    <x:row r="114">
      <x:c r="A114" s="7">
        <x:f>IF(E114="","", "ISS-"&amp;TEXT(ROW()-1,"00000"))</x:f>
      </x:c>
      <x:c r="B114" s="7" t="inlineStr">
        <x:is>
          <x:t xml:space="preserve"/>
        </x:is>
      </x:c>
      <x:c r="C114" s="7" t="inlineStr">
        <x:is>
          <x:t xml:space="preserve"/>
        </x:is>
      </x:c>
      <x:c r="D114" s="7" t="inlineStr">
        <x:is>
          <x:t xml:space="preserve"/>
        </x:is>
      </x:c>
      <x:c r="E114" s="6" t="inlineStr">
        <x:is>
          <x:t xml:space="preserve"/>
        </x:is>
      </x:c>
      <x:c r="F114" s="7" t="inlineStr">
        <x:is>
          <x:t xml:space="preserve"/>
        </x:is>
      </x:c>
      <x:c r="G114" s="8" t="inlineStr">
        <x:is>
          <x:t xml:space="preserve"/>
        </x:is>
      </x:c>
      <x:c r="H114" s="6" t="inlineStr">
        <x:is>
          <x:t xml:space="preserve"/>
        </x:is>
      </x:c>
      <x:c r="I114" s="8" t="inlineStr">
        <x:is>
          <x:t xml:space="preserve"/>
        </x:is>
      </x:c>
      <x:c r="J114" s="7" t="inlineStr">
        <x:is>
          <x:t xml:space="preserve"/>
        </x:is>
      </x:c>
      <x:c r="K114" s="7">
        <x:f>IF(G114="","", TODAY()-G114)</x:f>
      </x:c>
      <x:c r="L114" s="7">
        <x:f>IF(OR(I114="",J114="Closed"),"", IF(TODAY()&gt;I114,"Yes","No"))</x:f>
      </x:c>
      <x:c r="M114" s="7" t="inlineStr">
        <x:is>
          <x:t xml:space="preserve"/>
        </x:is>
      </x:c>
      <x:c r="N114" s="6" t="inlineStr">
        <x:is>
          <x:t xml:space="preserve"/>
        </x:is>
      </x:c>
    </x:row>
    <x:row r="115">
      <x:c r="A115" s="7">
        <x:f>IF(E115="","", "ISS-"&amp;TEXT(ROW()-1,"00000"))</x:f>
      </x:c>
      <x:c r="B115" s="7" t="inlineStr">
        <x:is>
          <x:t xml:space="preserve"/>
        </x:is>
      </x:c>
      <x:c r="C115" s="7" t="inlineStr">
        <x:is>
          <x:t xml:space="preserve"/>
        </x:is>
      </x:c>
      <x:c r="D115" s="7" t="inlineStr">
        <x:is>
          <x:t xml:space="preserve"/>
        </x:is>
      </x:c>
      <x:c r="E115" s="6" t="inlineStr">
        <x:is>
          <x:t xml:space="preserve"/>
        </x:is>
      </x:c>
      <x:c r="F115" s="7" t="inlineStr">
        <x:is>
          <x:t xml:space="preserve"/>
        </x:is>
      </x:c>
      <x:c r="G115" s="8" t="inlineStr">
        <x:is>
          <x:t xml:space="preserve"/>
        </x:is>
      </x:c>
      <x:c r="H115" s="6" t="inlineStr">
        <x:is>
          <x:t xml:space="preserve"/>
        </x:is>
      </x:c>
      <x:c r="I115" s="8" t="inlineStr">
        <x:is>
          <x:t xml:space="preserve"/>
        </x:is>
      </x:c>
      <x:c r="J115" s="7" t="inlineStr">
        <x:is>
          <x:t xml:space="preserve"/>
        </x:is>
      </x:c>
      <x:c r="K115" s="7">
        <x:f>IF(G115="","", TODAY()-G115)</x:f>
      </x:c>
      <x:c r="L115" s="7">
        <x:f>IF(OR(I115="",J115="Closed"),"", IF(TODAY()&gt;I115,"Yes","No"))</x:f>
      </x:c>
      <x:c r="M115" s="7" t="inlineStr">
        <x:is>
          <x:t xml:space="preserve"/>
        </x:is>
      </x:c>
      <x:c r="N115" s="6" t="inlineStr">
        <x:is>
          <x:t xml:space="preserve"/>
        </x:is>
      </x:c>
    </x:row>
    <x:row r="116">
      <x:c r="A116" s="7">
        <x:f>IF(E116="","", "ISS-"&amp;TEXT(ROW()-1,"00000"))</x:f>
      </x:c>
      <x:c r="B116" s="7" t="inlineStr">
        <x:is>
          <x:t xml:space="preserve"/>
        </x:is>
      </x:c>
      <x:c r="C116" s="7" t="inlineStr">
        <x:is>
          <x:t xml:space="preserve"/>
        </x:is>
      </x:c>
      <x:c r="D116" s="7" t="inlineStr">
        <x:is>
          <x:t xml:space="preserve"/>
        </x:is>
      </x:c>
      <x:c r="E116" s="6" t="inlineStr">
        <x:is>
          <x:t xml:space="preserve"/>
        </x:is>
      </x:c>
      <x:c r="F116" s="7" t="inlineStr">
        <x:is>
          <x:t xml:space="preserve"/>
        </x:is>
      </x:c>
      <x:c r="G116" s="8" t="inlineStr">
        <x:is>
          <x:t xml:space="preserve"/>
        </x:is>
      </x:c>
      <x:c r="H116" s="6" t="inlineStr">
        <x:is>
          <x:t xml:space="preserve"/>
        </x:is>
      </x:c>
      <x:c r="I116" s="8" t="inlineStr">
        <x:is>
          <x:t xml:space="preserve"/>
        </x:is>
      </x:c>
      <x:c r="J116" s="7" t="inlineStr">
        <x:is>
          <x:t xml:space="preserve"/>
        </x:is>
      </x:c>
      <x:c r="K116" s="7">
        <x:f>IF(G116="","", TODAY()-G116)</x:f>
      </x:c>
      <x:c r="L116" s="7">
        <x:f>IF(OR(I116="",J116="Closed"),"", IF(TODAY()&gt;I116,"Yes","No"))</x:f>
      </x:c>
      <x:c r="M116" s="7" t="inlineStr">
        <x:is>
          <x:t xml:space="preserve"/>
        </x:is>
      </x:c>
      <x:c r="N116" s="6" t="inlineStr">
        <x:is>
          <x:t xml:space="preserve"/>
        </x:is>
      </x:c>
    </x:row>
    <x:row r="117">
      <x:c r="A117" s="7">
        <x:f>IF(E117="","", "ISS-"&amp;TEXT(ROW()-1,"00000"))</x:f>
      </x:c>
      <x:c r="B117" s="7" t="inlineStr">
        <x:is>
          <x:t xml:space="preserve"/>
        </x:is>
      </x:c>
      <x:c r="C117" s="7" t="inlineStr">
        <x:is>
          <x:t xml:space="preserve"/>
        </x:is>
      </x:c>
      <x:c r="D117" s="7" t="inlineStr">
        <x:is>
          <x:t xml:space="preserve"/>
        </x:is>
      </x:c>
      <x:c r="E117" s="6" t="inlineStr">
        <x:is>
          <x:t xml:space="preserve"/>
        </x:is>
      </x:c>
      <x:c r="F117" s="7" t="inlineStr">
        <x:is>
          <x:t xml:space="preserve"/>
        </x:is>
      </x:c>
      <x:c r="G117" s="8" t="inlineStr">
        <x:is>
          <x:t xml:space="preserve"/>
        </x:is>
      </x:c>
      <x:c r="H117" s="6" t="inlineStr">
        <x:is>
          <x:t xml:space="preserve"/>
        </x:is>
      </x:c>
      <x:c r="I117" s="8" t="inlineStr">
        <x:is>
          <x:t xml:space="preserve"/>
        </x:is>
      </x:c>
      <x:c r="J117" s="7" t="inlineStr">
        <x:is>
          <x:t xml:space="preserve"/>
        </x:is>
      </x:c>
      <x:c r="K117" s="7">
        <x:f>IF(G117="","", TODAY()-G117)</x:f>
      </x:c>
      <x:c r="L117" s="7">
        <x:f>IF(OR(I117="",J117="Closed"),"", IF(TODAY()&gt;I117,"Yes","No"))</x:f>
      </x:c>
      <x:c r="M117" s="7" t="inlineStr">
        <x:is>
          <x:t xml:space="preserve"/>
        </x:is>
      </x:c>
      <x:c r="N117" s="6" t="inlineStr">
        <x:is>
          <x:t xml:space="preserve"/>
        </x:is>
      </x:c>
    </x:row>
    <x:row r="118">
      <x:c r="A118" s="7">
        <x:f>IF(E118="","", "ISS-"&amp;TEXT(ROW()-1,"00000"))</x:f>
      </x:c>
      <x:c r="B118" s="7" t="inlineStr">
        <x:is>
          <x:t xml:space="preserve"/>
        </x:is>
      </x:c>
      <x:c r="C118" s="7" t="inlineStr">
        <x:is>
          <x:t xml:space="preserve"/>
        </x:is>
      </x:c>
      <x:c r="D118" s="7" t="inlineStr">
        <x:is>
          <x:t xml:space="preserve"/>
        </x:is>
      </x:c>
      <x:c r="E118" s="6" t="inlineStr">
        <x:is>
          <x:t xml:space="preserve"/>
        </x:is>
      </x:c>
      <x:c r="F118" s="7" t="inlineStr">
        <x:is>
          <x:t xml:space="preserve"/>
        </x:is>
      </x:c>
      <x:c r="G118" s="8" t="inlineStr">
        <x:is>
          <x:t xml:space="preserve"/>
        </x:is>
      </x:c>
      <x:c r="H118" s="6" t="inlineStr">
        <x:is>
          <x:t xml:space="preserve"/>
        </x:is>
      </x:c>
      <x:c r="I118" s="8" t="inlineStr">
        <x:is>
          <x:t xml:space="preserve"/>
        </x:is>
      </x:c>
      <x:c r="J118" s="7" t="inlineStr">
        <x:is>
          <x:t xml:space="preserve"/>
        </x:is>
      </x:c>
      <x:c r="K118" s="7">
        <x:f>IF(G118="","", TODAY()-G118)</x:f>
      </x:c>
      <x:c r="L118" s="7">
        <x:f>IF(OR(I118="",J118="Closed"),"", IF(TODAY()&gt;I118,"Yes","No"))</x:f>
      </x:c>
      <x:c r="M118" s="7" t="inlineStr">
        <x:is>
          <x:t xml:space="preserve"/>
        </x:is>
      </x:c>
      <x:c r="N118" s="6" t="inlineStr">
        <x:is>
          <x:t xml:space="preserve"/>
        </x:is>
      </x:c>
    </x:row>
    <x:row r="119">
      <x:c r="A119" s="7">
        <x:f>IF(E119="","", "ISS-"&amp;TEXT(ROW()-1,"00000"))</x:f>
      </x:c>
      <x:c r="B119" s="7" t="inlineStr">
        <x:is>
          <x:t xml:space="preserve"/>
        </x:is>
      </x:c>
      <x:c r="C119" s="7" t="inlineStr">
        <x:is>
          <x:t xml:space="preserve"/>
        </x:is>
      </x:c>
      <x:c r="D119" s="7" t="inlineStr">
        <x:is>
          <x:t xml:space="preserve"/>
        </x:is>
      </x:c>
      <x:c r="E119" s="6" t="inlineStr">
        <x:is>
          <x:t xml:space="preserve"/>
        </x:is>
      </x:c>
      <x:c r="F119" s="7" t="inlineStr">
        <x:is>
          <x:t xml:space="preserve"/>
        </x:is>
      </x:c>
      <x:c r="G119" s="8" t="inlineStr">
        <x:is>
          <x:t xml:space="preserve"/>
        </x:is>
      </x:c>
      <x:c r="H119" s="6" t="inlineStr">
        <x:is>
          <x:t xml:space="preserve"/>
        </x:is>
      </x:c>
      <x:c r="I119" s="8" t="inlineStr">
        <x:is>
          <x:t xml:space="preserve"/>
        </x:is>
      </x:c>
      <x:c r="J119" s="7" t="inlineStr">
        <x:is>
          <x:t xml:space="preserve"/>
        </x:is>
      </x:c>
      <x:c r="K119" s="7">
        <x:f>IF(G119="","", TODAY()-G119)</x:f>
      </x:c>
      <x:c r="L119" s="7">
        <x:f>IF(OR(I119="",J119="Closed"),"", IF(TODAY()&gt;I119,"Yes","No"))</x:f>
      </x:c>
      <x:c r="M119" s="7" t="inlineStr">
        <x:is>
          <x:t xml:space="preserve"/>
        </x:is>
      </x:c>
      <x:c r="N119" s="6" t="inlineStr">
        <x:is>
          <x:t xml:space="preserve"/>
        </x:is>
      </x:c>
    </x:row>
    <x:row r="120">
      <x:c r="A120" s="7">
        <x:f>IF(E120="","", "ISS-"&amp;TEXT(ROW()-1,"00000"))</x:f>
      </x:c>
      <x:c r="B120" s="7" t="inlineStr">
        <x:is>
          <x:t xml:space="preserve"/>
        </x:is>
      </x:c>
      <x:c r="C120" s="7" t="inlineStr">
        <x:is>
          <x:t xml:space="preserve"/>
        </x:is>
      </x:c>
      <x:c r="D120" s="7" t="inlineStr">
        <x:is>
          <x:t xml:space="preserve"/>
        </x:is>
      </x:c>
      <x:c r="E120" s="6" t="inlineStr">
        <x:is>
          <x:t xml:space="preserve"/>
        </x:is>
      </x:c>
      <x:c r="F120" s="7" t="inlineStr">
        <x:is>
          <x:t xml:space="preserve"/>
        </x:is>
      </x:c>
      <x:c r="G120" s="8" t="inlineStr">
        <x:is>
          <x:t xml:space="preserve"/>
        </x:is>
      </x:c>
      <x:c r="H120" s="6" t="inlineStr">
        <x:is>
          <x:t xml:space="preserve"/>
        </x:is>
      </x:c>
      <x:c r="I120" s="8" t="inlineStr">
        <x:is>
          <x:t xml:space="preserve"/>
        </x:is>
      </x:c>
      <x:c r="J120" s="7" t="inlineStr">
        <x:is>
          <x:t xml:space="preserve"/>
        </x:is>
      </x:c>
      <x:c r="K120" s="7">
        <x:f>IF(G120="","", TODAY()-G120)</x:f>
      </x:c>
      <x:c r="L120" s="7">
        <x:f>IF(OR(I120="",J120="Closed"),"", IF(TODAY()&gt;I120,"Yes","No"))</x:f>
      </x:c>
      <x:c r="M120" s="7" t="inlineStr">
        <x:is>
          <x:t xml:space="preserve"/>
        </x:is>
      </x:c>
      <x:c r="N120" s="6" t="inlineStr">
        <x:is>
          <x:t xml:space="preserve"/>
        </x:is>
      </x:c>
    </x:row>
    <x:row r="121">
      <x:c r="A121" s="7">
        <x:f>IF(E121="","", "ISS-"&amp;TEXT(ROW()-1,"00000"))</x:f>
      </x:c>
      <x:c r="B121" s="7" t="inlineStr">
        <x:is>
          <x:t xml:space="preserve"/>
        </x:is>
      </x:c>
      <x:c r="C121" s="7" t="inlineStr">
        <x:is>
          <x:t xml:space="preserve"/>
        </x:is>
      </x:c>
      <x:c r="D121" s="7" t="inlineStr">
        <x:is>
          <x:t xml:space="preserve"/>
        </x:is>
      </x:c>
      <x:c r="E121" s="6" t="inlineStr">
        <x:is>
          <x:t xml:space="preserve"/>
        </x:is>
      </x:c>
      <x:c r="F121" s="7" t="inlineStr">
        <x:is>
          <x:t xml:space="preserve"/>
        </x:is>
      </x:c>
      <x:c r="G121" s="8" t="inlineStr">
        <x:is>
          <x:t xml:space="preserve"/>
        </x:is>
      </x:c>
      <x:c r="H121" s="6" t="inlineStr">
        <x:is>
          <x:t xml:space="preserve"/>
        </x:is>
      </x:c>
      <x:c r="I121" s="8" t="inlineStr">
        <x:is>
          <x:t xml:space="preserve"/>
        </x:is>
      </x:c>
      <x:c r="J121" s="7" t="inlineStr">
        <x:is>
          <x:t xml:space="preserve"/>
        </x:is>
      </x:c>
      <x:c r="K121" s="7">
        <x:f>IF(G121="","", TODAY()-G121)</x:f>
      </x:c>
      <x:c r="L121" s="7">
        <x:f>IF(OR(I121="",J121="Closed"),"", IF(TODAY()&gt;I121,"Yes","No"))</x:f>
      </x:c>
      <x:c r="M121" s="7" t="inlineStr">
        <x:is>
          <x:t xml:space="preserve"/>
        </x:is>
      </x:c>
      <x:c r="N121" s="6" t="inlineStr">
        <x:is>
          <x:t xml:space="preserve"/>
        </x:is>
      </x:c>
    </x:row>
    <x:row r="122">
      <x:c r="A122" s="7">
        <x:f>IF(E122="","", "ISS-"&amp;TEXT(ROW()-1,"00000"))</x:f>
      </x:c>
      <x:c r="B122" s="7" t="inlineStr">
        <x:is>
          <x:t xml:space="preserve"/>
        </x:is>
      </x:c>
      <x:c r="C122" s="7" t="inlineStr">
        <x:is>
          <x:t xml:space="preserve"/>
        </x:is>
      </x:c>
      <x:c r="D122" s="7" t="inlineStr">
        <x:is>
          <x:t xml:space="preserve"/>
        </x:is>
      </x:c>
      <x:c r="E122" s="6" t="inlineStr">
        <x:is>
          <x:t xml:space="preserve"/>
        </x:is>
      </x:c>
      <x:c r="F122" s="7" t="inlineStr">
        <x:is>
          <x:t xml:space="preserve"/>
        </x:is>
      </x:c>
      <x:c r="G122" s="8" t="inlineStr">
        <x:is>
          <x:t xml:space="preserve"/>
        </x:is>
      </x:c>
      <x:c r="H122" s="6" t="inlineStr">
        <x:is>
          <x:t xml:space="preserve"/>
        </x:is>
      </x:c>
      <x:c r="I122" s="8" t="inlineStr">
        <x:is>
          <x:t xml:space="preserve"/>
        </x:is>
      </x:c>
      <x:c r="J122" s="7" t="inlineStr">
        <x:is>
          <x:t xml:space="preserve"/>
        </x:is>
      </x:c>
      <x:c r="K122" s="7">
        <x:f>IF(G122="","", TODAY()-G122)</x:f>
      </x:c>
      <x:c r="L122" s="7">
        <x:f>IF(OR(I122="",J122="Closed"),"", IF(TODAY()&gt;I122,"Yes","No"))</x:f>
      </x:c>
      <x:c r="M122" s="7" t="inlineStr">
        <x:is>
          <x:t xml:space="preserve"/>
        </x:is>
      </x:c>
      <x:c r="N122" s="6" t="inlineStr">
        <x:is>
          <x:t xml:space="preserve"/>
        </x:is>
      </x:c>
    </x:row>
    <x:row r="123">
      <x:c r="A123" s="7">
        <x:f>IF(E123="","", "ISS-"&amp;TEXT(ROW()-1,"00000"))</x:f>
      </x:c>
      <x:c r="B123" s="7" t="inlineStr">
        <x:is>
          <x:t xml:space="preserve"/>
        </x:is>
      </x:c>
      <x:c r="C123" s="7" t="inlineStr">
        <x:is>
          <x:t xml:space="preserve"/>
        </x:is>
      </x:c>
      <x:c r="D123" s="7" t="inlineStr">
        <x:is>
          <x:t xml:space="preserve"/>
        </x:is>
      </x:c>
      <x:c r="E123" s="6" t="inlineStr">
        <x:is>
          <x:t xml:space="preserve"/>
        </x:is>
      </x:c>
      <x:c r="F123" s="7" t="inlineStr">
        <x:is>
          <x:t xml:space="preserve"/>
        </x:is>
      </x:c>
      <x:c r="G123" s="8" t="inlineStr">
        <x:is>
          <x:t xml:space="preserve"/>
        </x:is>
      </x:c>
      <x:c r="H123" s="6" t="inlineStr">
        <x:is>
          <x:t xml:space="preserve"/>
        </x:is>
      </x:c>
      <x:c r="I123" s="8" t="inlineStr">
        <x:is>
          <x:t xml:space="preserve"/>
        </x:is>
      </x:c>
      <x:c r="J123" s="7" t="inlineStr">
        <x:is>
          <x:t xml:space="preserve"/>
        </x:is>
      </x:c>
      <x:c r="K123" s="7">
        <x:f>IF(G123="","", TODAY()-G123)</x:f>
      </x:c>
      <x:c r="L123" s="7">
        <x:f>IF(OR(I123="",J123="Closed"),"", IF(TODAY()&gt;I123,"Yes","No"))</x:f>
      </x:c>
      <x:c r="M123" s="7" t="inlineStr">
        <x:is>
          <x:t xml:space="preserve"/>
        </x:is>
      </x:c>
      <x:c r="N123" s="6" t="inlineStr">
        <x:is>
          <x:t xml:space="preserve"/>
        </x:is>
      </x:c>
    </x:row>
    <x:row r="124">
      <x:c r="A124" s="7">
        <x:f>IF(E124="","", "ISS-"&amp;TEXT(ROW()-1,"00000"))</x:f>
      </x:c>
      <x:c r="B124" s="7" t="inlineStr">
        <x:is>
          <x:t xml:space="preserve"/>
        </x:is>
      </x:c>
      <x:c r="C124" s="7" t="inlineStr">
        <x:is>
          <x:t xml:space="preserve"/>
        </x:is>
      </x:c>
      <x:c r="D124" s="7" t="inlineStr">
        <x:is>
          <x:t xml:space="preserve"/>
        </x:is>
      </x:c>
      <x:c r="E124" s="6" t="inlineStr">
        <x:is>
          <x:t xml:space="preserve"/>
        </x:is>
      </x:c>
      <x:c r="F124" s="7" t="inlineStr">
        <x:is>
          <x:t xml:space="preserve"/>
        </x:is>
      </x:c>
      <x:c r="G124" s="8" t="inlineStr">
        <x:is>
          <x:t xml:space="preserve"/>
        </x:is>
      </x:c>
      <x:c r="H124" s="6" t="inlineStr">
        <x:is>
          <x:t xml:space="preserve"/>
        </x:is>
      </x:c>
      <x:c r="I124" s="8" t="inlineStr">
        <x:is>
          <x:t xml:space="preserve"/>
        </x:is>
      </x:c>
      <x:c r="J124" s="7" t="inlineStr">
        <x:is>
          <x:t xml:space="preserve"/>
        </x:is>
      </x:c>
      <x:c r="K124" s="7">
        <x:f>IF(G124="","", TODAY()-G124)</x:f>
      </x:c>
      <x:c r="L124" s="7">
        <x:f>IF(OR(I124="",J124="Closed"),"", IF(TODAY()&gt;I124,"Yes","No"))</x:f>
      </x:c>
      <x:c r="M124" s="7" t="inlineStr">
        <x:is>
          <x:t xml:space="preserve"/>
        </x:is>
      </x:c>
      <x:c r="N124" s="6" t="inlineStr">
        <x:is>
          <x:t xml:space="preserve"/>
        </x:is>
      </x:c>
    </x:row>
    <x:row r="125">
      <x:c r="A125" s="7">
        <x:f>IF(E125="","", "ISS-"&amp;TEXT(ROW()-1,"00000"))</x:f>
      </x:c>
      <x:c r="B125" s="7" t="inlineStr">
        <x:is>
          <x:t xml:space="preserve"/>
        </x:is>
      </x:c>
      <x:c r="C125" s="7" t="inlineStr">
        <x:is>
          <x:t xml:space="preserve"/>
        </x:is>
      </x:c>
      <x:c r="D125" s="7" t="inlineStr">
        <x:is>
          <x:t xml:space="preserve"/>
        </x:is>
      </x:c>
      <x:c r="E125" s="6" t="inlineStr">
        <x:is>
          <x:t xml:space="preserve"/>
        </x:is>
      </x:c>
      <x:c r="F125" s="7" t="inlineStr">
        <x:is>
          <x:t xml:space="preserve"/>
        </x:is>
      </x:c>
      <x:c r="G125" s="8" t="inlineStr">
        <x:is>
          <x:t xml:space="preserve"/>
        </x:is>
      </x:c>
      <x:c r="H125" s="6" t="inlineStr">
        <x:is>
          <x:t xml:space="preserve"/>
        </x:is>
      </x:c>
      <x:c r="I125" s="8" t="inlineStr">
        <x:is>
          <x:t xml:space="preserve"/>
        </x:is>
      </x:c>
      <x:c r="J125" s="7" t="inlineStr">
        <x:is>
          <x:t xml:space="preserve"/>
        </x:is>
      </x:c>
      <x:c r="K125" s="7">
        <x:f>IF(G125="","", TODAY()-G125)</x:f>
      </x:c>
      <x:c r="L125" s="7">
        <x:f>IF(OR(I125="",J125="Closed"),"", IF(TODAY()&gt;I125,"Yes","No"))</x:f>
      </x:c>
      <x:c r="M125" s="7" t="inlineStr">
        <x:is>
          <x:t xml:space="preserve"/>
        </x:is>
      </x:c>
      <x:c r="N125" s="6" t="inlineStr">
        <x:is>
          <x:t xml:space="preserve"/>
        </x:is>
      </x:c>
    </x:row>
    <x:row r="126">
      <x:c r="A126" s="7">
        <x:f>IF(E126="","", "ISS-"&amp;TEXT(ROW()-1,"00000"))</x:f>
      </x:c>
      <x:c r="B126" s="7" t="inlineStr">
        <x:is>
          <x:t xml:space="preserve"/>
        </x:is>
      </x:c>
      <x:c r="C126" s="7" t="inlineStr">
        <x:is>
          <x:t xml:space="preserve"/>
        </x:is>
      </x:c>
      <x:c r="D126" s="7" t="inlineStr">
        <x:is>
          <x:t xml:space="preserve"/>
        </x:is>
      </x:c>
      <x:c r="E126" s="6" t="inlineStr">
        <x:is>
          <x:t xml:space="preserve"/>
        </x:is>
      </x:c>
      <x:c r="F126" s="7" t="inlineStr">
        <x:is>
          <x:t xml:space="preserve"/>
        </x:is>
      </x:c>
      <x:c r="G126" s="8" t="inlineStr">
        <x:is>
          <x:t xml:space="preserve"/>
        </x:is>
      </x:c>
      <x:c r="H126" s="6" t="inlineStr">
        <x:is>
          <x:t xml:space="preserve"/>
        </x:is>
      </x:c>
      <x:c r="I126" s="8" t="inlineStr">
        <x:is>
          <x:t xml:space="preserve"/>
        </x:is>
      </x:c>
      <x:c r="J126" s="7" t="inlineStr">
        <x:is>
          <x:t xml:space="preserve"/>
        </x:is>
      </x:c>
      <x:c r="K126" s="7">
        <x:f>IF(G126="","", TODAY()-G126)</x:f>
      </x:c>
      <x:c r="L126" s="7">
        <x:f>IF(OR(I126="",J126="Closed"),"", IF(TODAY()&gt;I126,"Yes","No"))</x:f>
      </x:c>
      <x:c r="M126" s="7" t="inlineStr">
        <x:is>
          <x:t xml:space="preserve"/>
        </x:is>
      </x:c>
      <x:c r="N126" s="6" t="inlineStr">
        <x:is>
          <x:t xml:space="preserve"/>
        </x:is>
      </x:c>
    </x:row>
    <x:row r="127">
      <x:c r="A127" s="7">
        <x:f>IF(E127="","", "ISS-"&amp;TEXT(ROW()-1,"00000"))</x:f>
      </x:c>
      <x:c r="B127" s="7" t="inlineStr">
        <x:is>
          <x:t xml:space="preserve"/>
        </x:is>
      </x:c>
      <x:c r="C127" s="7" t="inlineStr">
        <x:is>
          <x:t xml:space="preserve"/>
        </x:is>
      </x:c>
      <x:c r="D127" s="7" t="inlineStr">
        <x:is>
          <x:t xml:space="preserve"/>
        </x:is>
      </x:c>
      <x:c r="E127" s="6" t="inlineStr">
        <x:is>
          <x:t xml:space="preserve"/>
        </x:is>
      </x:c>
      <x:c r="F127" s="7" t="inlineStr">
        <x:is>
          <x:t xml:space="preserve"/>
        </x:is>
      </x:c>
      <x:c r="G127" s="8" t="inlineStr">
        <x:is>
          <x:t xml:space="preserve"/>
        </x:is>
      </x:c>
      <x:c r="H127" s="6" t="inlineStr">
        <x:is>
          <x:t xml:space="preserve"/>
        </x:is>
      </x:c>
      <x:c r="I127" s="8" t="inlineStr">
        <x:is>
          <x:t xml:space="preserve"/>
        </x:is>
      </x:c>
      <x:c r="J127" s="7" t="inlineStr">
        <x:is>
          <x:t xml:space="preserve"/>
        </x:is>
      </x:c>
      <x:c r="K127" s="7">
        <x:f>IF(G127="","", TODAY()-G127)</x:f>
      </x:c>
      <x:c r="L127" s="7">
        <x:f>IF(OR(I127="",J127="Closed"),"", IF(TODAY()&gt;I127,"Yes","No"))</x:f>
      </x:c>
      <x:c r="M127" s="7" t="inlineStr">
        <x:is>
          <x:t xml:space="preserve"/>
        </x:is>
      </x:c>
      <x:c r="N127" s="6" t="inlineStr">
        <x:is>
          <x:t xml:space="preserve"/>
        </x:is>
      </x:c>
    </x:row>
    <x:row r="128">
      <x:c r="A128" s="7">
        <x:f>IF(E128="","", "ISS-"&amp;TEXT(ROW()-1,"00000"))</x:f>
      </x:c>
      <x:c r="B128" s="7" t="inlineStr">
        <x:is>
          <x:t xml:space="preserve"/>
        </x:is>
      </x:c>
      <x:c r="C128" s="7" t="inlineStr">
        <x:is>
          <x:t xml:space="preserve"/>
        </x:is>
      </x:c>
      <x:c r="D128" s="7" t="inlineStr">
        <x:is>
          <x:t xml:space="preserve"/>
        </x:is>
      </x:c>
      <x:c r="E128" s="6" t="inlineStr">
        <x:is>
          <x:t xml:space="preserve"/>
        </x:is>
      </x:c>
      <x:c r="F128" s="7" t="inlineStr">
        <x:is>
          <x:t xml:space="preserve"/>
        </x:is>
      </x:c>
      <x:c r="G128" s="8" t="inlineStr">
        <x:is>
          <x:t xml:space="preserve"/>
        </x:is>
      </x:c>
      <x:c r="H128" s="6" t="inlineStr">
        <x:is>
          <x:t xml:space="preserve"/>
        </x:is>
      </x:c>
      <x:c r="I128" s="8" t="inlineStr">
        <x:is>
          <x:t xml:space="preserve"/>
        </x:is>
      </x:c>
      <x:c r="J128" s="7" t="inlineStr">
        <x:is>
          <x:t xml:space="preserve"/>
        </x:is>
      </x:c>
      <x:c r="K128" s="7">
        <x:f>IF(G128="","", TODAY()-G128)</x:f>
      </x:c>
      <x:c r="L128" s="7">
        <x:f>IF(OR(I128="",J128="Closed"),"", IF(TODAY()&gt;I128,"Yes","No"))</x:f>
      </x:c>
      <x:c r="M128" s="7" t="inlineStr">
        <x:is>
          <x:t xml:space="preserve"/>
        </x:is>
      </x:c>
      <x:c r="N128" s="6" t="inlineStr">
        <x:is>
          <x:t xml:space="preserve"/>
        </x:is>
      </x:c>
    </x:row>
    <x:row r="129">
      <x:c r="A129" s="7">
        <x:f>IF(E129="","", "ISS-"&amp;TEXT(ROW()-1,"00000"))</x:f>
      </x:c>
      <x:c r="B129" s="7" t="inlineStr">
        <x:is>
          <x:t xml:space="preserve"/>
        </x:is>
      </x:c>
      <x:c r="C129" s="7" t="inlineStr">
        <x:is>
          <x:t xml:space="preserve"/>
        </x:is>
      </x:c>
      <x:c r="D129" s="7" t="inlineStr">
        <x:is>
          <x:t xml:space="preserve"/>
        </x:is>
      </x:c>
      <x:c r="E129" s="6" t="inlineStr">
        <x:is>
          <x:t xml:space="preserve"/>
        </x:is>
      </x:c>
      <x:c r="F129" s="7" t="inlineStr">
        <x:is>
          <x:t xml:space="preserve"/>
        </x:is>
      </x:c>
      <x:c r="G129" s="8" t="inlineStr">
        <x:is>
          <x:t xml:space="preserve"/>
        </x:is>
      </x:c>
      <x:c r="H129" s="6" t="inlineStr">
        <x:is>
          <x:t xml:space="preserve"/>
        </x:is>
      </x:c>
      <x:c r="I129" s="8" t="inlineStr">
        <x:is>
          <x:t xml:space="preserve"/>
        </x:is>
      </x:c>
      <x:c r="J129" s="7" t="inlineStr">
        <x:is>
          <x:t xml:space="preserve"/>
        </x:is>
      </x:c>
      <x:c r="K129" s="7">
        <x:f>IF(G129="","", TODAY()-G129)</x:f>
      </x:c>
      <x:c r="L129" s="7">
        <x:f>IF(OR(I129="",J129="Closed"),"", IF(TODAY()&gt;I129,"Yes","No"))</x:f>
      </x:c>
      <x:c r="M129" s="7" t="inlineStr">
        <x:is>
          <x:t xml:space="preserve"/>
        </x:is>
      </x:c>
      <x:c r="N129" s="6" t="inlineStr">
        <x:is>
          <x:t xml:space="preserve"/>
        </x:is>
      </x:c>
    </x:row>
    <x:row r="130">
      <x:c r="A130" s="7">
        <x:f>IF(E130="","", "ISS-"&amp;TEXT(ROW()-1,"00000"))</x:f>
      </x:c>
      <x:c r="B130" s="7" t="inlineStr">
        <x:is>
          <x:t xml:space="preserve"/>
        </x:is>
      </x:c>
      <x:c r="C130" s="7" t="inlineStr">
        <x:is>
          <x:t xml:space="preserve"/>
        </x:is>
      </x:c>
      <x:c r="D130" s="7" t="inlineStr">
        <x:is>
          <x:t xml:space="preserve"/>
        </x:is>
      </x:c>
      <x:c r="E130" s="6" t="inlineStr">
        <x:is>
          <x:t xml:space="preserve"/>
        </x:is>
      </x:c>
      <x:c r="F130" s="7" t="inlineStr">
        <x:is>
          <x:t xml:space="preserve"/>
        </x:is>
      </x:c>
      <x:c r="G130" s="8" t="inlineStr">
        <x:is>
          <x:t xml:space="preserve"/>
        </x:is>
      </x:c>
      <x:c r="H130" s="6" t="inlineStr">
        <x:is>
          <x:t xml:space="preserve"/>
        </x:is>
      </x:c>
      <x:c r="I130" s="8" t="inlineStr">
        <x:is>
          <x:t xml:space="preserve"/>
        </x:is>
      </x:c>
      <x:c r="J130" s="7" t="inlineStr">
        <x:is>
          <x:t xml:space="preserve"/>
        </x:is>
      </x:c>
      <x:c r="K130" s="7">
        <x:f>IF(G130="","", TODAY()-G130)</x:f>
      </x:c>
      <x:c r="L130" s="7">
        <x:f>IF(OR(I130="",J130="Closed"),"", IF(TODAY()&gt;I130,"Yes","No"))</x:f>
      </x:c>
      <x:c r="M130" s="7" t="inlineStr">
        <x:is>
          <x:t xml:space="preserve"/>
        </x:is>
      </x:c>
      <x:c r="N130" s="6" t="inlineStr">
        <x:is>
          <x:t xml:space="preserve"/>
        </x:is>
      </x:c>
    </x:row>
    <x:row r="131">
      <x:c r="A131" s="7">
        <x:f>IF(E131="","", "ISS-"&amp;TEXT(ROW()-1,"00000"))</x:f>
      </x:c>
      <x:c r="B131" s="7" t="inlineStr">
        <x:is>
          <x:t xml:space="preserve"/>
        </x:is>
      </x:c>
      <x:c r="C131" s="7" t="inlineStr">
        <x:is>
          <x:t xml:space="preserve"/>
        </x:is>
      </x:c>
      <x:c r="D131" s="7" t="inlineStr">
        <x:is>
          <x:t xml:space="preserve"/>
        </x:is>
      </x:c>
      <x:c r="E131" s="6" t="inlineStr">
        <x:is>
          <x:t xml:space="preserve"/>
        </x:is>
      </x:c>
      <x:c r="F131" s="7" t="inlineStr">
        <x:is>
          <x:t xml:space="preserve"/>
        </x:is>
      </x:c>
      <x:c r="G131" s="8" t="inlineStr">
        <x:is>
          <x:t xml:space="preserve"/>
        </x:is>
      </x:c>
      <x:c r="H131" s="6" t="inlineStr">
        <x:is>
          <x:t xml:space="preserve"/>
        </x:is>
      </x:c>
      <x:c r="I131" s="8" t="inlineStr">
        <x:is>
          <x:t xml:space="preserve"/>
        </x:is>
      </x:c>
      <x:c r="J131" s="7" t="inlineStr">
        <x:is>
          <x:t xml:space="preserve"/>
        </x:is>
      </x:c>
      <x:c r="K131" s="7">
        <x:f>IF(G131="","", TODAY()-G131)</x:f>
      </x:c>
      <x:c r="L131" s="7">
        <x:f>IF(OR(I131="",J131="Closed"),"", IF(TODAY()&gt;I131,"Yes","No"))</x:f>
      </x:c>
      <x:c r="M131" s="7" t="inlineStr">
        <x:is>
          <x:t xml:space="preserve"/>
        </x:is>
      </x:c>
      <x:c r="N131" s="6" t="inlineStr">
        <x:is>
          <x:t xml:space="preserve"/>
        </x:is>
      </x:c>
    </x:row>
    <x:row r="132">
      <x:c r="A132" s="7">
        <x:f>IF(E132="","", "ISS-"&amp;TEXT(ROW()-1,"00000"))</x:f>
      </x:c>
      <x:c r="B132" s="7" t="inlineStr">
        <x:is>
          <x:t xml:space="preserve"/>
        </x:is>
      </x:c>
      <x:c r="C132" s="7" t="inlineStr">
        <x:is>
          <x:t xml:space="preserve"/>
        </x:is>
      </x:c>
      <x:c r="D132" s="7" t="inlineStr">
        <x:is>
          <x:t xml:space="preserve"/>
        </x:is>
      </x:c>
      <x:c r="E132" s="6" t="inlineStr">
        <x:is>
          <x:t xml:space="preserve"/>
        </x:is>
      </x:c>
      <x:c r="F132" s="7" t="inlineStr">
        <x:is>
          <x:t xml:space="preserve"/>
        </x:is>
      </x:c>
      <x:c r="G132" s="8" t="inlineStr">
        <x:is>
          <x:t xml:space="preserve"/>
        </x:is>
      </x:c>
      <x:c r="H132" s="6" t="inlineStr">
        <x:is>
          <x:t xml:space="preserve"/>
        </x:is>
      </x:c>
      <x:c r="I132" s="8" t="inlineStr">
        <x:is>
          <x:t xml:space="preserve"/>
        </x:is>
      </x:c>
      <x:c r="J132" s="7" t="inlineStr">
        <x:is>
          <x:t xml:space="preserve"/>
        </x:is>
      </x:c>
      <x:c r="K132" s="7">
        <x:f>IF(G132="","", TODAY()-G132)</x:f>
      </x:c>
      <x:c r="L132" s="7">
        <x:f>IF(OR(I132="",J132="Closed"),"", IF(TODAY()&gt;I132,"Yes","No"))</x:f>
      </x:c>
      <x:c r="M132" s="7" t="inlineStr">
        <x:is>
          <x:t xml:space="preserve"/>
        </x:is>
      </x:c>
      <x:c r="N132" s="6" t="inlineStr">
        <x:is>
          <x:t xml:space="preserve"/>
        </x:is>
      </x:c>
    </x:row>
    <x:row r="133">
      <x:c r="A133" s="7">
        <x:f>IF(E133="","", "ISS-"&amp;TEXT(ROW()-1,"00000"))</x:f>
      </x:c>
      <x:c r="B133" s="7" t="inlineStr">
        <x:is>
          <x:t xml:space="preserve"/>
        </x:is>
      </x:c>
      <x:c r="C133" s="7" t="inlineStr">
        <x:is>
          <x:t xml:space="preserve"/>
        </x:is>
      </x:c>
      <x:c r="D133" s="7" t="inlineStr">
        <x:is>
          <x:t xml:space="preserve"/>
        </x:is>
      </x:c>
      <x:c r="E133" s="6" t="inlineStr">
        <x:is>
          <x:t xml:space="preserve"/>
        </x:is>
      </x:c>
      <x:c r="F133" s="7" t="inlineStr">
        <x:is>
          <x:t xml:space="preserve"/>
        </x:is>
      </x:c>
      <x:c r="G133" s="8" t="inlineStr">
        <x:is>
          <x:t xml:space="preserve"/>
        </x:is>
      </x:c>
      <x:c r="H133" s="6" t="inlineStr">
        <x:is>
          <x:t xml:space="preserve"/>
        </x:is>
      </x:c>
      <x:c r="I133" s="8" t="inlineStr">
        <x:is>
          <x:t xml:space="preserve"/>
        </x:is>
      </x:c>
      <x:c r="J133" s="7" t="inlineStr">
        <x:is>
          <x:t xml:space="preserve"/>
        </x:is>
      </x:c>
      <x:c r="K133" s="7">
        <x:f>IF(G133="","", TODAY()-G133)</x:f>
      </x:c>
      <x:c r="L133" s="7">
        <x:f>IF(OR(I133="",J133="Closed"),"", IF(TODAY()&gt;I133,"Yes","No"))</x:f>
      </x:c>
      <x:c r="M133" s="7" t="inlineStr">
        <x:is>
          <x:t xml:space="preserve"/>
        </x:is>
      </x:c>
      <x:c r="N133" s="6" t="inlineStr">
        <x:is>
          <x:t xml:space="preserve"/>
        </x:is>
      </x:c>
    </x:row>
    <x:row r="134">
      <x:c r="A134" s="7">
        <x:f>IF(E134="","", "ISS-"&amp;TEXT(ROW()-1,"00000"))</x:f>
      </x:c>
      <x:c r="B134" s="7" t="inlineStr">
        <x:is>
          <x:t xml:space="preserve"/>
        </x:is>
      </x:c>
      <x:c r="C134" s="7" t="inlineStr">
        <x:is>
          <x:t xml:space="preserve"/>
        </x:is>
      </x:c>
      <x:c r="D134" s="7" t="inlineStr">
        <x:is>
          <x:t xml:space="preserve"/>
        </x:is>
      </x:c>
      <x:c r="E134" s="6" t="inlineStr">
        <x:is>
          <x:t xml:space="preserve"/>
        </x:is>
      </x:c>
      <x:c r="F134" s="7" t="inlineStr">
        <x:is>
          <x:t xml:space="preserve"/>
        </x:is>
      </x:c>
      <x:c r="G134" s="8" t="inlineStr">
        <x:is>
          <x:t xml:space="preserve"/>
        </x:is>
      </x:c>
      <x:c r="H134" s="6" t="inlineStr">
        <x:is>
          <x:t xml:space="preserve"/>
        </x:is>
      </x:c>
      <x:c r="I134" s="8" t="inlineStr">
        <x:is>
          <x:t xml:space="preserve"/>
        </x:is>
      </x:c>
      <x:c r="J134" s="7" t="inlineStr">
        <x:is>
          <x:t xml:space="preserve"/>
        </x:is>
      </x:c>
      <x:c r="K134" s="7">
        <x:f>IF(G134="","", TODAY()-G134)</x:f>
      </x:c>
      <x:c r="L134" s="7">
        <x:f>IF(OR(I134="",J134="Closed"),"", IF(TODAY()&gt;I134,"Yes","No"))</x:f>
      </x:c>
      <x:c r="M134" s="7" t="inlineStr">
        <x:is>
          <x:t xml:space="preserve"/>
        </x:is>
      </x:c>
      <x:c r="N134" s="6" t="inlineStr">
        <x:is>
          <x:t xml:space="preserve"/>
        </x:is>
      </x:c>
    </x:row>
    <x:row r="135">
      <x:c r="A135" s="7">
        <x:f>IF(E135="","", "ISS-"&amp;TEXT(ROW()-1,"00000"))</x:f>
      </x:c>
      <x:c r="B135" s="7" t="inlineStr">
        <x:is>
          <x:t xml:space="preserve"/>
        </x:is>
      </x:c>
      <x:c r="C135" s="7" t="inlineStr">
        <x:is>
          <x:t xml:space="preserve"/>
        </x:is>
      </x:c>
      <x:c r="D135" s="7" t="inlineStr">
        <x:is>
          <x:t xml:space="preserve"/>
        </x:is>
      </x:c>
      <x:c r="E135" s="6" t="inlineStr">
        <x:is>
          <x:t xml:space="preserve"/>
        </x:is>
      </x:c>
      <x:c r="F135" s="7" t="inlineStr">
        <x:is>
          <x:t xml:space="preserve"/>
        </x:is>
      </x:c>
      <x:c r="G135" s="8" t="inlineStr">
        <x:is>
          <x:t xml:space="preserve"/>
        </x:is>
      </x:c>
      <x:c r="H135" s="6" t="inlineStr">
        <x:is>
          <x:t xml:space="preserve"/>
        </x:is>
      </x:c>
      <x:c r="I135" s="8" t="inlineStr">
        <x:is>
          <x:t xml:space="preserve"/>
        </x:is>
      </x:c>
      <x:c r="J135" s="7" t="inlineStr">
        <x:is>
          <x:t xml:space="preserve"/>
        </x:is>
      </x:c>
      <x:c r="K135" s="7">
        <x:f>IF(G135="","", TODAY()-G135)</x:f>
      </x:c>
      <x:c r="L135" s="7">
        <x:f>IF(OR(I135="",J135="Closed"),"", IF(TODAY()&gt;I135,"Yes","No"))</x:f>
      </x:c>
      <x:c r="M135" s="7" t="inlineStr">
        <x:is>
          <x:t xml:space="preserve"/>
        </x:is>
      </x:c>
      <x:c r="N135" s="6" t="inlineStr">
        <x:is>
          <x:t xml:space="preserve"/>
        </x:is>
      </x:c>
    </x:row>
    <x:row r="136">
      <x:c r="A136" s="7">
        <x:f>IF(E136="","", "ISS-"&amp;TEXT(ROW()-1,"00000"))</x:f>
      </x:c>
      <x:c r="B136" s="7" t="inlineStr">
        <x:is>
          <x:t xml:space="preserve"/>
        </x:is>
      </x:c>
      <x:c r="C136" s="7" t="inlineStr">
        <x:is>
          <x:t xml:space="preserve"/>
        </x:is>
      </x:c>
      <x:c r="D136" s="7" t="inlineStr">
        <x:is>
          <x:t xml:space="preserve"/>
        </x:is>
      </x:c>
      <x:c r="E136" s="6" t="inlineStr">
        <x:is>
          <x:t xml:space="preserve"/>
        </x:is>
      </x:c>
      <x:c r="F136" s="7" t="inlineStr">
        <x:is>
          <x:t xml:space="preserve"/>
        </x:is>
      </x:c>
      <x:c r="G136" s="8" t="inlineStr">
        <x:is>
          <x:t xml:space="preserve"/>
        </x:is>
      </x:c>
      <x:c r="H136" s="6" t="inlineStr">
        <x:is>
          <x:t xml:space="preserve"/>
        </x:is>
      </x:c>
      <x:c r="I136" s="8" t="inlineStr">
        <x:is>
          <x:t xml:space="preserve"/>
        </x:is>
      </x:c>
      <x:c r="J136" s="7" t="inlineStr">
        <x:is>
          <x:t xml:space="preserve"/>
        </x:is>
      </x:c>
      <x:c r="K136" s="7">
        <x:f>IF(G136="","", TODAY()-G136)</x:f>
      </x:c>
      <x:c r="L136" s="7">
        <x:f>IF(OR(I136="",J136="Closed"),"", IF(TODAY()&gt;I136,"Yes","No"))</x:f>
      </x:c>
      <x:c r="M136" s="7" t="inlineStr">
        <x:is>
          <x:t xml:space="preserve"/>
        </x:is>
      </x:c>
      <x:c r="N136" s="6" t="inlineStr">
        <x:is>
          <x:t xml:space="preserve"/>
        </x:is>
      </x:c>
    </x:row>
    <x:row r="137">
      <x:c r="A137" s="7">
        <x:f>IF(E137="","", "ISS-"&amp;TEXT(ROW()-1,"00000"))</x:f>
      </x:c>
      <x:c r="B137" s="7" t="inlineStr">
        <x:is>
          <x:t xml:space="preserve"/>
        </x:is>
      </x:c>
      <x:c r="C137" s="7" t="inlineStr">
        <x:is>
          <x:t xml:space="preserve"/>
        </x:is>
      </x:c>
      <x:c r="D137" s="7" t="inlineStr">
        <x:is>
          <x:t xml:space="preserve"/>
        </x:is>
      </x:c>
      <x:c r="E137" s="6" t="inlineStr">
        <x:is>
          <x:t xml:space="preserve"/>
        </x:is>
      </x:c>
      <x:c r="F137" s="7" t="inlineStr">
        <x:is>
          <x:t xml:space="preserve"/>
        </x:is>
      </x:c>
      <x:c r="G137" s="8" t="inlineStr">
        <x:is>
          <x:t xml:space="preserve"/>
        </x:is>
      </x:c>
      <x:c r="H137" s="6" t="inlineStr">
        <x:is>
          <x:t xml:space="preserve"/>
        </x:is>
      </x:c>
      <x:c r="I137" s="8" t="inlineStr">
        <x:is>
          <x:t xml:space="preserve"/>
        </x:is>
      </x:c>
      <x:c r="J137" s="7" t="inlineStr">
        <x:is>
          <x:t xml:space="preserve"/>
        </x:is>
      </x:c>
      <x:c r="K137" s="7">
        <x:f>IF(G137="","", TODAY()-G137)</x:f>
      </x:c>
      <x:c r="L137" s="7">
        <x:f>IF(OR(I137="",J137="Closed"),"", IF(TODAY()&gt;I137,"Yes","No"))</x:f>
      </x:c>
      <x:c r="M137" s="7" t="inlineStr">
        <x:is>
          <x:t xml:space="preserve"/>
        </x:is>
      </x:c>
      <x:c r="N137" s="6" t="inlineStr">
        <x:is>
          <x:t xml:space="preserve"/>
        </x:is>
      </x:c>
    </x:row>
    <x:row r="138">
      <x:c r="A138" s="7">
        <x:f>IF(E138="","", "ISS-"&amp;TEXT(ROW()-1,"00000"))</x:f>
      </x:c>
      <x:c r="B138" s="7" t="inlineStr">
        <x:is>
          <x:t xml:space="preserve"/>
        </x:is>
      </x:c>
      <x:c r="C138" s="7" t="inlineStr">
        <x:is>
          <x:t xml:space="preserve"/>
        </x:is>
      </x:c>
      <x:c r="D138" s="7" t="inlineStr">
        <x:is>
          <x:t xml:space="preserve"/>
        </x:is>
      </x:c>
      <x:c r="E138" s="6" t="inlineStr">
        <x:is>
          <x:t xml:space="preserve"/>
        </x:is>
      </x:c>
      <x:c r="F138" s="7" t="inlineStr">
        <x:is>
          <x:t xml:space="preserve"/>
        </x:is>
      </x:c>
      <x:c r="G138" s="8" t="inlineStr">
        <x:is>
          <x:t xml:space="preserve"/>
        </x:is>
      </x:c>
      <x:c r="H138" s="6" t="inlineStr">
        <x:is>
          <x:t xml:space="preserve"/>
        </x:is>
      </x:c>
      <x:c r="I138" s="8" t="inlineStr">
        <x:is>
          <x:t xml:space="preserve"/>
        </x:is>
      </x:c>
      <x:c r="J138" s="7" t="inlineStr">
        <x:is>
          <x:t xml:space="preserve"/>
        </x:is>
      </x:c>
      <x:c r="K138" s="7">
        <x:f>IF(G138="","", TODAY()-G138)</x:f>
      </x:c>
      <x:c r="L138" s="7">
        <x:f>IF(OR(I138="",J138="Closed"),"", IF(TODAY()&gt;I138,"Yes","No"))</x:f>
      </x:c>
      <x:c r="M138" s="7" t="inlineStr">
        <x:is>
          <x:t xml:space="preserve"/>
        </x:is>
      </x:c>
      <x:c r="N138" s="6" t="inlineStr">
        <x:is>
          <x:t xml:space="preserve"/>
        </x:is>
      </x:c>
    </x:row>
    <x:row r="139">
      <x:c r="A139" s="7">
        <x:f>IF(E139="","", "ISS-"&amp;TEXT(ROW()-1,"00000"))</x:f>
      </x:c>
      <x:c r="B139" s="7" t="inlineStr">
        <x:is>
          <x:t xml:space="preserve"/>
        </x:is>
      </x:c>
      <x:c r="C139" s="7" t="inlineStr">
        <x:is>
          <x:t xml:space="preserve"/>
        </x:is>
      </x:c>
      <x:c r="D139" s="7" t="inlineStr">
        <x:is>
          <x:t xml:space="preserve"/>
        </x:is>
      </x:c>
      <x:c r="E139" s="6" t="inlineStr">
        <x:is>
          <x:t xml:space="preserve"/>
        </x:is>
      </x:c>
      <x:c r="F139" s="7" t="inlineStr">
        <x:is>
          <x:t xml:space="preserve"/>
        </x:is>
      </x:c>
      <x:c r="G139" s="8" t="inlineStr">
        <x:is>
          <x:t xml:space="preserve"/>
        </x:is>
      </x:c>
      <x:c r="H139" s="6" t="inlineStr">
        <x:is>
          <x:t xml:space="preserve"/>
        </x:is>
      </x:c>
      <x:c r="I139" s="8" t="inlineStr">
        <x:is>
          <x:t xml:space="preserve"/>
        </x:is>
      </x:c>
      <x:c r="J139" s="7" t="inlineStr">
        <x:is>
          <x:t xml:space="preserve"/>
        </x:is>
      </x:c>
      <x:c r="K139" s="7">
        <x:f>IF(G139="","", TODAY()-G139)</x:f>
      </x:c>
      <x:c r="L139" s="7">
        <x:f>IF(OR(I139="",J139="Closed"),"", IF(TODAY()&gt;I139,"Yes","No"))</x:f>
      </x:c>
      <x:c r="M139" s="7" t="inlineStr">
        <x:is>
          <x:t xml:space="preserve"/>
        </x:is>
      </x:c>
      <x:c r="N139" s="6" t="inlineStr">
        <x:is>
          <x:t xml:space="preserve"/>
        </x:is>
      </x:c>
    </x:row>
    <x:row r="140">
      <x:c r="A140" s="7">
        <x:f>IF(E140="","", "ISS-"&amp;TEXT(ROW()-1,"00000"))</x:f>
      </x:c>
      <x:c r="B140" s="7" t="inlineStr">
        <x:is>
          <x:t xml:space="preserve"/>
        </x:is>
      </x:c>
      <x:c r="C140" s="7" t="inlineStr">
        <x:is>
          <x:t xml:space="preserve"/>
        </x:is>
      </x:c>
      <x:c r="D140" s="7" t="inlineStr">
        <x:is>
          <x:t xml:space="preserve"/>
        </x:is>
      </x:c>
      <x:c r="E140" s="6" t="inlineStr">
        <x:is>
          <x:t xml:space="preserve"/>
        </x:is>
      </x:c>
      <x:c r="F140" s="7" t="inlineStr">
        <x:is>
          <x:t xml:space="preserve"/>
        </x:is>
      </x:c>
      <x:c r="G140" s="8" t="inlineStr">
        <x:is>
          <x:t xml:space="preserve"/>
        </x:is>
      </x:c>
      <x:c r="H140" s="6" t="inlineStr">
        <x:is>
          <x:t xml:space="preserve"/>
        </x:is>
      </x:c>
      <x:c r="I140" s="8" t="inlineStr">
        <x:is>
          <x:t xml:space="preserve"/>
        </x:is>
      </x:c>
      <x:c r="J140" s="7" t="inlineStr">
        <x:is>
          <x:t xml:space="preserve"/>
        </x:is>
      </x:c>
      <x:c r="K140" s="7">
        <x:f>IF(G140="","", TODAY()-G140)</x:f>
      </x:c>
      <x:c r="L140" s="7">
        <x:f>IF(OR(I140="",J140="Closed"),"", IF(TODAY()&gt;I140,"Yes","No"))</x:f>
      </x:c>
      <x:c r="M140" s="7" t="inlineStr">
        <x:is>
          <x:t xml:space="preserve"/>
        </x:is>
      </x:c>
      <x:c r="N140" s="6" t="inlineStr">
        <x:is>
          <x:t xml:space="preserve"/>
        </x:is>
      </x:c>
    </x:row>
    <x:row r="141">
      <x:c r="A141" s="7">
        <x:f>IF(E141="","", "ISS-"&amp;TEXT(ROW()-1,"00000"))</x:f>
      </x:c>
      <x:c r="B141" s="7" t="inlineStr">
        <x:is>
          <x:t xml:space="preserve"/>
        </x:is>
      </x:c>
      <x:c r="C141" s="7" t="inlineStr">
        <x:is>
          <x:t xml:space="preserve"/>
        </x:is>
      </x:c>
      <x:c r="D141" s="7" t="inlineStr">
        <x:is>
          <x:t xml:space="preserve"/>
        </x:is>
      </x:c>
      <x:c r="E141" s="6" t="inlineStr">
        <x:is>
          <x:t xml:space="preserve"/>
        </x:is>
      </x:c>
      <x:c r="F141" s="7" t="inlineStr">
        <x:is>
          <x:t xml:space="preserve"/>
        </x:is>
      </x:c>
      <x:c r="G141" s="8" t="inlineStr">
        <x:is>
          <x:t xml:space="preserve"/>
        </x:is>
      </x:c>
      <x:c r="H141" s="6" t="inlineStr">
        <x:is>
          <x:t xml:space="preserve"/>
        </x:is>
      </x:c>
      <x:c r="I141" s="8" t="inlineStr">
        <x:is>
          <x:t xml:space="preserve"/>
        </x:is>
      </x:c>
      <x:c r="J141" s="7" t="inlineStr">
        <x:is>
          <x:t xml:space="preserve"/>
        </x:is>
      </x:c>
      <x:c r="K141" s="7">
        <x:f>IF(G141="","", TODAY()-G141)</x:f>
      </x:c>
      <x:c r="L141" s="7">
        <x:f>IF(OR(I141="",J141="Closed"),"", IF(TODAY()&gt;I141,"Yes","No"))</x:f>
      </x:c>
      <x:c r="M141" s="7" t="inlineStr">
        <x:is>
          <x:t xml:space="preserve"/>
        </x:is>
      </x:c>
      <x:c r="N141" s="6" t="inlineStr">
        <x:is>
          <x:t xml:space="preserve"/>
        </x:is>
      </x:c>
    </x:row>
    <x:row r="142">
      <x:c r="A142" s="7">
        <x:f>IF(E142="","", "ISS-"&amp;TEXT(ROW()-1,"00000"))</x:f>
      </x:c>
      <x:c r="B142" s="7" t="inlineStr">
        <x:is>
          <x:t xml:space="preserve"/>
        </x:is>
      </x:c>
      <x:c r="C142" s="7" t="inlineStr">
        <x:is>
          <x:t xml:space="preserve"/>
        </x:is>
      </x:c>
      <x:c r="D142" s="7" t="inlineStr">
        <x:is>
          <x:t xml:space="preserve"/>
        </x:is>
      </x:c>
      <x:c r="E142" s="6" t="inlineStr">
        <x:is>
          <x:t xml:space="preserve"/>
        </x:is>
      </x:c>
      <x:c r="F142" s="7" t="inlineStr">
        <x:is>
          <x:t xml:space="preserve"/>
        </x:is>
      </x:c>
      <x:c r="G142" s="8" t="inlineStr">
        <x:is>
          <x:t xml:space="preserve"/>
        </x:is>
      </x:c>
      <x:c r="H142" s="6" t="inlineStr">
        <x:is>
          <x:t xml:space="preserve"/>
        </x:is>
      </x:c>
      <x:c r="I142" s="8" t="inlineStr">
        <x:is>
          <x:t xml:space="preserve"/>
        </x:is>
      </x:c>
      <x:c r="J142" s="7" t="inlineStr">
        <x:is>
          <x:t xml:space="preserve"/>
        </x:is>
      </x:c>
      <x:c r="K142" s="7">
        <x:f>IF(G142="","", TODAY()-G142)</x:f>
      </x:c>
      <x:c r="L142" s="7">
        <x:f>IF(OR(I142="",J142="Closed"),"", IF(TODAY()&gt;I142,"Yes","No"))</x:f>
      </x:c>
      <x:c r="M142" s="7" t="inlineStr">
        <x:is>
          <x:t xml:space="preserve"/>
        </x:is>
      </x:c>
      <x:c r="N142" s="6" t="inlineStr">
        <x:is>
          <x:t xml:space="preserve"/>
        </x:is>
      </x:c>
    </x:row>
    <x:row r="143">
      <x:c r="A143" s="7">
        <x:f>IF(E143="","", "ISS-"&amp;TEXT(ROW()-1,"00000"))</x:f>
      </x:c>
      <x:c r="B143" s="7" t="inlineStr">
        <x:is>
          <x:t xml:space="preserve"/>
        </x:is>
      </x:c>
      <x:c r="C143" s="7" t="inlineStr">
        <x:is>
          <x:t xml:space="preserve"/>
        </x:is>
      </x:c>
      <x:c r="D143" s="7" t="inlineStr">
        <x:is>
          <x:t xml:space="preserve"/>
        </x:is>
      </x:c>
      <x:c r="E143" s="6" t="inlineStr">
        <x:is>
          <x:t xml:space="preserve"/>
        </x:is>
      </x:c>
      <x:c r="F143" s="7" t="inlineStr">
        <x:is>
          <x:t xml:space="preserve"/>
        </x:is>
      </x:c>
      <x:c r="G143" s="8" t="inlineStr">
        <x:is>
          <x:t xml:space="preserve"/>
        </x:is>
      </x:c>
      <x:c r="H143" s="6" t="inlineStr">
        <x:is>
          <x:t xml:space="preserve"/>
        </x:is>
      </x:c>
      <x:c r="I143" s="8" t="inlineStr">
        <x:is>
          <x:t xml:space="preserve"/>
        </x:is>
      </x:c>
      <x:c r="J143" s="7" t="inlineStr">
        <x:is>
          <x:t xml:space="preserve"/>
        </x:is>
      </x:c>
      <x:c r="K143" s="7">
        <x:f>IF(G143="","", TODAY()-G143)</x:f>
      </x:c>
      <x:c r="L143" s="7">
        <x:f>IF(OR(I143="",J143="Closed"),"", IF(TODAY()&gt;I143,"Yes","No"))</x:f>
      </x:c>
      <x:c r="M143" s="7" t="inlineStr">
        <x:is>
          <x:t xml:space="preserve"/>
        </x:is>
      </x:c>
      <x:c r="N143" s="6" t="inlineStr">
        <x:is>
          <x:t xml:space="preserve"/>
        </x:is>
      </x:c>
    </x:row>
    <x:row r="144">
      <x:c r="A144" s="7">
        <x:f>IF(E144="","", "ISS-"&amp;TEXT(ROW()-1,"00000"))</x:f>
      </x:c>
      <x:c r="B144" s="7" t="inlineStr">
        <x:is>
          <x:t xml:space="preserve"/>
        </x:is>
      </x:c>
      <x:c r="C144" s="7" t="inlineStr">
        <x:is>
          <x:t xml:space="preserve"/>
        </x:is>
      </x:c>
      <x:c r="D144" s="7" t="inlineStr">
        <x:is>
          <x:t xml:space="preserve"/>
        </x:is>
      </x:c>
      <x:c r="E144" s="6" t="inlineStr">
        <x:is>
          <x:t xml:space="preserve"/>
        </x:is>
      </x:c>
      <x:c r="F144" s="7" t="inlineStr">
        <x:is>
          <x:t xml:space="preserve"/>
        </x:is>
      </x:c>
      <x:c r="G144" s="8" t="inlineStr">
        <x:is>
          <x:t xml:space="preserve"/>
        </x:is>
      </x:c>
      <x:c r="H144" s="6" t="inlineStr">
        <x:is>
          <x:t xml:space="preserve"/>
        </x:is>
      </x:c>
      <x:c r="I144" s="8" t="inlineStr">
        <x:is>
          <x:t xml:space="preserve"/>
        </x:is>
      </x:c>
      <x:c r="J144" s="7" t="inlineStr">
        <x:is>
          <x:t xml:space="preserve"/>
        </x:is>
      </x:c>
      <x:c r="K144" s="7">
        <x:f>IF(G144="","", TODAY()-G144)</x:f>
      </x:c>
      <x:c r="L144" s="7">
        <x:f>IF(OR(I144="",J144="Closed"),"", IF(TODAY()&gt;I144,"Yes","No"))</x:f>
      </x:c>
      <x:c r="M144" s="7" t="inlineStr">
        <x:is>
          <x:t xml:space="preserve"/>
        </x:is>
      </x:c>
      <x:c r="N144" s="6" t="inlineStr">
        <x:is>
          <x:t xml:space="preserve"/>
        </x:is>
      </x:c>
    </x:row>
    <x:row r="145">
      <x:c r="A145" s="7">
        <x:f>IF(E145="","", "ISS-"&amp;TEXT(ROW()-1,"00000"))</x:f>
      </x:c>
      <x:c r="B145" s="7" t="inlineStr">
        <x:is>
          <x:t xml:space="preserve"/>
        </x:is>
      </x:c>
      <x:c r="C145" s="7" t="inlineStr">
        <x:is>
          <x:t xml:space="preserve"/>
        </x:is>
      </x:c>
      <x:c r="D145" s="7" t="inlineStr">
        <x:is>
          <x:t xml:space="preserve"/>
        </x:is>
      </x:c>
      <x:c r="E145" s="6" t="inlineStr">
        <x:is>
          <x:t xml:space="preserve"/>
        </x:is>
      </x:c>
      <x:c r="F145" s="7" t="inlineStr">
        <x:is>
          <x:t xml:space="preserve"/>
        </x:is>
      </x:c>
      <x:c r="G145" s="8" t="inlineStr">
        <x:is>
          <x:t xml:space="preserve"/>
        </x:is>
      </x:c>
      <x:c r="H145" s="6" t="inlineStr">
        <x:is>
          <x:t xml:space="preserve"/>
        </x:is>
      </x:c>
      <x:c r="I145" s="8" t="inlineStr">
        <x:is>
          <x:t xml:space="preserve"/>
        </x:is>
      </x:c>
      <x:c r="J145" s="7" t="inlineStr">
        <x:is>
          <x:t xml:space="preserve"/>
        </x:is>
      </x:c>
      <x:c r="K145" s="7">
        <x:f>IF(G145="","", TODAY()-G145)</x:f>
      </x:c>
      <x:c r="L145" s="7">
        <x:f>IF(OR(I145="",J145="Closed"),"", IF(TODAY()&gt;I145,"Yes","No"))</x:f>
      </x:c>
      <x:c r="M145" s="7" t="inlineStr">
        <x:is>
          <x:t xml:space="preserve"/>
        </x:is>
      </x:c>
      <x:c r="N145" s="6" t="inlineStr">
        <x:is>
          <x:t xml:space="preserve"/>
        </x:is>
      </x:c>
    </x:row>
    <x:row r="146">
      <x:c r="A146" s="7">
        <x:f>IF(E146="","", "ISS-"&amp;TEXT(ROW()-1,"00000"))</x:f>
      </x:c>
      <x:c r="B146" s="7" t="inlineStr">
        <x:is>
          <x:t xml:space="preserve"/>
        </x:is>
      </x:c>
      <x:c r="C146" s="7" t="inlineStr">
        <x:is>
          <x:t xml:space="preserve"/>
        </x:is>
      </x:c>
      <x:c r="D146" s="7" t="inlineStr">
        <x:is>
          <x:t xml:space="preserve"/>
        </x:is>
      </x:c>
      <x:c r="E146" s="6" t="inlineStr">
        <x:is>
          <x:t xml:space="preserve"/>
        </x:is>
      </x:c>
      <x:c r="F146" s="7" t="inlineStr">
        <x:is>
          <x:t xml:space="preserve"/>
        </x:is>
      </x:c>
      <x:c r="G146" s="8" t="inlineStr">
        <x:is>
          <x:t xml:space="preserve"/>
        </x:is>
      </x:c>
      <x:c r="H146" s="6" t="inlineStr">
        <x:is>
          <x:t xml:space="preserve"/>
        </x:is>
      </x:c>
      <x:c r="I146" s="8" t="inlineStr">
        <x:is>
          <x:t xml:space="preserve"/>
        </x:is>
      </x:c>
      <x:c r="J146" s="7" t="inlineStr">
        <x:is>
          <x:t xml:space="preserve"/>
        </x:is>
      </x:c>
      <x:c r="K146" s="7">
        <x:f>IF(G146="","", TODAY()-G146)</x:f>
      </x:c>
      <x:c r="L146" s="7">
        <x:f>IF(OR(I146="",J146="Closed"),"", IF(TODAY()&gt;I146,"Yes","No"))</x:f>
      </x:c>
      <x:c r="M146" s="7" t="inlineStr">
        <x:is>
          <x:t xml:space="preserve"/>
        </x:is>
      </x:c>
      <x:c r="N146" s="6" t="inlineStr">
        <x:is>
          <x:t xml:space="preserve"/>
        </x:is>
      </x:c>
    </x:row>
    <x:row r="147">
      <x:c r="A147" s="7">
        <x:f>IF(E147="","", "ISS-"&amp;TEXT(ROW()-1,"00000"))</x:f>
      </x:c>
      <x:c r="B147" s="7" t="inlineStr">
        <x:is>
          <x:t xml:space="preserve"/>
        </x:is>
      </x:c>
      <x:c r="C147" s="7" t="inlineStr">
        <x:is>
          <x:t xml:space="preserve"/>
        </x:is>
      </x:c>
      <x:c r="D147" s="7" t="inlineStr">
        <x:is>
          <x:t xml:space="preserve"/>
        </x:is>
      </x:c>
      <x:c r="E147" s="6" t="inlineStr">
        <x:is>
          <x:t xml:space="preserve"/>
        </x:is>
      </x:c>
      <x:c r="F147" s="7" t="inlineStr">
        <x:is>
          <x:t xml:space="preserve"/>
        </x:is>
      </x:c>
      <x:c r="G147" s="8" t="inlineStr">
        <x:is>
          <x:t xml:space="preserve"/>
        </x:is>
      </x:c>
      <x:c r="H147" s="6" t="inlineStr">
        <x:is>
          <x:t xml:space="preserve"/>
        </x:is>
      </x:c>
      <x:c r="I147" s="8" t="inlineStr">
        <x:is>
          <x:t xml:space="preserve"/>
        </x:is>
      </x:c>
      <x:c r="J147" s="7" t="inlineStr">
        <x:is>
          <x:t xml:space="preserve"/>
        </x:is>
      </x:c>
      <x:c r="K147" s="7">
        <x:f>IF(G147="","", TODAY()-G147)</x:f>
      </x:c>
      <x:c r="L147" s="7">
        <x:f>IF(OR(I147="",J147="Closed"),"", IF(TODAY()&gt;I147,"Yes","No"))</x:f>
      </x:c>
      <x:c r="M147" s="7" t="inlineStr">
        <x:is>
          <x:t xml:space="preserve"/>
        </x:is>
      </x:c>
      <x:c r="N147" s="6" t="inlineStr">
        <x:is>
          <x:t xml:space="preserve"/>
        </x:is>
      </x:c>
    </x:row>
    <x:row r="148">
      <x:c r="A148" s="7">
        <x:f>IF(E148="","", "ISS-"&amp;TEXT(ROW()-1,"00000"))</x:f>
      </x:c>
      <x:c r="B148" s="7" t="inlineStr">
        <x:is>
          <x:t xml:space="preserve"/>
        </x:is>
      </x:c>
      <x:c r="C148" s="7" t="inlineStr">
        <x:is>
          <x:t xml:space="preserve"/>
        </x:is>
      </x:c>
      <x:c r="D148" s="7" t="inlineStr">
        <x:is>
          <x:t xml:space="preserve"/>
        </x:is>
      </x:c>
      <x:c r="E148" s="6" t="inlineStr">
        <x:is>
          <x:t xml:space="preserve"/>
        </x:is>
      </x:c>
      <x:c r="F148" s="7" t="inlineStr">
        <x:is>
          <x:t xml:space="preserve"/>
        </x:is>
      </x:c>
      <x:c r="G148" s="8" t="inlineStr">
        <x:is>
          <x:t xml:space="preserve"/>
        </x:is>
      </x:c>
      <x:c r="H148" s="6" t="inlineStr">
        <x:is>
          <x:t xml:space="preserve"/>
        </x:is>
      </x:c>
      <x:c r="I148" s="8" t="inlineStr">
        <x:is>
          <x:t xml:space="preserve"/>
        </x:is>
      </x:c>
      <x:c r="J148" s="7" t="inlineStr">
        <x:is>
          <x:t xml:space="preserve"/>
        </x:is>
      </x:c>
      <x:c r="K148" s="7">
        <x:f>IF(G148="","", TODAY()-G148)</x:f>
      </x:c>
      <x:c r="L148" s="7">
        <x:f>IF(OR(I148="",J148="Closed"),"", IF(TODAY()&gt;I148,"Yes","No"))</x:f>
      </x:c>
      <x:c r="M148" s="7" t="inlineStr">
        <x:is>
          <x:t xml:space="preserve"/>
        </x:is>
      </x:c>
      <x:c r="N148" s="6" t="inlineStr">
        <x:is>
          <x:t xml:space="preserve"/>
        </x:is>
      </x:c>
    </x:row>
    <x:row r="149">
      <x:c r="A149" s="7">
        <x:f>IF(E149="","", "ISS-"&amp;TEXT(ROW()-1,"00000"))</x:f>
      </x:c>
      <x:c r="B149" s="7" t="inlineStr">
        <x:is>
          <x:t xml:space="preserve"/>
        </x:is>
      </x:c>
      <x:c r="C149" s="7" t="inlineStr">
        <x:is>
          <x:t xml:space="preserve"/>
        </x:is>
      </x:c>
      <x:c r="D149" s="7" t="inlineStr">
        <x:is>
          <x:t xml:space="preserve"/>
        </x:is>
      </x:c>
      <x:c r="E149" s="6" t="inlineStr">
        <x:is>
          <x:t xml:space="preserve"/>
        </x:is>
      </x:c>
      <x:c r="F149" s="7" t="inlineStr">
        <x:is>
          <x:t xml:space="preserve"/>
        </x:is>
      </x:c>
      <x:c r="G149" s="8" t="inlineStr">
        <x:is>
          <x:t xml:space="preserve"/>
        </x:is>
      </x:c>
      <x:c r="H149" s="6" t="inlineStr">
        <x:is>
          <x:t xml:space="preserve"/>
        </x:is>
      </x:c>
      <x:c r="I149" s="8" t="inlineStr">
        <x:is>
          <x:t xml:space="preserve"/>
        </x:is>
      </x:c>
      <x:c r="J149" s="7" t="inlineStr">
        <x:is>
          <x:t xml:space="preserve"/>
        </x:is>
      </x:c>
      <x:c r="K149" s="7">
        <x:f>IF(G149="","", TODAY()-G149)</x:f>
      </x:c>
      <x:c r="L149" s="7">
        <x:f>IF(OR(I149="",J149="Closed"),"", IF(TODAY()&gt;I149,"Yes","No"))</x:f>
      </x:c>
      <x:c r="M149" s="7" t="inlineStr">
        <x:is>
          <x:t xml:space="preserve"/>
        </x:is>
      </x:c>
      <x:c r="N149" s="6" t="inlineStr">
        <x:is>
          <x:t xml:space="preserve"/>
        </x:is>
      </x:c>
    </x:row>
    <x:row r="150">
      <x:c r="A150" s="7">
        <x:f>IF(E150="","", "ISS-"&amp;TEXT(ROW()-1,"00000"))</x:f>
      </x:c>
      <x:c r="B150" s="7" t="inlineStr">
        <x:is>
          <x:t xml:space="preserve"/>
        </x:is>
      </x:c>
      <x:c r="C150" s="7" t="inlineStr">
        <x:is>
          <x:t xml:space="preserve"/>
        </x:is>
      </x:c>
      <x:c r="D150" s="7" t="inlineStr">
        <x:is>
          <x:t xml:space="preserve"/>
        </x:is>
      </x:c>
      <x:c r="E150" s="6" t="inlineStr">
        <x:is>
          <x:t xml:space="preserve"/>
        </x:is>
      </x:c>
      <x:c r="F150" s="7" t="inlineStr">
        <x:is>
          <x:t xml:space="preserve"/>
        </x:is>
      </x:c>
      <x:c r="G150" s="8" t="inlineStr">
        <x:is>
          <x:t xml:space="preserve"/>
        </x:is>
      </x:c>
      <x:c r="H150" s="6" t="inlineStr">
        <x:is>
          <x:t xml:space="preserve"/>
        </x:is>
      </x:c>
      <x:c r="I150" s="8" t="inlineStr">
        <x:is>
          <x:t xml:space="preserve"/>
        </x:is>
      </x:c>
      <x:c r="J150" s="7" t="inlineStr">
        <x:is>
          <x:t xml:space="preserve"/>
        </x:is>
      </x:c>
      <x:c r="K150" s="7">
        <x:f>IF(G150="","", TODAY()-G150)</x:f>
      </x:c>
      <x:c r="L150" s="7">
        <x:f>IF(OR(I150="",J150="Closed"),"", IF(TODAY()&gt;I150,"Yes","No"))</x:f>
      </x:c>
      <x:c r="M150" s="7" t="inlineStr">
        <x:is>
          <x:t xml:space="preserve"/>
        </x:is>
      </x:c>
      <x:c r="N150" s="6" t="inlineStr">
        <x:is>
          <x:t xml:space="preserve"/>
        </x:is>
      </x:c>
    </x:row>
    <x:row r="151">
      <x:c r="A151" s="7">
        <x:f>IF(E151="","", "ISS-"&amp;TEXT(ROW()-1,"00000"))</x:f>
      </x:c>
      <x:c r="B151" s="7" t="inlineStr">
        <x:is>
          <x:t xml:space="preserve"/>
        </x:is>
      </x:c>
      <x:c r="C151" s="7" t="inlineStr">
        <x:is>
          <x:t xml:space="preserve"/>
        </x:is>
      </x:c>
      <x:c r="D151" s="7" t="inlineStr">
        <x:is>
          <x:t xml:space="preserve"/>
        </x:is>
      </x:c>
      <x:c r="E151" s="6" t="inlineStr">
        <x:is>
          <x:t xml:space="preserve"/>
        </x:is>
      </x:c>
      <x:c r="F151" s="7" t="inlineStr">
        <x:is>
          <x:t xml:space="preserve"/>
        </x:is>
      </x:c>
      <x:c r="G151" s="8" t="inlineStr">
        <x:is>
          <x:t xml:space="preserve"/>
        </x:is>
      </x:c>
      <x:c r="H151" s="6" t="inlineStr">
        <x:is>
          <x:t xml:space="preserve"/>
        </x:is>
      </x:c>
      <x:c r="I151" s="8" t="inlineStr">
        <x:is>
          <x:t xml:space="preserve"/>
        </x:is>
      </x:c>
      <x:c r="J151" s="7" t="inlineStr">
        <x:is>
          <x:t xml:space="preserve"/>
        </x:is>
      </x:c>
      <x:c r="K151" s="7">
        <x:f>IF(G151="","", TODAY()-G151)</x:f>
      </x:c>
      <x:c r="L151" s="7">
        <x:f>IF(OR(I151="",J151="Closed"),"", IF(TODAY()&gt;I151,"Yes","No"))</x:f>
      </x:c>
      <x:c r="M151" s="7" t="inlineStr">
        <x:is>
          <x:t xml:space="preserve"/>
        </x:is>
      </x:c>
      <x:c r="N151" s="6" t="inlineStr">
        <x:is>
          <x:t xml:space="preserve"/>
        </x:is>
      </x:c>
    </x:row>
    <x:row r="152">
      <x:c r="A152" s="7">
        <x:f>IF(E152="","", "ISS-"&amp;TEXT(ROW()-1,"00000"))</x:f>
      </x:c>
      <x:c r="B152" s="7" t="inlineStr">
        <x:is>
          <x:t xml:space="preserve"/>
        </x:is>
      </x:c>
      <x:c r="C152" s="7" t="inlineStr">
        <x:is>
          <x:t xml:space="preserve"/>
        </x:is>
      </x:c>
      <x:c r="D152" s="7" t="inlineStr">
        <x:is>
          <x:t xml:space="preserve"/>
        </x:is>
      </x:c>
      <x:c r="E152" s="6" t="inlineStr">
        <x:is>
          <x:t xml:space="preserve"/>
        </x:is>
      </x:c>
      <x:c r="F152" s="7" t="inlineStr">
        <x:is>
          <x:t xml:space="preserve"/>
        </x:is>
      </x:c>
      <x:c r="G152" s="8" t="inlineStr">
        <x:is>
          <x:t xml:space="preserve"/>
        </x:is>
      </x:c>
      <x:c r="H152" s="6" t="inlineStr">
        <x:is>
          <x:t xml:space="preserve"/>
        </x:is>
      </x:c>
      <x:c r="I152" s="8" t="inlineStr">
        <x:is>
          <x:t xml:space="preserve"/>
        </x:is>
      </x:c>
      <x:c r="J152" s="7" t="inlineStr">
        <x:is>
          <x:t xml:space="preserve"/>
        </x:is>
      </x:c>
      <x:c r="K152" s="7">
        <x:f>IF(G152="","", TODAY()-G152)</x:f>
      </x:c>
      <x:c r="L152" s="7">
        <x:f>IF(OR(I152="",J152="Closed"),"", IF(TODAY()&gt;I152,"Yes","No"))</x:f>
      </x:c>
      <x:c r="M152" s="7" t="inlineStr">
        <x:is>
          <x:t xml:space="preserve"/>
        </x:is>
      </x:c>
      <x:c r="N152" s="6" t="inlineStr">
        <x:is>
          <x:t xml:space="preserve"/>
        </x:is>
      </x:c>
    </x:row>
    <x:row r="153">
      <x:c r="A153" s="7">
        <x:f>IF(E153="","", "ISS-"&amp;TEXT(ROW()-1,"00000"))</x:f>
      </x:c>
      <x:c r="B153" s="7" t="inlineStr">
        <x:is>
          <x:t xml:space="preserve"/>
        </x:is>
      </x:c>
      <x:c r="C153" s="7" t="inlineStr">
        <x:is>
          <x:t xml:space="preserve"/>
        </x:is>
      </x:c>
      <x:c r="D153" s="7" t="inlineStr">
        <x:is>
          <x:t xml:space="preserve"/>
        </x:is>
      </x:c>
      <x:c r="E153" s="6" t="inlineStr">
        <x:is>
          <x:t xml:space="preserve"/>
        </x:is>
      </x:c>
      <x:c r="F153" s="7" t="inlineStr">
        <x:is>
          <x:t xml:space="preserve"/>
        </x:is>
      </x:c>
      <x:c r="G153" s="8" t="inlineStr">
        <x:is>
          <x:t xml:space="preserve"/>
        </x:is>
      </x:c>
      <x:c r="H153" s="6" t="inlineStr">
        <x:is>
          <x:t xml:space="preserve"/>
        </x:is>
      </x:c>
      <x:c r="I153" s="8" t="inlineStr">
        <x:is>
          <x:t xml:space="preserve"/>
        </x:is>
      </x:c>
      <x:c r="J153" s="7" t="inlineStr">
        <x:is>
          <x:t xml:space="preserve"/>
        </x:is>
      </x:c>
      <x:c r="K153" s="7">
        <x:f>IF(G153="","", TODAY()-G153)</x:f>
      </x:c>
      <x:c r="L153" s="7">
        <x:f>IF(OR(I153="",J153="Closed"),"", IF(TODAY()&gt;I153,"Yes","No"))</x:f>
      </x:c>
      <x:c r="M153" s="7" t="inlineStr">
        <x:is>
          <x:t xml:space="preserve"/>
        </x:is>
      </x:c>
      <x:c r="N153" s="6" t="inlineStr">
        <x:is>
          <x:t xml:space="preserve"/>
        </x:is>
      </x:c>
    </x:row>
    <x:row r="154">
      <x:c r="A154" s="7">
        <x:f>IF(E154="","", "ISS-"&amp;TEXT(ROW()-1,"00000"))</x:f>
      </x:c>
      <x:c r="B154" s="7" t="inlineStr">
        <x:is>
          <x:t xml:space="preserve"/>
        </x:is>
      </x:c>
      <x:c r="C154" s="7" t="inlineStr">
        <x:is>
          <x:t xml:space="preserve"/>
        </x:is>
      </x:c>
      <x:c r="D154" s="7" t="inlineStr">
        <x:is>
          <x:t xml:space="preserve"/>
        </x:is>
      </x:c>
      <x:c r="E154" s="6" t="inlineStr">
        <x:is>
          <x:t xml:space="preserve"/>
        </x:is>
      </x:c>
      <x:c r="F154" s="7" t="inlineStr">
        <x:is>
          <x:t xml:space="preserve"/>
        </x:is>
      </x:c>
      <x:c r="G154" s="8" t="inlineStr">
        <x:is>
          <x:t xml:space="preserve"/>
        </x:is>
      </x:c>
      <x:c r="H154" s="6" t="inlineStr">
        <x:is>
          <x:t xml:space="preserve"/>
        </x:is>
      </x:c>
      <x:c r="I154" s="8" t="inlineStr">
        <x:is>
          <x:t xml:space="preserve"/>
        </x:is>
      </x:c>
      <x:c r="J154" s="7" t="inlineStr">
        <x:is>
          <x:t xml:space="preserve"/>
        </x:is>
      </x:c>
      <x:c r="K154" s="7">
        <x:f>IF(G154="","", TODAY()-G154)</x:f>
      </x:c>
      <x:c r="L154" s="7">
        <x:f>IF(OR(I154="",J154="Closed"),"", IF(TODAY()&gt;I154,"Yes","No"))</x:f>
      </x:c>
      <x:c r="M154" s="7" t="inlineStr">
        <x:is>
          <x:t xml:space="preserve"/>
        </x:is>
      </x:c>
      <x:c r="N154" s="6" t="inlineStr">
        <x:is>
          <x:t xml:space="preserve"/>
        </x:is>
      </x:c>
    </x:row>
    <x:row r="155">
      <x:c r="A155" s="7">
        <x:f>IF(E155="","", "ISS-"&amp;TEXT(ROW()-1,"00000"))</x:f>
      </x:c>
      <x:c r="B155" s="7" t="inlineStr">
        <x:is>
          <x:t xml:space="preserve"/>
        </x:is>
      </x:c>
      <x:c r="C155" s="7" t="inlineStr">
        <x:is>
          <x:t xml:space="preserve"/>
        </x:is>
      </x:c>
      <x:c r="D155" s="7" t="inlineStr">
        <x:is>
          <x:t xml:space="preserve"/>
        </x:is>
      </x:c>
      <x:c r="E155" s="6" t="inlineStr">
        <x:is>
          <x:t xml:space="preserve"/>
        </x:is>
      </x:c>
      <x:c r="F155" s="7" t="inlineStr">
        <x:is>
          <x:t xml:space="preserve"/>
        </x:is>
      </x:c>
      <x:c r="G155" s="8" t="inlineStr">
        <x:is>
          <x:t xml:space="preserve"/>
        </x:is>
      </x:c>
      <x:c r="H155" s="6" t="inlineStr">
        <x:is>
          <x:t xml:space="preserve"/>
        </x:is>
      </x:c>
      <x:c r="I155" s="8" t="inlineStr">
        <x:is>
          <x:t xml:space="preserve"/>
        </x:is>
      </x:c>
      <x:c r="J155" s="7" t="inlineStr">
        <x:is>
          <x:t xml:space="preserve"/>
        </x:is>
      </x:c>
      <x:c r="K155" s="7">
        <x:f>IF(G155="","", TODAY()-G155)</x:f>
      </x:c>
      <x:c r="L155" s="7">
        <x:f>IF(OR(I155="",J155="Closed"),"", IF(TODAY()&gt;I155,"Yes","No"))</x:f>
      </x:c>
      <x:c r="M155" s="7" t="inlineStr">
        <x:is>
          <x:t xml:space="preserve"/>
        </x:is>
      </x:c>
      <x:c r="N155" s="6" t="inlineStr">
        <x:is>
          <x:t xml:space="preserve"/>
        </x:is>
      </x:c>
    </x:row>
    <x:row r="156">
      <x:c r="A156" s="7">
        <x:f>IF(E156="","", "ISS-"&amp;TEXT(ROW()-1,"00000"))</x:f>
      </x:c>
      <x:c r="B156" s="7" t="inlineStr">
        <x:is>
          <x:t xml:space="preserve"/>
        </x:is>
      </x:c>
      <x:c r="C156" s="7" t="inlineStr">
        <x:is>
          <x:t xml:space="preserve"/>
        </x:is>
      </x:c>
      <x:c r="D156" s="7" t="inlineStr">
        <x:is>
          <x:t xml:space="preserve"/>
        </x:is>
      </x:c>
      <x:c r="E156" s="6" t="inlineStr">
        <x:is>
          <x:t xml:space="preserve"/>
        </x:is>
      </x:c>
      <x:c r="F156" s="7" t="inlineStr">
        <x:is>
          <x:t xml:space="preserve"/>
        </x:is>
      </x:c>
      <x:c r="G156" s="8" t="inlineStr">
        <x:is>
          <x:t xml:space="preserve"/>
        </x:is>
      </x:c>
      <x:c r="H156" s="6" t="inlineStr">
        <x:is>
          <x:t xml:space="preserve"/>
        </x:is>
      </x:c>
      <x:c r="I156" s="8" t="inlineStr">
        <x:is>
          <x:t xml:space="preserve"/>
        </x:is>
      </x:c>
      <x:c r="J156" s="7" t="inlineStr">
        <x:is>
          <x:t xml:space="preserve"/>
        </x:is>
      </x:c>
      <x:c r="K156" s="7">
        <x:f>IF(G156="","", TODAY()-G156)</x:f>
      </x:c>
      <x:c r="L156" s="7">
        <x:f>IF(OR(I156="",J156="Closed"),"", IF(TODAY()&gt;I156,"Yes","No"))</x:f>
      </x:c>
      <x:c r="M156" s="7" t="inlineStr">
        <x:is>
          <x:t xml:space="preserve"/>
        </x:is>
      </x:c>
      <x:c r="N156" s="6" t="inlineStr">
        <x:is>
          <x:t xml:space="preserve"/>
        </x:is>
      </x:c>
    </x:row>
    <x:row r="157">
      <x:c r="A157" s="7">
        <x:f>IF(E157="","", "ISS-"&amp;TEXT(ROW()-1,"00000"))</x:f>
      </x:c>
      <x:c r="B157" s="7" t="inlineStr">
        <x:is>
          <x:t xml:space="preserve"/>
        </x:is>
      </x:c>
      <x:c r="C157" s="7" t="inlineStr">
        <x:is>
          <x:t xml:space="preserve"/>
        </x:is>
      </x:c>
      <x:c r="D157" s="7" t="inlineStr">
        <x:is>
          <x:t xml:space="preserve"/>
        </x:is>
      </x:c>
      <x:c r="E157" s="6" t="inlineStr">
        <x:is>
          <x:t xml:space="preserve"/>
        </x:is>
      </x:c>
      <x:c r="F157" s="7" t="inlineStr">
        <x:is>
          <x:t xml:space="preserve"/>
        </x:is>
      </x:c>
      <x:c r="G157" s="8" t="inlineStr">
        <x:is>
          <x:t xml:space="preserve"/>
        </x:is>
      </x:c>
      <x:c r="H157" s="6" t="inlineStr">
        <x:is>
          <x:t xml:space="preserve"/>
        </x:is>
      </x:c>
      <x:c r="I157" s="8" t="inlineStr">
        <x:is>
          <x:t xml:space="preserve"/>
        </x:is>
      </x:c>
      <x:c r="J157" s="7" t="inlineStr">
        <x:is>
          <x:t xml:space="preserve"/>
        </x:is>
      </x:c>
      <x:c r="K157" s="7">
        <x:f>IF(G157="","", TODAY()-G157)</x:f>
      </x:c>
      <x:c r="L157" s="7">
        <x:f>IF(OR(I157="",J157="Closed"),"", IF(TODAY()&gt;I157,"Yes","No"))</x:f>
      </x:c>
      <x:c r="M157" s="7" t="inlineStr">
        <x:is>
          <x:t xml:space="preserve"/>
        </x:is>
      </x:c>
      <x:c r="N157" s="6" t="inlineStr">
        <x:is>
          <x:t xml:space="preserve"/>
        </x:is>
      </x:c>
    </x:row>
    <x:row r="158">
      <x:c r="A158" s="7">
        <x:f>IF(E158="","", "ISS-"&amp;TEXT(ROW()-1,"00000"))</x:f>
      </x:c>
      <x:c r="B158" s="7" t="inlineStr">
        <x:is>
          <x:t xml:space="preserve"/>
        </x:is>
      </x:c>
      <x:c r="C158" s="7" t="inlineStr">
        <x:is>
          <x:t xml:space="preserve"/>
        </x:is>
      </x:c>
      <x:c r="D158" s="7" t="inlineStr">
        <x:is>
          <x:t xml:space="preserve"/>
        </x:is>
      </x:c>
      <x:c r="E158" s="6" t="inlineStr">
        <x:is>
          <x:t xml:space="preserve"/>
        </x:is>
      </x:c>
      <x:c r="F158" s="7" t="inlineStr">
        <x:is>
          <x:t xml:space="preserve"/>
        </x:is>
      </x:c>
      <x:c r="G158" s="8" t="inlineStr">
        <x:is>
          <x:t xml:space="preserve"/>
        </x:is>
      </x:c>
      <x:c r="H158" s="6" t="inlineStr">
        <x:is>
          <x:t xml:space="preserve"/>
        </x:is>
      </x:c>
      <x:c r="I158" s="8" t="inlineStr">
        <x:is>
          <x:t xml:space="preserve"/>
        </x:is>
      </x:c>
      <x:c r="J158" s="7" t="inlineStr">
        <x:is>
          <x:t xml:space="preserve"/>
        </x:is>
      </x:c>
      <x:c r="K158" s="7">
        <x:f>IF(G158="","", TODAY()-G158)</x:f>
      </x:c>
      <x:c r="L158" s="7">
        <x:f>IF(OR(I158="",J158="Closed"),"", IF(TODAY()&gt;I158,"Yes","No"))</x:f>
      </x:c>
      <x:c r="M158" s="7" t="inlineStr">
        <x:is>
          <x:t xml:space="preserve"/>
        </x:is>
      </x:c>
      <x:c r="N158" s="6" t="inlineStr">
        <x:is>
          <x:t xml:space="preserve"/>
        </x:is>
      </x:c>
    </x:row>
    <x:row r="159">
      <x:c r="A159" s="7">
        <x:f>IF(E159="","", "ISS-"&amp;TEXT(ROW()-1,"00000"))</x:f>
      </x:c>
      <x:c r="B159" s="7" t="inlineStr">
        <x:is>
          <x:t xml:space="preserve"/>
        </x:is>
      </x:c>
      <x:c r="C159" s="7" t="inlineStr">
        <x:is>
          <x:t xml:space="preserve"/>
        </x:is>
      </x:c>
      <x:c r="D159" s="7" t="inlineStr">
        <x:is>
          <x:t xml:space="preserve"/>
        </x:is>
      </x:c>
      <x:c r="E159" s="6" t="inlineStr">
        <x:is>
          <x:t xml:space="preserve"/>
        </x:is>
      </x:c>
      <x:c r="F159" s="7" t="inlineStr">
        <x:is>
          <x:t xml:space="preserve"/>
        </x:is>
      </x:c>
      <x:c r="G159" s="8" t="inlineStr">
        <x:is>
          <x:t xml:space="preserve"/>
        </x:is>
      </x:c>
      <x:c r="H159" s="6" t="inlineStr">
        <x:is>
          <x:t xml:space="preserve"/>
        </x:is>
      </x:c>
      <x:c r="I159" s="8" t="inlineStr">
        <x:is>
          <x:t xml:space="preserve"/>
        </x:is>
      </x:c>
      <x:c r="J159" s="7" t="inlineStr">
        <x:is>
          <x:t xml:space="preserve"/>
        </x:is>
      </x:c>
      <x:c r="K159" s="7">
        <x:f>IF(G159="","", TODAY()-G159)</x:f>
      </x:c>
      <x:c r="L159" s="7">
        <x:f>IF(OR(I159="",J159="Closed"),"", IF(TODAY()&gt;I159,"Yes","No"))</x:f>
      </x:c>
      <x:c r="M159" s="7" t="inlineStr">
        <x:is>
          <x:t xml:space="preserve"/>
        </x:is>
      </x:c>
      <x:c r="N159" s="6" t="inlineStr">
        <x:is>
          <x:t xml:space="preserve"/>
        </x:is>
      </x:c>
    </x:row>
    <x:row r="160">
      <x:c r="A160" s="7">
        <x:f>IF(E160="","", "ISS-"&amp;TEXT(ROW()-1,"00000"))</x:f>
      </x:c>
      <x:c r="B160" s="7" t="inlineStr">
        <x:is>
          <x:t xml:space="preserve"/>
        </x:is>
      </x:c>
      <x:c r="C160" s="7" t="inlineStr">
        <x:is>
          <x:t xml:space="preserve"/>
        </x:is>
      </x:c>
      <x:c r="D160" s="7" t="inlineStr">
        <x:is>
          <x:t xml:space="preserve"/>
        </x:is>
      </x:c>
      <x:c r="E160" s="6" t="inlineStr">
        <x:is>
          <x:t xml:space="preserve"/>
        </x:is>
      </x:c>
      <x:c r="F160" s="7" t="inlineStr">
        <x:is>
          <x:t xml:space="preserve"/>
        </x:is>
      </x:c>
      <x:c r="G160" s="8" t="inlineStr">
        <x:is>
          <x:t xml:space="preserve"/>
        </x:is>
      </x:c>
      <x:c r="H160" s="6" t="inlineStr">
        <x:is>
          <x:t xml:space="preserve"/>
        </x:is>
      </x:c>
      <x:c r="I160" s="8" t="inlineStr">
        <x:is>
          <x:t xml:space="preserve"/>
        </x:is>
      </x:c>
      <x:c r="J160" s="7" t="inlineStr">
        <x:is>
          <x:t xml:space="preserve"/>
        </x:is>
      </x:c>
      <x:c r="K160" s="7">
        <x:f>IF(G160="","", TODAY()-G160)</x:f>
      </x:c>
      <x:c r="L160" s="7">
        <x:f>IF(OR(I160="",J160="Closed"),"", IF(TODAY()&gt;I160,"Yes","No"))</x:f>
      </x:c>
      <x:c r="M160" s="7" t="inlineStr">
        <x:is>
          <x:t xml:space="preserve"/>
        </x:is>
      </x:c>
      <x:c r="N160" s="6" t="inlineStr">
        <x:is>
          <x:t xml:space="preserve"/>
        </x:is>
      </x:c>
    </x:row>
    <x:row r="161">
      <x:c r="A161" s="7">
        <x:f>IF(E161="","", "ISS-"&amp;TEXT(ROW()-1,"00000"))</x:f>
      </x:c>
      <x:c r="B161" s="7" t="inlineStr">
        <x:is>
          <x:t xml:space="preserve"/>
        </x:is>
      </x:c>
      <x:c r="C161" s="7" t="inlineStr">
        <x:is>
          <x:t xml:space="preserve"/>
        </x:is>
      </x:c>
      <x:c r="D161" s="7" t="inlineStr">
        <x:is>
          <x:t xml:space="preserve"/>
        </x:is>
      </x:c>
      <x:c r="E161" s="6" t="inlineStr">
        <x:is>
          <x:t xml:space="preserve"/>
        </x:is>
      </x:c>
      <x:c r="F161" s="7" t="inlineStr">
        <x:is>
          <x:t xml:space="preserve"/>
        </x:is>
      </x:c>
      <x:c r="G161" s="8" t="inlineStr">
        <x:is>
          <x:t xml:space="preserve"/>
        </x:is>
      </x:c>
      <x:c r="H161" s="6" t="inlineStr">
        <x:is>
          <x:t xml:space="preserve"/>
        </x:is>
      </x:c>
      <x:c r="I161" s="8" t="inlineStr">
        <x:is>
          <x:t xml:space="preserve"/>
        </x:is>
      </x:c>
      <x:c r="J161" s="7" t="inlineStr">
        <x:is>
          <x:t xml:space="preserve"/>
        </x:is>
      </x:c>
      <x:c r="K161" s="7">
        <x:f>IF(G161="","", TODAY()-G161)</x:f>
      </x:c>
      <x:c r="L161" s="7">
        <x:f>IF(OR(I161="",J161="Closed"),"", IF(TODAY()&gt;I161,"Yes","No"))</x:f>
      </x:c>
      <x:c r="M161" s="7" t="inlineStr">
        <x:is>
          <x:t xml:space="preserve"/>
        </x:is>
      </x:c>
      <x:c r="N161" s="6" t="inlineStr">
        <x:is>
          <x:t xml:space="preserve"/>
        </x:is>
      </x:c>
    </x:row>
    <x:row r="162">
      <x:c r="A162" s="7">
        <x:f>IF(E162="","", "ISS-"&amp;TEXT(ROW()-1,"00000"))</x:f>
      </x:c>
      <x:c r="B162" s="7" t="inlineStr">
        <x:is>
          <x:t xml:space="preserve"/>
        </x:is>
      </x:c>
      <x:c r="C162" s="7" t="inlineStr">
        <x:is>
          <x:t xml:space="preserve"/>
        </x:is>
      </x:c>
      <x:c r="D162" s="7" t="inlineStr">
        <x:is>
          <x:t xml:space="preserve"/>
        </x:is>
      </x:c>
      <x:c r="E162" s="6" t="inlineStr">
        <x:is>
          <x:t xml:space="preserve"/>
        </x:is>
      </x:c>
      <x:c r="F162" s="7" t="inlineStr">
        <x:is>
          <x:t xml:space="preserve"/>
        </x:is>
      </x:c>
      <x:c r="G162" s="8" t="inlineStr">
        <x:is>
          <x:t xml:space="preserve"/>
        </x:is>
      </x:c>
      <x:c r="H162" s="6" t="inlineStr">
        <x:is>
          <x:t xml:space="preserve"/>
        </x:is>
      </x:c>
      <x:c r="I162" s="8" t="inlineStr">
        <x:is>
          <x:t xml:space="preserve"/>
        </x:is>
      </x:c>
      <x:c r="J162" s="7" t="inlineStr">
        <x:is>
          <x:t xml:space="preserve"/>
        </x:is>
      </x:c>
      <x:c r="K162" s="7">
        <x:f>IF(G162="","", TODAY()-G162)</x:f>
      </x:c>
      <x:c r="L162" s="7">
        <x:f>IF(OR(I162="",J162="Closed"),"", IF(TODAY()&gt;I162,"Yes","No"))</x:f>
      </x:c>
      <x:c r="M162" s="7" t="inlineStr">
        <x:is>
          <x:t xml:space="preserve"/>
        </x:is>
      </x:c>
      <x:c r="N162" s="6" t="inlineStr">
        <x:is>
          <x:t xml:space="preserve"/>
        </x:is>
      </x:c>
    </x:row>
    <x:row r="163">
      <x:c r="A163" s="7">
        <x:f>IF(E163="","", "ISS-"&amp;TEXT(ROW()-1,"00000"))</x:f>
      </x:c>
      <x:c r="B163" s="7" t="inlineStr">
        <x:is>
          <x:t xml:space="preserve"/>
        </x:is>
      </x:c>
      <x:c r="C163" s="7" t="inlineStr">
        <x:is>
          <x:t xml:space="preserve"/>
        </x:is>
      </x:c>
      <x:c r="D163" s="7" t="inlineStr">
        <x:is>
          <x:t xml:space="preserve"/>
        </x:is>
      </x:c>
      <x:c r="E163" s="6" t="inlineStr">
        <x:is>
          <x:t xml:space="preserve"/>
        </x:is>
      </x:c>
      <x:c r="F163" s="7" t="inlineStr">
        <x:is>
          <x:t xml:space="preserve"/>
        </x:is>
      </x:c>
      <x:c r="G163" s="8" t="inlineStr">
        <x:is>
          <x:t xml:space="preserve"/>
        </x:is>
      </x:c>
      <x:c r="H163" s="6" t="inlineStr">
        <x:is>
          <x:t xml:space="preserve"/>
        </x:is>
      </x:c>
      <x:c r="I163" s="8" t="inlineStr">
        <x:is>
          <x:t xml:space="preserve"/>
        </x:is>
      </x:c>
      <x:c r="J163" s="7" t="inlineStr">
        <x:is>
          <x:t xml:space="preserve"/>
        </x:is>
      </x:c>
      <x:c r="K163" s="7">
        <x:f>IF(G163="","", TODAY()-G163)</x:f>
      </x:c>
      <x:c r="L163" s="7">
        <x:f>IF(OR(I163="",J163="Closed"),"", IF(TODAY()&gt;I163,"Yes","No"))</x:f>
      </x:c>
      <x:c r="M163" s="7" t="inlineStr">
        <x:is>
          <x:t xml:space="preserve"/>
        </x:is>
      </x:c>
      <x:c r="N163" s="6" t="inlineStr">
        <x:is>
          <x:t xml:space="preserve"/>
        </x:is>
      </x:c>
    </x:row>
    <x:row r="164">
      <x:c r="A164" s="7">
        <x:f>IF(E164="","", "ISS-"&amp;TEXT(ROW()-1,"00000"))</x:f>
      </x:c>
      <x:c r="B164" s="7" t="inlineStr">
        <x:is>
          <x:t xml:space="preserve"/>
        </x:is>
      </x:c>
      <x:c r="C164" s="7" t="inlineStr">
        <x:is>
          <x:t xml:space="preserve"/>
        </x:is>
      </x:c>
      <x:c r="D164" s="7" t="inlineStr">
        <x:is>
          <x:t xml:space="preserve"/>
        </x:is>
      </x:c>
      <x:c r="E164" s="6" t="inlineStr">
        <x:is>
          <x:t xml:space="preserve"/>
        </x:is>
      </x:c>
      <x:c r="F164" s="7" t="inlineStr">
        <x:is>
          <x:t xml:space="preserve"/>
        </x:is>
      </x:c>
      <x:c r="G164" s="8" t="inlineStr">
        <x:is>
          <x:t xml:space="preserve"/>
        </x:is>
      </x:c>
      <x:c r="H164" s="6" t="inlineStr">
        <x:is>
          <x:t xml:space="preserve"/>
        </x:is>
      </x:c>
      <x:c r="I164" s="8" t="inlineStr">
        <x:is>
          <x:t xml:space="preserve"/>
        </x:is>
      </x:c>
      <x:c r="J164" s="7" t="inlineStr">
        <x:is>
          <x:t xml:space="preserve"/>
        </x:is>
      </x:c>
      <x:c r="K164" s="7">
        <x:f>IF(G164="","", TODAY()-G164)</x:f>
      </x:c>
      <x:c r="L164" s="7">
        <x:f>IF(OR(I164="",J164="Closed"),"", IF(TODAY()&gt;I164,"Yes","No"))</x:f>
      </x:c>
      <x:c r="M164" s="7" t="inlineStr">
        <x:is>
          <x:t xml:space="preserve"/>
        </x:is>
      </x:c>
      <x:c r="N164" s="6" t="inlineStr">
        <x:is>
          <x:t xml:space="preserve"/>
        </x:is>
      </x:c>
    </x:row>
    <x:row r="165">
      <x:c r="A165" s="7">
        <x:f>IF(E165="","", "ISS-"&amp;TEXT(ROW()-1,"00000"))</x:f>
      </x:c>
      <x:c r="B165" s="7" t="inlineStr">
        <x:is>
          <x:t xml:space="preserve"/>
        </x:is>
      </x:c>
      <x:c r="C165" s="7" t="inlineStr">
        <x:is>
          <x:t xml:space="preserve"/>
        </x:is>
      </x:c>
      <x:c r="D165" s="7" t="inlineStr">
        <x:is>
          <x:t xml:space="preserve"/>
        </x:is>
      </x:c>
      <x:c r="E165" s="6" t="inlineStr">
        <x:is>
          <x:t xml:space="preserve"/>
        </x:is>
      </x:c>
      <x:c r="F165" s="7" t="inlineStr">
        <x:is>
          <x:t xml:space="preserve"/>
        </x:is>
      </x:c>
      <x:c r="G165" s="8" t="inlineStr">
        <x:is>
          <x:t xml:space="preserve"/>
        </x:is>
      </x:c>
      <x:c r="H165" s="6" t="inlineStr">
        <x:is>
          <x:t xml:space="preserve"/>
        </x:is>
      </x:c>
      <x:c r="I165" s="8" t="inlineStr">
        <x:is>
          <x:t xml:space="preserve"/>
        </x:is>
      </x:c>
      <x:c r="J165" s="7" t="inlineStr">
        <x:is>
          <x:t xml:space="preserve"/>
        </x:is>
      </x:c>
      <x:c r="K165" s="7">
        <x:f>IF(G165="","", TODAY()-G165)</x:f>
      </x:c>
      <x:c r="L165" s="7">
        <x:f>IF(OR(I165="",J165="Closed"),"", IF(TODAY()&gt;I165,"Yes","No"))</x:f>
      </x:c>
      <x:c r="M165" s="7" t="inlineStr">
        <x:is>
          <x:t xml:space="preserve"/>
        </x:is>
      </x:c>
      <x:c r="N165" s="6" t="inlineStr">
        <x:is>
          <x:t xml:space="preserve"/>
        </x:is>
      </x:c>
    </x:row>
    <x:row r="166">
      <x:c r="A166" s="7">
        <x:f>IF(E166="","", "ISS-"&amp;TEXT(ROW()-1,"00000"))</x:f>
      </x:c>
      <x:c r="B166" s="7" t="inlineStr">
        <x:is>
          <x:t xml:space="preserve"/>
        </x:is>
      </x:c>
      <x:c r="C166" s="7" t="inlineStr">
        <x:is>
          <x:t xml:space="preserve"/>
        </x:is>
      </x:c>
      <x:c r="D166" s="7" t="inlineStr">
        <x:is>
          <x:t xml:space="preserve"/>
        </x:is>
      </x:c>
      <x:c r="E166" s="6" t="inlineStr">
        <x:is>
          <x:t xml:space="preserve"/>
        </x:is>
      </x:c>
      <x:c r="F166" s="7" t="inlineStr">
        <x:is>
          <x:t xml:space="preserve"/>
        </x:is>
      </x:c>
      <x:c r="G166" s="8" t="inlineStr">
        <x:is>
          <x:t xml:space="preserve"/>
        </x:is>
      </x:c>
      <x:c r="H166" s="6" t="inlineStr">
        <x:is>
          <x:t xml:space="preserve"/>
        </x:is>
      </x:c>
      <x:c r="I166" s="8" t="inlineStr">
        <x:is>
          <x:t xml:space="preserve"/>
        </x:is>
      </x:c>
      <x:c r="J166" s="7" t="inlineStr">
        <x:is>
          <x:t xml:space="preserve"/>
        </x:is>
      </x:c>
      <x:c r="K166" s="7">
        <x:f>IF(G166="","", TODAY()-G166)</x:f>
      </x:c>
      <x:c r="L166" s="7">
        <x:f>IF(OR(I166="",J166="Closed"),"", IF(TODAY()&gt;I166,"Yes","No"))</x:f>
      </x:c>
      <x:c r="M166" s="7" t="inlineStr">
        <x:is>
          <x:t xml:space="preserve"/>
        </x:is>
      </x:c>
      <x:c r="N166" s="6" t="inlineStr">
        <x:is>
          <x:t xml:space="preserve"/>
        </x:is>
      </x:c>
    </x:row>
    <x:row r="167">
      <x:c r="A167" s="7">
        <x:f>IF(E167="","", "ISS-"&amp;TEXT(ROW()-1,"00000"))</x:f>
      </x:c>
      <x:c r="B167" s="7" t="inlineStr">
        <x:is>
          <x:t xml:space="preserve"/>
        </x:is>
      </x:c>
      <x:c r="C167" s="7" t="inlineStr">
        <x:is>
          <x:t xml:space="preserve"/>
        </x:is>
      </x:c>
      <x:c r="D167" s="7" t="inlineStr">
        <x:is>
          <x:t xml:space="preserve"/>
        </x:is>
      </x:c>
      <x:c r="E167" s="6" t="inlineStr">
        <x:is>
          <x:t xml:space="preserve"/>
        </x:is>
      </x:c>
      <x:c r="F167" s="7" t="inlineStr">
        <x:is>
          <x:t xml:space="preserve"/>
        </x:is>
      </x:c>
      <x:c r="G167" s="8" t="inlineStr">
        <x:is>
          <x:t xml:space="preserve"/>
        </x:is>
      </x:c>
      <x:c r="H167" s="6" t="inlineStr">
        <x:is>
          <x:t xml:space="preserve"/>
        </x:is>
      </x:c>
      <x:c r="I167" s="8" t="inlineStr">
        <x:is>
          <x:t xml:space="preserve"/>
        </x:is>
      </x:c>
      <x:c r="J167" s="7" t="inlineStr">
        <x:is>
          <x:t xml:space="preserve"/>
        </x:is>
      </x:c>
      <x:c r="K167" s="7">
        <x:f>IF(G167="","", TODAY()-G167)</x:f>
      </x:c>
      <x:c r="L167" s="7">
        <x:f>IF(OR(I167="",J167="Closed"),"", IF(TODAY()&gt;I167,"Yes","No"))</x:f>
      </x:c>
      <x:c r="M167" s="7" t="inlineStr">
        <x:is>
          <x:t xml:space="preserve"/>
        </x:is>
      </x:c>
      <x:c r="N167" s="6" t="inlineStr">
        <x:is>
          <x:t xml:space="preserve"/>
        </x:is>
      </x:c>
    </x:row>
    <x:row r="168">
      <x:c r="A168" s="7">
        <x:f>IF(E168="","", "ISS-"&amp;TEXT(ROW()-1,"00000"))</x:f>
      </x:c>
      <x:c r="B168" s="7" t="inlineStr">
        <x:is>
          <x:t xml:space="preserve"/>
        </x:is>
      </x:c>
      <x:c r="C168" s="7" t="inlineStr">
        <x:is>
          <x:t xml:space="preserve"/>
        </x:is>
      </x:c>
      <x:c r="D168" s="7" t="inlineStr">
        <x:is>
          <x:t xml:space="preserve"/>
        </x:is>
      </x:c>
      <x:c r="E168" s="6" t="inlineStr">
        <x:is>
          <x:t xml:space="preserve"/>
        </x:is>
      </x:c>
      <x:c r="F168" s="7" t="inlineStr">
        <x:is>
          <x:t xml:space="preserve"/>
        </x:is>
      </x:c>
      <x:c r="G168" s="8" t="inlineStr">
        <x:is>
          <x:t xml:space="preserve"/>
        </x:is>
      </x:c>
      <x:c r="H168" s="6" t="inlineStr">
        <x:is>
          <x:t xml:space="preserve"/>
        </x:is>
      </x:c>
      <x:c r="I168" s="8" t="inlineStr">
        <x:is>
          <x:t xml:space="preserve"/>
        </x:is>
      </x:c>
      <x:c r="J168" s="7" t="inlineStr">
        <x:is>
          <x:t xml:space="preserve"/>
        </x:is>
      </x:c>
      <x:c r="K168" s="7">
        <x:f>IF(G168="","", TODAY()-G168)</x:f>
      </x:c>
      <x:c r="L168" s="7">
        <x:f>IF(OR(I168="",J168="Closed"),"", IF(TODAY()&gt;I168,"Yes","No"))</x:f>
      </x:c>
      <x:c r="M168" s="7" t="inlineStr">
        <x:is>
          <x:t xml:space="preserve"/>
        </x:is>
      </x:c>
      <x:c r="N168" s="6" t="inlineStr">
        <x:is>
          <x:t xml:space="preserve"/>
        </x:is>
      </x:c>
    </x:row>
    <x:row r="169">
      <x:c r="A169" s="7">
        <x:f>IF(E169="","", "ISS-"&amp;TEXT(ROW()-1,"00000"))</x:f>
      </x:c>
      <x:c r="B169" s="7" t="inlineStr">
        <x:is>
          <x:t xml:space="preserve"/>
        </x:is>
      </x:c>
      <x:c r="C169" s="7" t="inlineStr">
        <x:is>
          <x:t xml:space="preserve"/>
        </x:is>
      </x:c>
      <x:c r="D169" s="7" t="inlineStr">
        <x:is>
          <x:t xml:space="preserve"/>
        </x:is>
      </x:c>
      <x:c r="E169" s="6" t="inlineStr">
        <x:is>
          <x:t xml:space="preserve"/>
        </x:is>
      </x:c>
      <x:c r="F169" s="7" t="inlineStr">
        <x:is>
          <x:t xml:space="preserve"/>
        </x:is>
      </x:c>
      <x:c r="G169" s="8" t="inlineStr">
        <x:is>
          <x:t xml:space="preserve"/>
        </x:is>
      </x:c>
      <x:c r="H169" s="6" t="inlineStr">
        <x:is>
          <x:t xml:space="preserve"/>
        </x:is>
      </x:c>
      <x:c r="I169" s="8" t="inlineStr">
        <x:is>
          <x:t xml:space="preserve"/>
        </x:is>
      </x:c>
      <x:c r="J169" s="7" t="inlineStr">
        <x:is>
          <x:t xml:space="preserve"/>
        </x:is>
      </x:c>
      <x:c r="K169" s="7">
        <x:f>IF(G169="","", TODAY()-G169)</x:f>
      </x:c>
      <x:c r="L169" s="7">
        <x:f>IF(OR(I169="",J169="Closed"),"", IF(TODAY()&gt;I169,"Yes","No"))</x:f>
      </x:c>
      <x:c r="M169" s="7" t="inlineStr">
        <x:is>
          <x:t xml:space="preserve"/>
        </x:is>
      </x:c>
      <x:c r="N169" s="6" t="inlineStr">
        <x:is>
          <x:t xml:space="preserve"/>
        </x:is>
      </x:c>
    </x:row>
    <x:row r="170">
      <x:c r="A170" s="7">
        <x:f>IF(E170="","", "ISS-"&amp;TEXT(ROW()-1,"00000"))</x:f>
      </x:c>
      <x:c r="B170" s="7" t="inlineStr">
        <x:is>
          <x:t xml:space="preserve"/>
        </x:is>
      </x:c>
      <x:c r="C170" s="7" t="inlineStr">
        <x:is>
          <x:t xml:space="preserve"/>
        </x:is>
      </x:c>
      <x:c r="D170" s="7" t="inlineStr">
        <x:is>
          <x:t xml:space="preserve"/>
        </x:is>
      </x:c>
      <x:c r="E170" s="6" t="inlineStr">
        <x:is>
          <x:t xml:space="preserve"/>
        </x:is>
      </x:c>
      <x:c r="F170" s="7" t="inlineStr">
        <x:is>
          <x:t xml:space="preserve"/>
        </x:is>
      </x:c>
      <x:c r="G170" s="8" t="inlineStr">
        <x:is>
          <x:t xml:space="preserve"/>
        </x:is>
      </x:c>
      <x:c r="H170" s="6" t="inlineStr">
        <x:is>
          <x:t xml:space="preserve"/>
        </x:is>
      </x:c>
      <x:c r="I170" s="8" t="inlineStr">
        <x:is>
          <x:t xml:space="preserve"/>
        </x:is>
      </x:c>
      <x:c r="J170" s="7" t="inlineStr">
        <x:is>
          <x:t xml:space="preserve"/>
        </x:is>
      </x:c>
      <x:c r="K170" s="7">
        <x:f>IF(G170="","", TODAY()-G170)</x:f>
      </x:c>
      <x:c r="L170" s="7">
        <x:f>IF(OR(I170="",J170="Closed"),"", IF(TODAY()&gt;I170,"Yes","No"))</x:f>
      </x:c>
      <x:c r="M170" s="7" t="inlineStr">
        <x:is>
          <x:t xml:space="preserve"/>
        </x:is>
      </x:c>
      <x:c r="N170" s="6" t="inlineStr">
        <x:is>
          <x:t xml:space="preserve"/>
        </x:is>
      </x:c>
    </x:row>
    <x:row r="171">
      <x:c r="A171" s="7">
        <x:f>IF(E171="","", "ISS-"&amp;TEXT(ROW()-1,"00000"))</x:f>
      </x:c>
      <x:c r="B171" s="7" t="inlineStr">
        <x:is>
          <x:t xml:space="preserve"/>
        </x:is>
      </x:c>
      <x:c r="C171" s="7" t="inlineStr">
        <x:is>
          <x:t xml:space="preserve"/>
        </x:is>
      </x:c>
      <x:c r="D171" s="7" t="inlineStr">
        <x:is>
          <x:t xml:space="preserve"/>
        </x:is>
      </x:c>
      <x:c r="E171" s="6" t="inlineStr">
        <x:is>
          <x:t xml:space="preserve"/>
        </x:is>
      </x:c>
      <x:c r="F171" s="7" t="inlineStr">
        <x:is>
          <x:t xml:space="preserve"/>
        </x:is>
      </x:c>
      <x:c r="G171" s="8" t="inlineStr">
        <x:is>
          <x:t xml:space="preserve"/>
        </x:is>
      </x:c>
      <x:c r="H171" s="6" t="inlineStr">
        <x:is>
          <x:t xml:space="preserve"/>
        </x:is>
      </x:c>
      <x:c r="I171" s="8" t="inlineStr">
        <x:is>
          <x:t xml:space="preserve"/>
        </x:is>
      </x:c>
      <x:c r="J171" s="7" t="inlineStr">
        <x:is>
          <x:t xml:space="preserve"/>
        </x:is>
      </x:c>
      <x:c r="K171" s="7">
        <x:f>IF(G171="","", TODAY()-G171)</x:f>
      </x:c>
      <x:c r="L171" s="7">
        <x:f>IF(OR(I171="",J171="Closed"),"", IF(TODAY()&gt;I171,"Yes","No"))</x:f>
      </x:c>
      <x:c r="M171" s="7" t="inlineStr">
        <x:is>
          <x:t xml:space="preserve"/>
        </x:is>
      </x:c>
      <x:c r="N171" s="6" t="inlineStr">
        <x:is>
          <x:t xml:space="preserve"/>
        </x:is>
      </x:c>
    </x:row>
    <x:row r="172">
      <x:c r="A172" s="7">
        <x:f>IF(E172="","", "ISS-"&amp;TEXT(ROW()-1,"00000"))</x:f>
      </x:c>
      <x:c r="B172" s="7" t="inlineStr">
        <x:is>
          <x:t xml:space="preserve"/>
        </x:is>
      </x:c>
      <x:c r="C172" s="7" t="inlineStr">
        <x:is>
          <x:t xml:space="preserve"/>
        </x:is>
      </x:c>
      <x:c r="D172" s="7" t="inlineStr">
        <x:is>
          <x:t xml:space="preserve"/>
        </x:is>
      </x:c>
      <x:c r="E172" s="6" t="inlineStr">
        <x:is>
          <x:t xml:space="preserve"/>
        </x:is>
      </x:c>
      <x:c r="F172" s="7" t="inlineStr">
        <x:is>
          <x:t xml:space="preserve"/>
        </x:is>
      </x:c>
      <x:c r="G172" s="8" t="inlineStr">
        <x:is>
          <x:t xml:space="preserve"/>
        </x:is>
      </x:c>
      <x:c r="H172" s="6" t="inlineStr">
        <x:is>
          <x:t xml:space="preserve"/>
        </x:is>
      </x:c>
      <x:c r="I172" s="8" t="inlineStr">
        <x:is>
          <x:t xml:space="preserve"/>
        </x:is>
      </x:c>
      <x:c r="J172" s="7" t="inlineStr">
        <x:is>
          <x:t xml:space="preserve"/>
        </x:is>
      </x:c>
      <x:c r="K172" s="7">
        <x:f>IF(G172="","", TODAY()-G172)</x:f>
      </x:c>
      <x:c r="L172" s="7">
        <x:f>IF(OR(I172="",J172="Closed"),"", IF(TODAY()&gt;I172,"Yes","No"))</x:f>
      </x:c>
      <x:c r="M172" s="7" t="inlineStr">
        <x:is>
          <x:t xml:space="preserve"/>
        </x:is>
      </x:c>
      <x:c r="N172" s="6" t="inlineStr">
        <x:is>
          <x:t xml:space="preserve"/>
        </x:is>
      </x:c>
    </x:row>
    <x:row r="173">
      <x:c r="A173" s="7">
        <x:f>IF(E173="","", "ISS-"&amp;TEXT(ROW()-1,"00000"))</x:f>
      </x:c>
      <x:c r="B173" s="7" t="inlineStr">
        <x:is>
          <x:t xml:space="preserve"/>
        </x:is>
      </x:c>
      <x:c r="C173" s="7" t="inlineStr">
        <x:is>
          <x:t xml:space="preserve"/>
        </x:is>
      </x:c>
      <x:c r="D173" s="7" t="inlineStr">
        <x:is>
          <x:t xml:space="preserve"/>
        </x:is>
      </x:c>
      <x:c r="E173" s="6" t="inlineStr">
        <x:is>
          <x:t xml:space="preserve"/>
        </x:is>
      </x:c>
      <x:c r="F173" s="7" t="inlineStr">
        <x:is>
          <x:t xml:space="preserve"/>
        </x:is>
      </x:c>
      <x:c r="G173" s="8" t="inlineStr">
        <x:is>
          <x:t xml:space="preserve"/>
        </x:is>
      </x:c>
      <x:c r="H173" s="6" t="inlineStr">
        <x:is>
          <x:t xml:space="preserve"/>
        </x:is>
      </x:c>
      <x:c r="I173" s="8" t="inlineStr">
        <x:is>
          <x:t xml:space="preserve"/>
        </x:is>
      </x:c>
      <x:c r="J173" s="7" t="inlineStr">
        <x:is>
          <x:t xml:space="preserve"/>
        </x:is>
      </x:c>
      <x:c r="K173" s="7">
        <x:f>IF(G173="","", TODAY()-G173)</x:f>
      </x:c>
      <x:c r="L173" s="7">
        <x:f>IF(OR(I173="",J173="Closed"),"", IF(TODAY()&gt;I173,"Yes","No"))</x:f>
      </x:c>
      <x:c r="M173" s="7" t="inlineStr">
        <x:is>
          <x:t xml:space="preserve"/>
        </x:is>
      </x:c>
      <x:c r="N173" s="6" t="inlineStr">
        <x:is>
          <x:t xml:space="preserve"/>
        </x:is>
      </x:c>
    </x:row>
    <x:row r="174">
      <x:c r="A174" s="7">
        <x:f>IF(E174="","", "ISS-"&amp;TEXT(ROW()-1,"00000"))</x:f>
      </x:c>
      <x:c r="B174" s="7" t="inlineStr">
        <x:is>
          <x:t xml:space="preserve"/>
        </x:is>
      </x:c>
      <x:c r="C174" s="7" t="inlineStr">
        <x:is>
          <x:t xml:space="preserve"/>
        </x:is>
      </x:c>
      <x:c r="D174" s="7" t="inlineStr">
        <x:is>
          <x:t xml:space="preserve"/>
        </x:is>
      </x:c>
      <x:c r="E174" s="6" t="inlineStr">
        <x:is>
          <x:t xml:space="preserve"/>
        </x:is>
      </x:c>
      <x:c r="F174" s="7" t="inlineStr">
        <x:is>
          <x:t xml:space="preserve"/>
        </x:is>
      </x:c>
      <x:c r="G174" s="8" t="inlineStr">
        <x:is>
          <x:t xml:space="preserve"/>
        </x:is>
      </x:c>
      <x:c r="H174" s="6" t="inlineStr">
        <x:is>
          <x:t xml:space="preserve"/>
        </x:is>
      </x:c>
      <x:c r="I174" s="8" t="inlineStr">
        <x:is>
          <x:t xml:space="preserve"/>
        </x:is>
      </x:c>
      <x:c r="J174" s="7" t="inlineStr">
        <x:is>
          <x:t xml:space="preserve"/>
        </x:is>
      </x:c>
      <x:c r="K174" s="7">
        <x:f>IF(G174="","", TODAY()-G174)</x:f>
      </x:c>
      <x:c r="L174" s="7">
        <x:f>IF(OR(I174="",J174="Closed"),"", IF(TODAY()&gt;I174,"Yes","No"))</x:f>
      </x:c>
      <x:c r="M174" s="7" t="inlineStr">
        <x:is>
          <x:t xml:space="preserve"/>
        </x:is>
      </x:c>
      <x:c r="N174" s="6" t="inlineStr">
        <x:is>
          <x:t xml:space="preserve"/>
        </x:is>
      </x:c>
    </x:row>
    <x:row r="175">
      <x:c r="A175" s="7">
        <x:f>IF(E175="","", "ISS-"&amp;TEXT(ROW()-1,"00000"))</x:f>
      </x:c>
      <x:c r="B175" s="7" t="inlineStr">
        <x:is>
          <x:t xml:space="preserve"/>
        </x:is>
      </x:c>
      <x:c r="C175" s="7" t="inlineStr">
        <x:is>
          <x:t xml:space="preserve"/>
        </x:is>
      </x:c>
      <x:c r="D175" s="7" t="inlineStr">
        <x:is>
          <x:t xml:space="preserve"/>
        </x:is>
      </x:c>
      <x:c r="E175" s="6" t="inlineStr">
        <x:is>
          <x:t xml:space="preserve"/>
        </x:is>
      </x:c>
      <x:c r="F175" s="7" t="inlineStr">
        <x:is>
          <x:t xml:space="preserve"/>
        </x:is>
      </x:c>
      <x:c r="G175" s="8" t="inlineStr">
        <x:is>
          <x:t xml:space="preserve"/>
        </x:is>
      </x:c>
      <x:c r="H175" s="6" t="inlineStr">
        <x:is>
          <x:t xml:space="preserve"/>
        </x:is>
      </x:c>
      <x:c r="I175" s="8" t="inlineStr">
        <x:is>
          <x:t xml:space="preserve"/>
        </x:is>
      </x:c>
      <x:c r="J175" s="7" t="inlineStr">
        <x:is>
          <x:t xml:space="preserve"/>
        </x:is>
      </x:c>
      <x:c r="K175" s="7">
        <x:f>IF(G175="","", TODAY()-G175)</x:f>
      </x:c>
      <x:c r="L175" s="7">
        <x:f>IF(OR(I175="",J175="Closed"),"", IF(TODAY()&gt;I175,"Yes","No"))</x:f>
      </x:c>
      <x:c r="M175" s="7" t="inlineStr">
        <x:is>
          <x:t xml:space="preserve"/>
        </x:is>
      </x:c>
      <x:c r="N175" s="6" t="inlineStr">
        <x:is>
          <x:t xml:space="preserve"/>
        </x:is>
      </x:c>
    </x:row>
    <x:row r="176">
      <x:c r="A176" s="7">
        <x:f>IF(E176="","", "ISS-"&amp;TEXT(ROW()-1,"00000"))</x:f>
      </x:c>
      <x:c r="B176" s="7" t="inlineStr">
        <x:is>
          <x:t xml:space="preserve"/>
        </x:is>
      </x:c>
      <x:c r="C176" s="7" t="inlineStr">
        <x:is>
          <x:t xml:space="preserve"/>
        </x:is>
      </x:c>
      <x:c r="D176" s="7" t="inlineStr">
        <x:is>
          <x:t xml:space="preserve"/>
        </x:is>
      </x:c>
      <x:c r="E176" s="6" t="inlineStr">
        <x:is>
          <x:t xml:space="preserve"/>
        </x:is>
      </x:c>
      <x:c r="F176" s="7" t="inlineStr">
        <x:is>
          <x:t xml:space="preserve"/>
        </x:is>
      </x:c>
      <x:c r="G176" s="8" t="inlineStr">
        <x:is>
          <x:t xml:space="preserve"/>
        </x:is>
      </x:c>
      <x:c r="H176" s="6" t="inlineStr">
        <x:is>
          <x:t xml:space="preserve"/>
        </x:is>
      </x:c>
      <x:c r="I176" s="8" t="inlineStr">
        <x:is>
          <x:t xml:space="preserve"/>
        </x:is>
      </x:c>
      <x:c r="J176" s="7" t="inlineStr">
        <x:is>
          <x:t xml:space="preserve"/>
        </x:is>
      </x:c>
      <x:c r="K176" s="7">
        <x:f>IF(G176="","", TODAY()-G176)</x:f>
      </x:c>
      <x:c r="L176" s="7">
        <x:f>IF(OR(I176="",J176="Closed"),"", IF(TODAY()&gt;I176,"Yes","No"))</x:f>
      </x:c>
      <x:c r="M176" s="7" t="inlineStr">
        <x:is>
          <x:t xml:space="preserve"/>
        </x:is>
      </x:c>
      <x:c r="N176" s="6" t="inlineStr">
        <x:is>
          <x:t xml:space="preserve"/>
        </x:is>
      </x:c>
    </x:row>
    <x:row r="177">
      <x:c r="A177" s="7">
        <x:f>IF(E177="","", "ISS-"&amp;TEXT(ROW()-1,"00000"))</x:f>
      </x:c>
      <x:c r="B177" s="7" t="inlineStr">
        <x:is>
          <x:t xml:space="preserve"/>
        </x:is>
      </x:c>
      <x:c r="C177" s="7" t="inlineStr">
        <x:is>
          <x:t xml:space="preserve"/>
        </x:is>
      </x:c>
      <x:c r="D177" s="7" t="inlineStr">
        <x:is>
          <x:t xml:space="preserve"/>
        </x:is>
      </x:c>
      <x:c r="E177" s="6" t="inlineStr">
        <x:is>
          <x:t xml:space="preserve"/>
        </x:is>
      </x:c>
      <x:c r="F177" s="7" t="inlineStr">
        <x:is>
          <x:t xml:space="preserve"/>
        </x:is>
      </x:c>
      <x:c r="G177" s="8" t="inlineStr">
        <x:is>
          <x:t xml:space="preserve"/>
        </x:is>
      </x:c>
      <x:c r="H177" s="6" t="inlineStr">
        <x:is>
          <x:t xml:space="preserve"/>
        </x:is>
      </x:c>
      <x:c r="I177" s="8" t="inlineStr">
        <x:is>
          <x:t xml:space="preserve"/>
        </x:is>
      </x:c>
      <x:c r="J177" s="7" t="inlineStr">
        <x:is>
          <x:t xml:space="preserve"/>
        </x:is>
      </x:c>
      <x:c r="K177" s="7">
        <x:f>IF(G177="","", TODAY()-G177)</x:f>
      </x:c>
      <x:c r="L177" s="7">
        <x:f>IF(OR(I177="",J177="Closed"),"", IF(TODAY()&gt;I177,"Yes","No"))</x:f>
      </x:c>
      <x:c r="M177" s="7" t="inlineStr">
        <x:is>
          <x:t xml:space="preserve"/>
        </x:is>
      </x:c>
      <x:c r="N177" s="6" t="inlineStr">
        <x:is>
          <x:t xml:space="preserve"/>
        </x:is>
      </x:c>
    </x:row>
    <x:row r="178">
      <x:c r="A178" s="7">
        <x:f>IF(E178="","", "ISS-"&amp;TEXT(ROW()-1,"00000"))</x:f>
      </x:c>
      <x:c r="B178" s="7" t="inlineStr">
        <x:is>
          <x:t xml:space="preserve"/>
        </x:is>
      </x:c>
      <x:c r="C178" s="7" t="inlineStr">
        <x:is>
          <x:t xml:space="preserve"/>
        </x:is>
      </x:c>
      <x:c r="D178" s="7" t="inlineStr">
        <x:is>
          <x:t xml:space="preserve"/>
        </x:is>
      </x:c>
      <x:c r="E178" s="6" t="inlineStr">
        <x:is>
          <x:t xml:space="preserve"/>
        </x:is>
      </x:c>
      <x:c r="F178" s="7" t="inlineStr">
        <x:is>
          <x:t xml:space="preserve"/>
        </x:is>
      </x:c>
      <x:c r="G178" s="8" t="inlineStr">
        <x:is>
          <x:t xml:space="preserve"/>
        </x:is>
      </x:c>
      <x:c r="H178" s="6" t="inlineStr">
        <x:is>
          <x:t xml:space="preserve"/>
        </x:is>
      </x:c>
      <x:c r="I178" s="8" t="inlineStr">
        <x:is>
          <x:t xml:space="preserve"/>
        </x:is>
      </x:c>
      <x:c r="J178" s="7" t="inlineStr">
        <x:is>
          <x:t xml:space="preserve"/>
        </x:is>
      </x:c>
      <x:c r="K178" s="7">
        <x:f>IF(G178="","", TODAY()-G178)</x:f>
      </x:c>
      <x:c r="L178" s="7">
        <x:f>IF(OR(I178="",J178="Closed"),"", IF(TODAY()&gt;I178,"Yes","No"))</x:f>
      </x:c>
      <x:c r="M178" s="7" t="inlineStr">
        <x:is>
          <x:t xml:space="preserve"/>
        </x:is>
      </x:c>
      <x:c r="N178" s="6" t="inlineStr">
        <x:is>
          <x:t xml:space="preserve"/>
        </x:is>
      </x:c>
    </x:row>
    <x:row r="179">
      <x:c r="A179" s="7">
        <x:f>IF(E179="","", "ISS-"&amp;TEXT(ROW()-1,"00000"))</x:f>
      </x:c>
      <x:c r="B179" s="7" t="inlineStr">
        <x:is>
          <x:t xml:space="preserve"/>
        </x:is>
      </x:c>
      <x:c r="C179" s="7" t="inlineStr">
        <x:is>
          <x:t xml:space="preserve"/>
        </x:is>
      </x:c>
      <x:c r="D179" s="7" t="inlineStr">
        <x:is>
          <x:t xml:space="preserve"/>
        </x:is>
      </x:c>
      <x:c r="E179" s="6" t="inlineStr">
        <x:is>
          <x:t xml:space="preserve"/>
        </x:is>
      </x:c>
      <x:c r="F179" s="7" t="inlineStr">
        <x:is>
          <x:t xml:space="preserve"/>
        </x:is>
      </x:c>
      <x:c r="G179" s="8" t="inlineStr">
        <x:is>
          <x:t xml:space="preserve"/>
        </x:is>
      </x:c>
      <x:c r="H179" s="6" t="inlineStr">
        <x:is>
          <x:t xml:space="preserve"/>
        </x:is>
      </x:c>
      <x:c r="I179" s="8" t="inlineStr">
        <x:is>
          <x:t xml:space="preserve"/>
        </x:is>
      </x:c>
      <x:c r="J179" s="7" t="inlineStr">
        <x:is>
          <x:t xml:space="preserve"/>
        </x:is>
      </x:c>
      <x:c r="K179" s="7">
        <x:f>IF(G179="","", TODAY()-G179)</x:f>
      </x:c>
      <x:c r="L179" s="7">
        <x:f>IF(OR(I179="",J179="Closed"),"", IF(TODAY()&gt;I179,"Yes","No"))</x:f>
      </x:c>
      <x:c r="M179" s="7" t="inlineStr">
        <x:is>
          <x:t xml:space="preserve"/>
        </x:is>
      </x:c>
      <x:c r="N179" s="6" t="inlineStr">
        <x:is>
          <x:t xml:space="preserve"/>
        </x:is>
      </x:c>
    </x:row>
    <x:row r="180">
      <x:c r="A180" s="7">
        <x:f>IF(E180="","", "ISS-"&amp;TEXT(ROW()-1,"00000"))</x:f>
      </x:c>
      <x:c r="B180" s="7" t="inlineStr">
        <x:is>
          <x:t xml:space="preserve"/>
        </x:is>
      </x:c>
      <x:c r="C180" s="7" t="inlineStr">
        <x:is>
          <x:t xml:space="preserve"/>
        </x:is>
      </x:c>
      <x:c r="D180" s="7" t="inlineStr">
        <x:is>
          <x:t xml:space="preserve"/>
        </x:is>
      </x:c>
      <x:c r="E180" s="6" t="inlineStr">
        <x:is>
          <x:t xml:space="preserve"/>
        </x:is>
      </x:c>
      <x:c r="F180" s="7" t="inlineStr">
        <x:is>
          <x:t xml:space="preserve"/>
        </x:is>
      </x:c>
      <x:c r="G180" s="8" t="inlineStr">
        <x:is>
          <x:t xml:space="preserve"/>
        </x:is>
      </x:c>
      <x:c r="H180" s="6" t="inlineStr">
        <x:is>
          <x:t xml:space="preserve"/>
        </x:is>
      </x:c>
      <x:c r="I180" s="8" t="inlineStr">
        <x:is>
          <x:t xml:space="preserve"/>
        </x:is>
      </x:c>
      <x:c r="J180" s="7" t="inlineStr">
        <x:is>
          <x:t xml:space="preserve"/>
        </x:is>
      </x:c>
      <x:c r="K180" s="7">
        <x:f>IF(G180="","", TODAY()-G180)</x:f>
      </x:c>
      <x:c r="L180" s="7">
        <x:f>IF(OR(I180="",J180="Closed"),"", IF(TODAY()&gt;I180,"Yes","No"))</x:f>
      </x:c>
      <x:c r="M180" s="7" t="inlineStr">
        <x:is>
          <x:t xml:space="preserve"/>
        </x:is>
      </x:c>
      <x:c r="N180" s="6" t="inlineStr">
        <x:is>
          <x:t xml:space="preserve"/>
        </x:is>
      </x:c>
    </x:row>
    <x:row r="181">
      <x:c r="A181" s="7">
        <x:f>IF(E181="","", "ISS-"&amp;TEXT(ROW()-1,"00000"))</x:f>
      </x:c>
      <x:c r="B181" s="7" t="inlineStr">
        <x:is>
          <x:t xml:space="preserve"/>
        </x:is>
      </x:c>
      <x:c r="C181" s="7" t="inlineStr">
        <x:is>
          <x:t xml:space="preserve"/>
        </x:is>
      </x:c>
      <x:c r="D181" s="7" t="inlineStr">
        <x:is>
          <x:t xml:space="preserve"/>
        </x:is>
      </x:c>
      <x:c r="E181" s="6" t="inlineStr">
        <x:is>
          <x:t xml:space="preserve"/>
        </x:is>
      </x:c>
      <x:c r="F181" s="7" t="inlineStr">
        <x:is>
          <x:t xml:space="preserve"/>
        </x:is>
      </x:c>
      <x:c r="G181" s="8" t="inlineStr">
        <x:is>
          <x:t xml:space="preserve"/>
        </x:is>
      </x:c>
      <x:c r="H181" s="6" t="inlineStr">
        <x:is>
          <x:t xml:space="preserve"/>
        </x:is>
      </x:c>
      <x:c r="I181" s="8" t="inlineStr">
        <x:is>
          <x:t xml:space="preserve"/>
        </x:is>
      </x:c>
      <x:c r="J181" s="7" t="inlineStr">
        <x:is>
          <x:t xml:space="preserve"/>
        </x:is>
      </x:c>
      <x:c r="K181" s="7">
        <x:f>IF(G181="","", TODAY()-G181)</x:f>
      </x:c>
      <x:c r="L181" s="7">
        <x:f>IF(OR(I181="",J181="Closed"),"", IF(TODAY()&gt;I181,"Yes","No"))</x:f>
      </x:c>
      <x:c r="M181" s="7" t="inlineStr">
        <x:is>
          <x:t xml:space="preserve"/>
        </x:is>
      </x:c>
      <x:c r="N181" s="6" t="inlineStr">
        <x:is>
          <x:t xml:space="preserve"/>
        </x:is>
      </x:c>
    </x:row>
    <x:row r="182">
      <x:c r="A182" s="7">
        <x:f>IF(E182="","", "ISS-"&amp;TEXT(ROW()-1,"00000"))</x:f>
      </x:c>
      <x:c r="B182" s="7" t="inlineStr">
        <x:is>
          <x:t xml:space="preserve"/>
        </x:is>
      </x:c>
      <x:c r="C182" s="7" t="inlineStr">
        <x:is>
          <x:t xml:space="preserve"/>
        </x:is>
      </x:c>
      <x:c r="D182" s="7" t="inlineStr">
        <x:is>
          <x:t xml:space="preserve"/>
        </x:is>
      </x:c>
      <x:c r="E182" s="6" t="inlineStr">
        <x:is>
          <x:t xml:space="preserve"/>
        </x:is>
      </x:c>
      <x:c r="F182" s="7" t="inlineStr">
        <x:is>
          <x:t xml:space="preserve"/>
        </x:is>
      </x:c>
      <x:c r="G182" s="8" t="inlineStr">
        <x:is>
          <x:t xml:space="preserve"/>
        </x:is>
      </x:c>
      <x:c r="H182" s="6" t="inlineStr">
        <x:is>
          <x:t xml:space="preserve"/>
        </x:is>
      </x:c>
      <x:c r="I182" s="8" t="inlineStr">
        <x:is>
          <x:t xml:space="preserve"/>
        </x:is>
      </x:c>
      <x:c r="J182" s="7" t="inlineStr">
        <x:is>
          <x:t xml:space="preserve"/>
        </x:is>
      </x:c>
      <x:c r="K182" s="7">
        <x:f>IF(G182="","", TODAY()-G182)</x:f>
      </x:c>
      <x:c r="L182" s="7">
        <x:f>IF(OR(I182="",J182="Closed"),"", IF(TODAY()&gt;I182,"Yes","No"))</x:f>
      </x:c>
      <x:c r="M182" s="7" t="inlineStr">
        <x:is>
          <x:t xml:space="preserve"/>
        </x:is>
      </x:c>
      <x:c r="N182" s="6" t="inlineStr">
        <x:is>
          <x:t xml:space="preserve"/>
        </x:is>
      </x:c>
    </x:row>
    <x:row r="183">
      <x:c r="A183" s="7">
        <x:f>IF(E183="","", "ISS-"&amp;TEXT(ROW()-1,"00000"))</x:f>
      </x:c>
      <x:c r="B183" s="7" t="inlineStr">
        <x:is>
          <x:t xml:space="preserve"/>
        </x:is>
      </x:c>
      <x:c r="C183" s="7" t="inlineStr">
        <x:is>
          <x:t xml:space="preserve"/>
        </x:is>
      </x:c>
      <x:c r="D183" s="7" t="inlineStr">
        <x:is>
          <x:t xml:space="preserve"/>
        </x:is>
      </x:c>
      <x:c r="E183" s="6" t="inlineStr">
        <x:is>
          <x:t xml:space="preserve"/>
        </x:is>
      </x:c>
      <x:c r="F183" s="7" t="inlineStr">
        <x:is>
          <x:t xml:space="preserve"/>
        </x:is>
      </x:c>
      <x:c r="G183" s="8" t="inlineStr">
        <x:is>
          <x:t xml:space="preserve"/>
        </x:is>
      </x:c>
      <x:c r="H183" s="6" t="inlineStr">
        <x:is>
          <x:t xml:space="preserve"/>
        </x:is>
      </x:c>
      <x:c r="I183" s="8" t="inlineStr">
        <x:is>
          <x:t xml:space="preserve"/>
        </x:is>
      </x:c>
      <x:c r="J183" s="7" t="inlineStr">
        <x:is>
          <x:t xml:space="preserve"/>
        </x:is>
      </x:c>
      <x:c r="K183" s="7">
        <x:f>IF(G183="","", TODAY()-G183)</x:f>
      </x:c>
      <x:c r="L183" s="7">
        <x:f>IF(OR(I183="",J183="Closed"),"", IF(TODAY()&gt;I183,"Yes","No"))</x:f>
      </x:c>
      <x:c r="M183" s="7" t="inlineStr">
        <x:is>
          <x:t xml:space="preserve"/>
        </x:is>
      </x:c>
      <x:c r="N183" s="6" t="inlineStr">
        <x:is>
          <x:t xml:space="preserve"/>
        </x:is>
      </x:c>
    </x:row>
    <x:row r="184">
      <x:c r="A184" s="7">
        <x:f>IF(E184="","", "ISS-"&amp;TEXT(ROW()-1,"00000"))</x:f>
      </x:c>
      <x:c r="B184" s="7" t="inlineStr">
        <x:is>
          <x:t xml:space="preserve"/>
        </x:is>
      </x:c>
      <x:c r="C184" s="7" t="inlineStr">
        <x:is>
          <x:t xml:space="preserve"/>
        </x:is>
      </x:c>
      <x:c r="D184" s="7" t="inlineStr">
        <x:is>
          <x:t xml:space="preserve"/>
        </x:is>
      </x:c>
      <x:c r="E184" s="6" t="inlineStr">
        <x:is>
          <x:t xml:space="preserve"/>
        </x:is>
      </x:c>
      <x:c r="F184" s="7" t="inlineStr">
        <x:is>
          <x:t xml:space="preserve"/>
        </x:is>
      </x:c>
      <x:c r="G184" s="8" t="inlineStr">
        <x:is>
          <x:t xml:space="preserve"/>
        </x:is>
      </x:c>
      <x:c r="H184" s="6" t="inlineStr">
        <x:is>
          <x:t xml:space="preserve"/>
        </x:is>
      </x:c>
      <x:c r="I184" s="8" t="inlineStr">
        <x:is>
          <x:t xml:space="preserve"/>
        </x:is>
      </x:c>
      <x:c r="J184" s="7" t="inlineStr">
        <x:is>
          <x:t xml:space="preserve"/>
        </x:is>
      </x:c>
      <x:c r="K184" s="7">
        <x:f>IF(G184="","", TODAY()-G184)</x:f>
      </x:c>
      <x:c r="L184" s="7">
        <x:f>IF(OR(I184="",J184="Closed"),"", IF(TODAY()&gt;I184,"Yes","No"))</x:f>
      </x:c>
      <x:c r="M184" s="7" t="inlineStr">
        <x:is>
          <x:t xml:space="preserve"/>
        </x:is>
      </x:c>
      <x:c r="N184" s="6" t="inlineStr">
        <x:is>
          <x:t xml:space="preserve"/>
        </x:is>
      </x:c>
    </x:row>
    <x:row r="185">
      <x:c r="A185" s="7">
        <x:f>IF(E185="","", "ISS-"&amp;TEXT(ROW()-1,"00000"))</x:f>
      </x:c>
      <x:c r="B185" s="7" t="inlineStr">
        <x:is>
          <x:t xml:space="preserve"/>
        </x:is>
      </x:c>
      <x:c r="C185" s="7" t="inlineStr">
        <x:is>
          <x:t xml:space="preserve"/>
        </x:is>
      </x:c>
      <x:c r="D185" s="7" t="inlineStr">
        <x:is>
          <x:t xml:space="preserve"/>
        </x:is>
      </x:c>
      <x:c r="E185" s="6" t="inlineStr">
        <x:is>
          <x:t xml:space="preserve"/>
        </x:is>
      </x:c>
      <x:c r="F185" s="7" t="inlineStr">
        <x:is>
          <x:t xml:space="preserve"/>
        </x:is>
      </x:c>
      <x:c r="G185" s="8" t="inlineStr">
        <x:is>
          <x:t xml:space="preserve"/>
        </x:is>
      </x:c>
      <x:c r="H185" s="6" t="inlineStr">
        <x:is>
          <x:t xml:space="preserve"/>
        </x:is>
      </x:c>
      <x:c r="I185" s="8" t="inlineStr">
        <x:is>
          <x:t xml:space="preserve"/>
        </x:is>
      </x:c>
      <x:c r="J185" s="7" t="inlineStr">
        <x:is>
          <x:t xml:space="preserve"/>
        </x:is>
      </x:c>
      <x:c r="K185" s="7">
        <x:f>IF(G185="","", TODAY()-G185)</x:f>
      </x:c>
      <x:c r="L185" s="7">
        <x:f>IF(OR(I185="",J185="Closed"),"", IF(TODAY()&gt;I185,"Yes","No"))</x:f>
      </x:c>
      <x:c r="M185" s="7" t="inlineStr">
        <x:is>
          <x:t xml:space="preserve"/>
        </x:is>
      </x:c>
      <x:c r="N185" s="6" t="inlineStr">
        <x:is>
          <x:t xml:space="preserve"/>
        </x:is>
      </x:c>
    </x:row>
    <x:row r="186">
      <x:c r="A186" s="7">
        <x:f>IF(E186="","", "ISS-"&amp;TEXT(ROW()-1,"00000"))</x:f>
      </x:c>
      <x:c r="B186" s="7" t="inlineStr">
        <x:is>
          <x:t xml:space="preserve"/>
        </x:is>
      </x:c>
      <x:c r="C186" s="7" t="inlineStr">
        <x:is>
          <x:t xml:space="preserve"/>
        </x:is>
      </x:c>
      <x:c r="D186" s="7" t="inlineStr">
        <x:is>
          <x:t xml:space="preserve"/>
        </x:is>
      </x:c>
      <x:c r="E186" s="6" t="inlineStr">
        <x:is>
          <x:t xml:space="preserve"/>
        </x:is>
      </x:c>
      <x:c r="F186" s="7" t="inlineStr">
        <x:is>
          <x:t xml:space="preserve"/>
        </x:is>
      </x:c>
      <x:c r="G186" s="8" t="inlineStr">
        <x:is>
          <x:t xml:space="preserve"/>
        </x:is>
      </x:c>
      <x:c r="H186" s="6" t="inlineStr">
        <x:is>
          <x:t xml:space="preserve"/>
        </x:is>
      </x:c>
      <x:c r="I186" s="8" t="inlineStr">
        <x:is>
          <x:t xml:space="preserve"/>
        </x:is>
      </x:c>
      <x:c r="J186" s="7" t="inlineStr">
        <x:is>
          <x:t xml:space="preserve"/>
        </x:is>
      </x:c>
      <x:c r="K186" s="7">
        <x:f>IF(G186="","", TODAY()-G186)</x:f>
      </x:c>
      <x:c r="L186" s="7">
        <x:f>IF(OR(I186="",J186="Closed"),"", IF(TODAY()&gt;I186,"Yes","No"))</x:f>
      </x:c>
      <x:c r="M186" s="7" t="inlineStr">
        <x:is>
          <x:t xml:space="preserve"/>
        </x:is>
      </x:c>
      <x:c r="N186" s="6" t="inlineStr">
        <x:is>
          <x:t xml:space="preserve"/>
        </x:is>
      </x:c>
    </x:row>
    <x:row r="187">
      <x:c r="A187" s="7">
        <x:f>IF(E187="","", "ISS-"&amp;TEXT(ROW()-1,"00000"))</x:f>
      </x:c>
      <x:c r="B187" s="7" t="inlineStr">
        <x:is>
          <x:t xml:space="preserve"/>
        </x:is>
      </x:c>
      <x:c r="C187" s="7" t="inlineStr">
        <x:is>
          <x:t xml:space="preserve"/>
        </x:is>
      </x:c>
      <x:c r="D187" s="7" t="inlineStr">
        <x:is>
          <x:t xml:space="preserve"/>
        </x:is>
      </x:c>
      <x:c r="E187" s="6" t="inlineStr">
        <x:is>
          <x:t xml:space="preserve"/>
        </x:is>
      </x:c>
      <x:c r="F187" s="7" t="inlineStr">
        <x:is>
          <x:t xml:space="preserve"/>
        </x:is>
      </x:c>
      <x:c r="G187" s="8" t="inlineStr">
        <x:is>
          <x:t xml:space="preserve"/>
        </x:is>
      </x:c>
      <x:c r="H187" s="6" t="inlineStr">
        <x:is>
          <x:t xml:space="preserve"/>
        </x:is>
      </x:c>
      <x:c r="I187" s="8" t="inlineStr">
        <x:is>
          <x:t xml:space="preserve"/>
        </x:is>
      </x:c>
      <x:c r="J187" s="7" t="inlineStr">
        <x:is>
          <x:t xml:space="preserve"/>
        </x:is>
      </x:c>
      <x:c r="K187" s="7">
        <x:f>IF(G187="","", TODAY()-G187)</x:f>
      </x:c>
      <x:c r="L187" s="7">
        <x:f>IF(OR(I187="",J187="Closed"),"", IF(TODAY()&gt;I187,"Yes","No"))</x:f>
      </x:c>
      <x:c r="M187" s="7" t="inlineStr">
        <x:is>
          <x:t xml:space="preserve"/>
        </x:is>
      </x:c>
      <x:c r="N187" s="6" t="inlineStr">
        <x:is>
          <x:t xml:space="preserve"/>
        </x:is>
      </x:c>
    </x:row>
    <x:row r="188">
      <x:c r="A188" s="7">
        <x:f>IF(E188="","", "ISS-"&amp;TEXT(ROW()-1,"00000"))</x:f>
      </x:c>
      <x:c r="B188" s="7" t="inlineStr">
        <x:is>
          <x:t xml:space="preserve"/>
        </x:is>
      </x:c>
      <x:c r="C188" s="7" t="inlineStr">
        <x:is>
          <x:t xml:space="preserve"/>
        </x:is>
      </x:c>
      <x:c r="D188" s="7" t="inlineStr">
        <x:is>
          <x:t xml:space="preserve"/>
        </x:is>
      </x:c>
      <x:c r="E188" s="6" t="inlineStr">
        <x:is>
          <x:t xml:space="preserve"/>
        </x:is>
      </x:c>
      <x:c r="F188" s="7" t="inlineStr">
        <x:is>
          <x:t xml:space="preserve"/>
        </x:is>
      </x:c>
      <x:c r="G188" s="8" t="inlineStr">
        <x:is>
          <x:t xml:space="preserve"/>
        </x:is>
      </x:c>
      <x:c r="H188" s="6" t="inlineStr">
        <x:is>
          <x:t xml:space="preserve"/>
        </x:is>
      </x:c>
      <x:c r="I188" s="8" t="inlineStr">
        <x:is>
          <x:t xml:space="preserve"/>
        </x:is>
      </x:c>
      <x:c r="J188" s="7" t="inlineStr">
        <x:is>
          <x:t xml:space="preserve"/>
        </x:is>
      </x:c>
      <x:c r="K188" s="7">
        <x:f>IF(G188="","", TODAY()-G188)</x:f>
      </x:c>
      <x:c r="L188" s="7">
        <x:f>IF(OR(I188="",J188="Closed"),"", IF(TODAY()&gt;I188,"Yes","No"))</x:f>
      </x:c>
      <x:c r="M188" s="7" t="inlineStr">
        <x:is>
          <x:t xml:space="preserve"/>
        </x:is>
      </x:c>
      <x:c r="N188" s="6" t="inlineStr">
        <x:is>
          <x:t xml:space="preserve"/>
        </x:is>
      </x:c>
    </x:row>
    <x:row r="189">
      <x:c r="A189" s="7">
        <x:f>IF(E189="","", "ISS-"&amp;TEXT(ROW()-1,"00000"))</x:f>
      </x:c>
      <x:c r="B189" s="7" t="inlineStr">
        <x:is>
          <x:t xml:space="preserve"/>
        </x:is>
      </x:c>
      <x:c r="C189" s="7" t="inlineStr">
        <x:is>
          <x:t xml:space="preserve"/>
        </x:is>
      </x:c>
      <x:c r="D189" s="7" t="inlineStr">
        <x:is>
          <x:t xml:space="preserve"/>
        </x:is>
      </x:c>
      <x:c r="E189" s="6" t="inlineStr">
        <x:is>
          <x:t xml:space="preserve"/>
        </x:is>
      </x:c>
      <x:c r="F189" s="7" t="inlineStr">
        <x:is>
          <x:t xml:space="preserve"/>
        </x:is>
      </x:c>
      <x:c r="G189" s="8" t="inlineStr">
        <x:is>
          <x:t xml:space="preserve"/>
        </x:is>
      </x:c>
      <x:c r="H189" s="6" t="inlineStr">
        <x:is>
          <x:t xml:space="preserve"/>
        </x:is>
      </x:c>
      <x:c r="I189" s="8" t="inlineStr">
        <x:is>
          <x:t xml:space="preserve"/>
        </x:is>
      </x:c>
      <x:c r="J189" s="7" t="inlineStr">
        <x:is>
          <x:t xml:space="preserve"/>
        </x:is>
      </x:c>
      <x:c r="K189" s="7">
        <x:f>IF(G189="","", TODAY()-G189)</x:f>
      </x:c>
      <x:c r="L189" s="7">
        <x:f>IF(OR(I189="",J189="Closed"),"", IF(TODAY()&gt;I189,"Yes","No"))</x:f>
      </x:c>
      <x:c r="M189" s="7" t="inlineStr">
        <x:is>
          <x:t xml:space="preserve"/>
        </x:is>
      </x:c>
      <x:c r="N189" s="6" t="inlineStr">
        <x:is>
          <x:t xml:space="preserve"/>
        </x:is>
      </x:c>
    </x:row>
    <x:row r="190">
      <x:c r="A190" s="7">
        <x:f>IF(E190="","", "ISS-"&amp;TEXT(ROW()-1,"00000"))</x:f>
      </x:c>
      <x:c r="B190" s="7" t="inlineStr">
        <x:is>
          <x:t xml:space="preserve"/>
        </x:is>
      </x:c>
      <x:c r="C190" s="7" t="inlineStr">
        <x:is>
          <x:t xml:space="preserve"/>
        </x:is>
      </x:c>
      <x:c r="D190" s="7" t="inlineStr">
        <x:is>
          <x:t xml:space="preserve"/>
        </x:is>
      </x:c>
      <x:c r="E190" s="6" t="inlineStr">
        <x:is>
          <x:t xml:space="preserve"/>
        </x:is>
      </x:c>
      <x:c r="F190" s="7" t="inlineStr">
        <x:is>
          <x:t xml:space="preserve"/>
        </x:is>
      </x:c>
      <x:c r="G190" s="8" t="inlineStr">
        <x:is>
          <x:t xml:space="preserve"/>
        </x:is>
      </x:c>
      <x:c r="H190" s="6" t="inlineStr">
        <x:is>
          <x:t xml:space="preserve"/>
        </x:is>
      </x:c>
      <x:c r="I190" s="8" t="inlineStr">
        <x:is>
          <x:t xml:space="preserve"/>
        </x:is>
      </x:c>
      <x:c r="J190" s="7" t="inlineStr">
        <x:is>
          <x:t xml:space="preserve"/>
        </x:is>
      </x:c>
      <x:c r="K190" s="7">
        <x:f>IF(G190="","", TODAY()-G190)</x:f>
      </x:c>
      <x:c r="L190" s="7">
        <x:f>IF(OR(I190="",J190="Closed"),"", IF(TODAY()&gt;I190,"Yes","No"))</x:f>
      </x:c>
      <x:c r="M190" s="7" t="inlineStr">
        <x:is>
          <x:t xml:space="preserve"/>
        </x:is>
      </x:c>
      <x:c r="N190" s="6" t="inlineStr">
        <x:is>
          <x:t xml:space="preserve"/>
        </x:is>
      </x:c>
    </x:row>
    <x:row r="191">
      <x:c r="A191" s="7">
        <x:f>IF(E191="","", "ISS-"&amp;TEXT(ROW()-1,"00000"))</x:f>
      </x:c>
      <x:c r="B191" s="7" t="inlineStr">
        <x:is>
          <x:t xml:space="preserve"/>
        </x:is>
      </x:c>
      <x:c r="C191" s="7" t="inlineStr">
        <x:is>
          <x:t xml:space="preserve"/>
        </x:is>
      </x:c>
      <x:c r="D191" s="7" t="inlineStr">
        <x:is>
          <x:t xml:space="preserve"/>
        </x:is>
      </x:c>
      <x:c r="E191" s="6" t="inlineStr">
        <x:is>
          <x:t xml:space="preserve"/>
        </x:is>
      </x:c>
      <x:c r="F191" s="7" t="inlineStr">
        <x:is>
          <x:t xml:space="preserve"/>
        </x:is>
      </x:c>
      <x:c r="G191" s="8" t="inlineStr">
        <x:is>
          <x:t xml:space="preserve"/>
        </x:is>
      </x:c>
      <x:c r="H191" s="6" t="inlineStr">
        <x:is>
          <x:t xml:space="preserve"/>
        </x:is>
      </x:c>
      <x:c r="I191" s="8" t="inlineStr">
        <x:is>
          <x:t xml:space="preserve"/>
        </x:is>
      </x:c>
      <x:c r="J191" s="7" t="inlineStr">
        <x:is>
          <x:t xml:space="preserve"/>
        </x:is>
      </x:c>
      <x:c r="K191" s="7">
        <x:f>IF(G191="","", TODAY()-G191)</x:f>
      </x:c>
      <x:c r="L191" s="7">
        <x:f>IF(OR(I191="",J191="Closed"),"", IF(TODAY()&gt;I191,"Yes","No"))</x:f>
      </x:c>
      <x:c r="M191" s="7" t="inlineStr">
        <x:is>
          <x:t xml:space="preserve"/>
        </x:is>
      </x:c>
      <x:c r="N191" s="6" t="inlineStr">
        <x:is>
          <x:t xml:space="preserve"/>
        </x:is>
      </x:c>
    </x:row>
    <x:row r="192">
      <x:c r="A192" s="7">
        <x:f>IF(E192="","", "ISS-"&amp;TEXT(ROW()-1,"00000"))</x:f>
      </x:c>
      <x:c r="B192" s="7" t="inlineStr">
        <x:is>
          <x:t xml:space="preserve"/>
        </x:is>
      </x:c>
      <x:c r="C192" s="7" t="inlineStr">
        <x:is>
          <x:t xml:space="preserve"/>
        </x:is>
      </x:c>
      <x:c r="D192" s="7" t="inlineStr">
        <x:is>
          <x:t xml:space="preserve"/>
        </x:is>
      </x:c>
      <x:c r="E192" s="6" t="inlineStr">
        <x:is>
          <x:t xml:space="preserve"/>
        </x:is>
      </x:c>
      <x:c r="F192" s="7" t="inlineStr">
        <x:is>
          <x:t xml:space="preserve"/>
        </x:is>
      </x:c>
      <x:c r="G192" s="8" t="inlineStr">
        <x:is>
          <x:t xml:space="preserve"/>
        </x:is>
      </x:c>
      <x:c r="H192" s="6" t="inlineStr">
        <x:is>
          <x:t xml:space="preserve"/>
        </x:is>
      </x:c>
      <x:c r="I192" s="8" t="inlineStr">
        <x:is>
          <x:t xml:space="preserve"/>
        </x:is>
      </x:c>
      <x:c r="J192" s="7" t="inlineStr">
        <x:is>
          <x:t xml:space="preserve"/>
        </x:is>
      </x:c>
      <x:c r="K192" s="7">
        <x:f>IF(G192="","", TODAY()-G192)</x:f>
      </x:c>
      <x:c r="L192" s="7">
        <x:f>IF(OR(I192="",J192="Closed"),"", IF(TODAY()&gt;I192,"Yes","No"))</x:f>
      </x:c>
      <x:c r="M192" s="7" t="inlineStr">
        <x:is>
          <x:t xml:space="preserve"/>
        </x:is>
      </x:c>
      <x:c r="N192" s="6" t="inlineStr">
        <x:is>
          <x:t xml:space="preserve"/>
        </x:is>
      </x:c>
    </x:row>
    <x:row r="193">
      <x:c r="A193" s="7">
        <x:f>IF(E193="","", "ISS-"&amp;TEXT(ROW()-1,"00000"))</x:f>
      </x:c>
      <x:c r="B193" s="7" t="inlineStr">
        <x:is>
          <x:t xml:space="preserve"/>
        </x:is>
      </x:c>
      <x:c r="C193" s="7" t="inlineStr">
        <x:is>
          <x:t xml:space="preserve"/>
        </x:is>
      </x:c>
      <x:c r="D193" s="7" t="inlineStr">
        <x:is>
          <x:t xml:space="preserve"/>
        </x:is>
      </x:c>
      <x:c r="E193" s="6" t="inlineStr">
        <x:is>
          <x:t xml:space="preserve"/>
        </x:is>
      </x:c>
      <x:c r="F193" s="7" t="inlineStr">
        <x:is>
          <x:t xml:space="preserve"/>
        </x:is>
      </x:c>
      <x:c r="G193" s="8" t="inlineStr">
        <x:is>
          <x:t xml:space="preserve"/>
        </x:is>
      </x:c>
      <x:c r="H193" s="6" t="inlineStr">
        <x:is>
          <x:t xml:space="preserve"/>
        </x:is>
      </x:c>
      <x:c r="I193" s="8" t="inlineStr">
        <x:is>
          <x:t xml:space="preserve"/>
        </x:is>
      </x:c>
      <x:c r="J193" s="7" t="inlineStr">
        <x:is>
          <x:t xml:space="preserve"/>
        </x:is>
      </x:c>
      <x:c r="K193" s="7">
        <x:f>IF(G193="","", TODAY()-G193)</x:f>
      </x:c>
      <x:c r="L193" s="7">
        <x:f>IF(OR(I193="",J193="Closed"),"", IF(TODAY()&gt;I193,"Yes","No"))</x:f>
      </x:c>
      <x:c r="M193" s="7" t="inlineStr">
        <x:is>
          <x:t xml:space="preserve"/>
        </x:is>
      </x:c>
      <x:c r="N193" s="6" t="inlineStr">
        <x:is>
          <x:t xml:space="preserve"/>
        </x:is>
      </x:c>
    </x:row>
    <x:row r="194">
      <x:c r="A194" s="7">
        <x:f>IF(E194="","", "ISS-"&amp;TEXT(ROW()-1,"00000"))</x:f>
      </x:c>
      <x:c r="B194" s="7" t="inlineStr">
        <x:is>
          <x:t xml:space="preserve"/>
        </x:is>
      </x:c>
      <x:c r="C194" s="7" t="inlineStr">
        <x:is>
          <x:t xml:space="preserve"/>
        </x:is>
      </x:c>
      <x:c r="D194" s="7" t="inlineStr">
        <x:is>
          <x:t xml:space="preserve"/>
        </x:is>
      </x:c>
      <x:c r="E194" s="6" t="inlineStr">
        <x:is>
          <x:t xml:space="preserve"/>
        </x:is>
      </x:c>
      <x:c r="F194" s="7" t="inlineStr">
        <x:is>
          <x:t xml:space="preserve"/>
        </x:is>
      </x:c>
      <x:c r="G194" s="8" t="inlineStr">
        <x:is>
          <x:t xml:space="preserve"/>
        </x:is>
      </x:c>
      <x:c r="H194" s="6" t="inlineStr">
        <x:is>
          <x:t xml:space="preserve"/>
        </x:is>
      </x:c>
      <x:c r="I194" s="8" t="inlineStr">
        <x:is>
          <x:t xml:space="preserve"/>
        </x:is>
      </x:c>
      <x:c r="J194" s="7" t="inlineStr">
        <x:is>
          <x:t xml:space="preserve"/>
        </x:is>
      </x:c>
      <x:c r="K194" s="7">
        <x:f>IF(G194="","", TODAY()-G194)</x:f>
      </x:c>
      <x:c r="L194" s="7">
        <x:f>IF(OR(I194="",J194="Closed"),"", IF(TODAY()&gt;I194,"Yes","No"))</x:f>
      </x:c>
      <x:c r="M194" s="7" t="inlineStr">
        <x:is>
          <x:t xml:space="preserve"/>
        </x:is>
      </x:c>
      <x:c r="N194" s="6" t="inlineStr">
        <x:is>
          <x:t xml:space="preserve"/>
        </x:is>
      </x:c>
    </x:row>
    <x:row r="195">
      <x:c r="A195" s="7">
        <x:f>IF(E195="","", "ISS-"&amp;TEXT(ROW()-1,"00000"))</x:f>
      </x:c>
      <x:c r="B195" s="7" t="inlineStr">
        <x:is>
          <x:t xml:space="preserve"/>
        </x:is>
      </x:c>
      <x:c r="C195" s="7" t="inlineStr">
        <x:is>
          <x:t xml:space="preserve"/>
        </x:is>
      </x:c>
      <x:c r="D195" s="7" t="inlineStr">
        <x:is>
          <x:t xml:space="preserve"/>
        </x:is>
      </x:c>
      <x:c r="E195" s="6" t="inlineStr">
        <x:is>
          <x:t xml:space="preserve"/>
        </x:is>
      </x:c>
      <x:c r="F195" s="7" t="inlineStr">
        <x:is>
          <x:t xml:space="preserve"/>
        </x:is>
      </x:c>
      <x:c r="G195" s="8" t="inlineStr">
        <x:is>
          <x:t xml:space="preserve"/>
        </x:is>
      </x:c>
      <x:c r="H195" s="6" t="inlineStr">
        <x:is>
          <x:t xml:space="preserve"/>
        </x:is>
      </x:c>
      <x:c r="I195" s="8" t="inlineStr">
        <x:is>
          <x:t xml:space="preserve"/>
        </x:is>
      </x:c>
      <x:c r="J195" s="7" t="inlineStr">
        <x:is>
          <x:t xml:space="preserve"/>
        </x:is>
      </x:c>
      <x:c r="K195" s="7">
        <x:f>IF(G195="","", TODAY()-G195)</x:f>
      </x:c>
      <x:c r="L195" s="7">
        <x:f>IF(OR(I195="",J195="Closed"),"", IF(TODAY()&gt;I195,"Yes","No"))</x:f>
      </x:c>
      <x:c r="M195" s="7" t="inlineStr">
        <x:is>
          <x:t xml:space="preserve"/>
        </x:is>
      </x:c>
      <x:c r="N195" s="6" t="inlineStr">
        <x:is>
          <x:t xml:space="preserve"/>
        </x:is>
      </x:c>
    </x:row>
    <x:row r="196">
      <x:c r="A196" s="7">
        <x:f>IF(E196="","", "ISS-"&amp;TEXT(ROW()-1,"00000"))</x:f>
      </x:c>
      <x:c r="B196" s="7" t="inlineStr">
        <x:is>
          <x:t xml:space="preserve"/>
        </x:is>
      </x:c>
      <x:c r="C196" s="7" t="inlineStr">
        <x:is>
          <x:t xml:space="preserve"/>
        </x:is>
      </x:c>
      <x:c r="D196" s="7" t="inlineStr">
        <x:is>
          <x:t xml:space="preserve"/>
        </x:is>
      </x:c>
      <x:c r="E196" s="6" t="inlineStr">
        <x:is>
          <x:t xml:space="preserve"/>
        </x:is>
      </x:c>
      <x:c r="F196" s="7" t="inlineStr">
        <x:is>
          <x:t xml:space="preserve"/>
        </x:is>
      </x:c>
      <x:c r="G196" s="8" t="inlineStr">
        <x:is>
          <x:t xml:space="preserve"/>
        </x:is>
      </x:c>
      <x:c r="H196" s="6" t="inlineStr">
        <x:is>
          <x:t xml:space="preserve"/>
        </x:is>
      </x:c>
      <x:c r="I196" s="8" t="inlineStr">
        <x:is>
          <x:t xml:space="preserve"/>
        </x:is>
      </x:c>
      <x:c r="J196" s="7" t="inlineStr">
        <x:is>
          <x:t xml:space="preserve"/>
        </x:is>
      </x:c>
      <x:c r="K196" s="7">
        <x:f>IF(G196="","", TODAY()-G196)</x:f>
      </x:c>
      <x:c r="L196" s="7">
        <x:f>IF(OR(I196="",J196="Closed"),"", IF(TODAY()&gt;I196,"Yes","No"))</x:f>
      </x:c>
      <x:c r="M196" s="7" t="inlineStr">
        <x:is>
          <x:t xml:space="preserve"/>
        </x:is>
      </x:c>
      <x:c r="N196" s="6" t="inlineStr">
        <x:is>
          <x:t xml:space="preserve"/>
        </x:is>
      </x:c>
    </x:row>
    <x:row r="197">
      <x:c r="A197" s="7">
        <x:f>IF(E197="","", "ISS-"&amp;TEXT(ROW()-1,"00000"))</x:f>
      </x:c>
      <x:c r="B197" s="7" t="inlineStr">
        <x:is>
          <x:t xml:space="preserve"/>
        </x:is>
      </x:c>
      <x:c r="C197" s="7" t="inlineStr">
        <x:is>
          <x:t xml:space="preserve"/>
        </x:is>
      </x:c>
      <x:c r="D197" s="7" t="inlineStr">
        <x:is>
          <x:t xml:space="preserve"/>
        </x:is>
      </x:c>
      <x:c r="E197" s="6" t="inlineStr">
        <x:is>
          <x:t xml:space="preserve"/>
        </x:is>
      </x:c>
      <x:c r="F197" s="7" t="inlineStr">
        <x:is>
          <x:t xml:space="preserve"/>
        </x:is>
      </x:c>
      <x:c r="G197" s="8" t="inlineStr">
        <x:is>
          <x:t xml:space="preserve"/>
        </x:is>
      </x:c>
      <x:c r="H197" s="6" t="inlineStr">
        <x:is>
          <x:t xml:space="preserve"/>
        </x:is>
      </x:c>
      <x:c r="I197" s="8" t="inlineStr">
        <x:is>
          <x:t xml:space="preserve"/>
        </x:is>
      </x:c>
      <x:c r="J197" s="7" t="inlineStr">
        <x:is>
          <x:t xml:space="preserve"/>
        </x:is>
      </x:c>
      <x:c r="K197" s="7">
        <x:f>IF(G197="","", TODAY()-G197)</x:f>
      </x:c>
      <x:c r="L197" s="7">
        <x:f>IF(OR(I197="",J197="Closed"),"", IF(TODAY()&gt;I197,"Yes","No"))</x:f>
      </x:c>
      <x:c r="M197" s="7" t="inlineStr">
        <x:is>
          <x:t xml:space="preserve"/>
        </x:is>
      </x:c>
      <x:c r="N197" s="6" t="inlineStr">
        <x:is>
          <x:t xml:space="preserve"/>
        </x:is>
      </x:c>
    </x:row>
    <x:row r="198">
      <x:c r="A198" s="7">
        <x:f>IF(E198="","", "ISS-"&amp;TEXT(ROW()-1,"00000"))</x:f>
      </x:c>
      <x:c r="B198" s="7" t="inlineStr">
        <x:is>
          <x:t xml:space="preserve"/>
        </x:is>
      </x:c>
      <x:c r="C198" s="7" t="inlineStr">
        <x:is>
          <x:t xml:space="preserve"/>
        </x:is>
      </x:c>
      <x:c r="D198" s="7" t="inlineStr">
        <x:is>
          <x:t xml:space="preserve"/>
        </x:is>
      </x:c>
      <x:c r="E198" s="6" t="inlineStr">
        <x:is>
          <x:t xml:space="preserve"/>
        </x:is>
      </x:c>
      <x:c r="F198" s="7" t="inlineStr">
        <x:is>
          <x:t xml:space="preserve"/>
        </x:is>
      </x:c>
      <x:c r="G198" s="8" t="inlineStr">
        <x:is>
          <x:t xml:space="preserve"/>
        </x:is>
      </x:c>
      <x:c r="H198" s="6" t="inlineStr">
        <x:is>
          <x:t xml:space="preserve"/>
        </x:is>
      </x:c>
      <x:c r="I198" s="8" t="inlineStr">
        <x:is>
          <x:t xml:space="preserve"/>
        </x:is>
      </x:c>
      <x:c r="J198" s="7" t="inlineStr">
        <x:is>
          <x:t xml:space="preserve"/>
        </x:is>
      </x:c>
      <x:c r="K198" s="7">
        <x:f>IF(G198="","", TODAY()-G198)</x:f>
      </x:c>
      <x:c r="L198" s="7">
        <x:f>IF(OR(I198="",J198="Closed"),"", IF(TODAY()&gt;I198,"Yes","No"))</x:f>
      </x:c>
      <x:c r="M198" s="7" t="inlineStr">
        <x:is>
          <x:t xml:space="preserve"/>
        </x:is>
      </x:c>
      <x:c r="N198" s="6" t="inlineStr">
        <x:is>
          <x:t xml:space="preserve"/>
        </x:is>
      </x:c>
    </x:row>
    <x:row r="199">
      <x:c r="A199" s="7">
        <x:f>IF(E199="","", "ISS-"&amp;TEXT(ROW()-1,"00000"))</x:f>
      </x:c>
      <x:c r="B199" s="7" t="inlineStr">
        <x:is>
          <x:t xml:space="preserve"/>
        </x:is>
      </x:c>
      <x:c r="C199" s="7" t="inlineStr">
        <x:is>
          <x:t xml:space="preserve"/>
        </x:is>
      </x:c>
      <x:c r="D199" s="7" t="inlineStr">
        <x:is>
          <x:t xml:space="preserve"/>
        </x:is>
      </x:c>
      <x:c r="E199" s="6" t="inlineStr">
        <x:is>
          <x:t xml:space="preserve"/>
        </x:is>
      </x:c>
      <x:c r="F199" s="7" t="inlineStr">
        <x:is>
          <x:t xml:space="preserve"/>
        </x:is>
      </x:c>
      <x:c r="G199" s="8" t="inlineStr">
        <x:is>
          <x:t xml:space="preserve"/>
        </x:is>
      </x:c>
      <x:c r="H199" s="6" t="inlineStr">
        <x:is>
          <x:t xml:space="preserve"/>
        </x:is>
      </x:c>
      <x:c r="I199" s="8" t="inlineStr">
        <x:is>
          <x:t xml:space="preserve"/>
        </x:is>
      </x:c>
      <x:c r="J199" s="7" t="inlineStr">
        <x:is>
          <x:t xml:space="preserve"/>
        </x:is>
      </x:c>
      <x:c r="K199" s="7">
        <x:f>IF(G199="","", TODAY()-G199)</x:f>
      </x:c>
      <x:c r="L199" s="7">
        <x:f>IF(OR(I199="",J199="Closed"),"", IF(TODAY()&gt;I199,"Yes","No"))</x:f>
      </x:c>
      <x:c r="M199" s="7" t="inlineStr">
        <x:is>
          <x:t xml:space="preserve"/>
        </x:is>
      </x:c>
      <x:c r="N199" s="6" t="inlineStr">
        <x:is>
          <x:t xml:space="preserve"/>
        </x:is>
      </x:c>
    </x:row>
    <x:row r="200">
      <x:c r="A200" s="7">
        <x:f>IF(E200="","", "ISS-"&amp;TEXT(ROW()-1,"00000"))</x:f>
      </x:c>
      <x:c r="B200" s="7" t="inlineStr">
        <x:is>
          <x:t xml:space="preserve"/>
        </x:is>
      </x:c>
      <x:c r="C200" s="7" t="inlineStr">
        <x:is>
          <x:t xml:space="preserve"/>
        </x:is>
      </x:c>
      <x:c r="D200" s="7" t="inlineStr">
        <x:is>
          <x:t xml:space="preserve"/>
        </x:is>
      </x:c>
      <x:c r="E200" s="6" t="inlineStr">
        <x:is>
          <x:t xml:space="preserve"/>
        </x:is>
      </x:c>
      <x:c r="F200" s="7" t="inlineStr">
        <x:is>
          <x:t xml:space="preserve"/>
        </x:is>
      </x:c>
      <x:c r="G200" s="8" t="inlineStr">
        <x:is>
          <x:t xml:space="preserve"/>
        </x:is>
      </x:c>
      <x:c r="H200" s="6" t="inlineStr">
        <x:is>
          <x:t xml:space="preserve"/>
        </x:is>
      </x:c>
      <x:c r="I200" s="8" t="inlineStr">
        <x:is>
          <x:t xml:space="preserve"/>
        </x:is>
      </x:c>
      <x:c r="J200" s="7" t="inlineStr">
        <x:is>
          <x:t xml:space="preserve"/>
        </x:is>
      </x:c>
      <x:c r="K200" s="7">
        <x:f>IF(G200="","", TODAY()-G200)</x:f>
      </x:c>
      <x:c r="L200" s="7">
        <x:f>IF(OR(I200="",J200="Closed"),"", IF(TODAY()&gt;I200,"Yes","No"))</x:f>
      </x:c>
      <x:c r="M200" s="7" t="inlineStr">
        <x:is>
          <x:t xml:space="preserve"/>
        </x:is>
      </x:c>
      <x:c r="N200" s="6" t="inlineStr">
        <x:is>
          <x:t xml:space="preserve"/>
        </x:is>
      </x:c>
    </x:row>
    <x:row r="201">
      <x:c r="A201" s="7">
        <x:f>IF(E201="","", "ISS-"&amp;TEXT(ROW()-1,"00000"))</x:f>
      </x:c>
      <x:c r="B201" s="7" t="inlineStr">
        <x:is>
          <x:t xml:space="preserve"/>
        </x:is>
      </x:c>
      <x:c r="C201" s="7" t="inlineStr">
        <x:is>
          <x:t xml:space="preserve"/>
        </x:is>
      </x:c>
      <x:c r="D201" s="7" t="inlineStr">
        <x:is>
          <x:t xml:space="preserve"/>
        </x:is>
      </x:c>
      <x:c r="E201" s="6" t="inlineStr">
        <x:is>
          <x:t xml:space="preserve"/>
        </x:is>
      </x:c>
      <x:c r="F201" s="7" t="inlineStr">
        <x:is>
          <x:t xml:space="preserve"/>
        </x:is>
      </x:c>
      <x:c r="G201" s="8" t="inlineStr">
        <x:is>
          <x:t xml:space="preserve"/>
        </x:is>
      </x:c>
      <x:c r="H201" s="6" t="inlineStr">
        <x:is>
          <x:t xml:space="preserve"/>
        </x:is>
      </x:c>
      <x:c r="I201" s="8" t="inlineStr">
        <x:is>
          <x:t xml:space="preserve"/>
        </x:is>
      </x:c>
      <x:c r="J201" s="7" t="inlineStr">
        <x:is>
          <x:t xml:space="preserve"/>
        </x:is>
      </x:c>
      <x:c r="K201" s="7">
        <x:f>IF(G201="","", TODAY()-G201)</x:f>
      </x:c>
      <x:c r="L201" s="7">
        <x:f>IF(OR(I201="",J201="Closed"),"", IF(TODAY()&gt;I201,"Yes","No"))</x:f>
      </x:c>
      <x:c r="M201" s="7" t="inlineStr">
        <x:is>
          <x:t xml:space="preserve"/>
        </x:is>
      </x:c>
      <x:c r="N201" s="6" t="inlineStr">
        <x:is>
          <x:t xml:space="preserve"/>
        </x:is>
      </x:c>
    </x:row>
    <x:row r="202">
      <x:c r="A202" s="7">
        <x:f>IF(E202="","", "ISS-"&amp;TEXT(ROW()-1,"00000"))</x:f>
      </x:c>
      <x:c r="B202" s="7" t="inlineStr">
        <x:is>
          <x:t xml:space="preserve"/>
        </x:is>
      </x:c>
      <x:c r="C202" s="7" t="inlineStr">
        <x:is>
          <x:t xml:space="preserve"/>
        </x:is>
      </x:c>
      <x:c r="D202" s="7" t="inlineStr">
        <x:is>
          <x:t xml:space="preserve"/>
        </x:is>
      </x:c>
      <x:c r="E202" s="6" t="inlineStr">
        <x:is>
          <x:t xml:space="preserve"/>
        </x:is>
      </x:c>
      <x:c r="F202" s="7" t="inlineStr">
        <x:is>
          <x:t xml:space="preserve"/>
        </x:is>
      </x:c>
      <x:c r="G202" s="8" t="inlineStr">
        <x:is>
          <x:t xml:space="preserve"/>
        </x:is>
      </x:c>
      <x:c r="H202" s="6" t="inlineStr">
        <x:is>
          <x:t xml:space="preserve"/>
        </x:is>
      </x:c>
      <x:c r="I202" s="8" t="inlineStr">
        <x:is>
          <x:t xml:space="preserve"/>
        </x:is>
      </x:c>
      <x:c r="J202" s="7" t="inlineStr">
        <x:is>
          <x:t xml:space="preserve"/>
        </x:is>
      </x:c>
      <x:c r="K202" s="7">
        <x:f>IF(G202="","", TODAY()-G202)</x:f>
      </x:c>
      <x:c r="L202" s="7">
        <x:f>IF(OR(I202="",J202="Closed"),"", IF(TODAY()&gt;I202,"Yes","No"))</x:f>
      </x:c>
      <x:c r="M202" s="7" t="inlineStr">
        <x:is>
          <x:t xml:space="preserve"/>
        </x:is>
      </x:c>
      <x:c r="N202" s="6" t="inlineStr">
        <x:is>
          <x:t xml:space="preserve"/>
        </x:is>
      </x:c>
    </x:row>
    <x:row r="203">
      <x:c r="A203" s="7">
        <x:f>IF(E203="","", "ISS-"&amp;TEXT(ROW()-1,"00000"))</x:f>
      </x:c>
      <x:c r="B203" s="7" t="inlineStr">
        <x:is>
          <x:t xml:space="preserve"/>
        </x:is>
      </x:c>
      <x:c r="C203" s="7" t="inlineStr">
        <x:is>
          <x:t xml:space="preserve"/>
        </x:is>
      </x:c>
      <x:c r="D203" s="7" t="inlineStr">
        <x:is>
          <x:t xml:space="preserve"/>
        </x:is>
      </x:c>
      <x:c r="E203" s="6" t="inlineStr">
        <x:is>
          <x:t xml:space="preserve"/>
        </x:is>
      </x:c>
      <x:c r="F203" s="7" t="inlineStr">
        <x:is>
          <x:t xml:space="preserve"/>
        </x:is>
      </x:c>
      <x:c r="G203" s="8" t="inlineStr">
        <x:is>
          <x:t xml:space="preserve"/>
        </x:is>
      </x:c>
      <x:c r="H203" s="6" t="inlineStr">
        <x:is>
          <x:t xml:space="preserve"/>
        </x:is>
      </x:c>
      <x:c r="I203" s="8" t="inlineStr">
        <x:is>
          <x:t xml:space="preserve"/>
        </x:is>
      </x:c>
      <x:c r="J203" s="7" t="inlineStr">
        <x:is>
          <x:t xml:space="preserve"/>
        </x:is>
      </x:c>
      <x:c r="K203" s="7">
        <x:f>IF(G203="","", TODAY()-G203)</x:f>
      </x:c>
      <x:c r="L203" s="7">
        <x:f>IF(OR(I203="",J203="Closed"),"", IF(TODAY()&gt;I203,"Yes","No"))</x:f>
      </x:c>
      <x:c r="M203" s="7" t="inlineStr">
        <x:is>
          <x:t xml:space="preserve"/>
        </x:is>
      </x:c>
      <x:c r="N203" s="6" t="inlineStr">
        <x:is>
          <x:t xml:space="preserve"/>
        </x:is>
      </x:c>
    </x:row>
    <x:row r="204">
      <x:c r="A204" s="7">
        <x:f>IF(E204="","", "ISS-"&amp;TEXT(ROW()-1,"00000"))</x:f>
      </x:c>
      <x:c r="B204" s="7" t="inlineStr">
        <x:is>
          <x:t xml:space="preserve"/>
        </x:is>
      </x:c>
      <x:c r="C204" s="7" t="inlineStr">
        <x:is>
          <x:t xml:space="preserve"/>
        </x:is>
      </x:c>
      <x:c r="D204" s="7" t="inlineStr">
        <x:is>
          <x:t xml:space="preserve"/>
        </x:is>
      </x:c>
      <x:c r="E204" s="6" t="inlineStr">
        <x:is>
          <x:t xml:space="preserve"/>
        </x:is>
      </x:c>
      <x:c r="F204" s="7" t="inlineStr">
        <x:is>
          <x:t xml:space="preserve"/>
        </x:is>
      </x:c>
      <x:c r="G204" s="8" t="inlineStr">
        <x:is>
          <x:t xml:space="preserve"/>
        </x:is>
      </x:c>
      <x:c r="H204" s="6" t="inlineStr">
        <x:is>
          <x:t xml:space="preserve"/>
        </x:is>
      </x:c>
      <x:c r="I204" s="8" t="inlineStr">
        <x:is>
          <x:t xml:space="preserve"/>
        </x:is>
      </x:c>
      <x:c r="J204" s="7" t="inlineStr">
        <x:is>
          <x:t xml:space="preserve"/>
        </x:is>
      </x:c>
      <x:c r="K204" s="7">
        <x:f>IF(G204="","", TODAY()-G204)</x:f>
      </x:c>
      <x:c r="L204" s="7">
        <x:f>IF(OR(I204="",J204="Closed"),"", IF(TODAY()&gt;I204,"Yes","No"))</x:f>
      </x:c>
      <x:c r="M204" s="7" t="inlineStr">
        <x:is>
          <x:t xml:space="preserve"/>
        </x:is>
      </x:c>
      <x:c r="N204" s="6" t="inlineStr">
        <x:is>
          <x:t xml:space="preserve"/>
        </x:is>
      </x:c>
    </x:row>
    <x:row r="205">
      <x:c r="A205" s="7">
        <x:f>IF(E205="","", "ISS-"&amp;TEXT(ROW()-1,"00000"))</x:f>
      </x:c>
      <x:c r="B205" s="7" t="inlineStr">
        <x:is>
          <x:t xml:space="preserve"/>
        </x:is>
      </x:c>
      <x:c r="C205" s="7" t="inlineStr">
        <x:is>
          <x:t xml:space="preserve"/>
        </x:is>
      </x:c>
      <x:c r="D205" s="7" t="inlineStr">
        <x:is>
          <x:t xml:space="preserve"/>
        </x:is>
      </x:c>
      <x:c r="E205" s="6" t="inlineStr">
        <x:is>
          <x:t xml:space="preserve"/>
        </x:is>
      </x:c>
      <x:c r="F205" s="7" t="inlineStr">
        <x:is>
          <x:t xml:space="preserve"/>
        </x:is>
      </x:c>
      <x:c r="G205" s="8" t="inlineStr">
        <x:is>
          <x:t xml:space="preserve"/>
        </x:is>
      </x:c>
      <x:c r="H205" s="6" t="inlineStr">
        <x:is>
          <x:t xml:space="preserve"/>
        </x:is>
      </x:c>
      <x:c r="I205" s="8" t="inlineStr">
        <x:is>
          <x:t xml:space="preserve"/>
        </x:is>
      </x:c>
      <x:c r="J205" s="7" t="inlineStr">
        <x:is>
          <x:t xml:space="preserve"/>
        </x:is>
      </x:c>
      <x:c r="K205" s="7">
        <x:f>IF(G205="","", TODAY()-G205)</x:f>
      </x:c>
      <x:c r="L205" s="7">
        <x:f>IF(OR(I205="",J205="Closed"),"", IF(TODAY()&gt;I205,"Yes","No"))</x:f>
      </x:c>
      <x:c r="M205" s="7" t="inlineStr">
        <x:is>
          <x:t xml:space="preserve"/>
        </x:is>
      </x:c>
      <x:c r="N205" s="6" t="inlineStr">
        <x:is>
          <x:t xml:space="preserve"/>
        </x:is>
      </x:c>
    </x:row>
    <x:row r="206">
      <x:c r="A206" s="7">
        <x:f>IF(E206="","", "ISS-"&amp;TEXT(ROW()-1,"00000"))</x:f>
      </x:c>
      <x:c r="B206" s="7" t="inlineStr">
        <x:is>
          <x:t xml:space="preserve"/>
        </x:is>
      </x:c>
      <x:c r="C206" s="7" t="inlineStr">
        <x:is>
          <x:t xml:space="preserve"/>
        </x:is>
      </x:c>
      <x:c r="D206" s="7" t="inlineStr">
        <x:is>
          <x:t xml:space="preserve"/>
        </x:is>
      </x:c>
      <x:c r="E206" s="6" t="inlineStr">
        <x:is>
          <x:t xml:space="preserve"/>
        </x:is>
      </x:c>
      <x:c r="F206" s="7" t="inlineStr">
        <x:is>
          <x:t xml:space="preserve"/>
        </x:is>
      </x:c>
      <x:c r="G206" s="8" t="inlineStr">
        <x:is>
          <x:t xml:space="preserve"/>
        </x:is>
      </x:c>
      <x:c r="H206" s="6" t="inlineStr">
        <x:is>
          <x:t xml:space="preserve"/>
        </x:is>
      </x:c>
      <x:c r="I206" s="8" t="inlineStr">
        <x:is>
          <x:t xml:space="preserve"/>
        </x:is>
      </x:c>
      <x:c r="J206" s="7" t="inlineStr">
        <x:is>
          <x:t xml:space="preserve"/>
        </x:is>
      </x:c>
      <x:c r="K206" s="7">
        <x:f>IF(G206="","", TODAY()-G206)</x:f>
      </x:c>
      <x:c r="L206" s="7">
        <x:f>IF(OR(I206="",J206="Closed"),"", IF(TODAY()&gt;I206,"Yes","No"))</x:f>
      </x:c>
      <x:c r="M206" s="7" t="inlineStr">
        <x:is>
          <x:t xml:space="preserve"/>
        </x:is>
      </x:c>
      <x:c r="N206" s="6" t="inlineStr">
        <x:is>
          <x:t xml:space="preserve"/>
        </x:is>
      </x:c>
    </x:row>
    <x:row r="207">
      <x:c r="A207" s="7">
        <x:f>IF(E207="","", "ISS-"&amp;TEXT(ROW()-1,"00000"))</x:f>
      </x:c>
      <x:c r="B207" s="7" t="inlineStr">
        <x:is>
          <x:t xml:space="preserve"/>
        </x:is>
      </x:c>
      <x:c r="C207" s="7" t="inlineStr">
        <x:is>
          <x:t xml:space="preserve"/>
        </x:is>
      </x:c>
      <x:c r="D207" s="7" t="inlineStr">
        <x:is>
          <x:t xml:space="preserve"/>
        </x:is>
      </x:c>
      <x:c r="E207" s="6" t="inlineStr">
        <x:is>
          <x:t xml:space="preserve"/>
        </x:is>
      </x:c>
      <x:c r="F207" s="7" t="inlineStr">
        <x:is>
          <x:t xml:space="preserve"/>
        </x:is>
      </x:c>
      <x:c r="G207" s="8" t="inlineStr">
        <x:is>
          <x:t xml:space="preserve"/>
        </x:is>
      </x:c>
      <x:c r="H207" s="6" t="inlineStr">
        <x:is>
          <x:t xml:space="preserve"/>
        </x:is>
      </x:c>
      <x:c r="I207" s="8" t="inlineStr">
        <x:is>
          <x:t xml:space="preserve"/>
        </x:is>
      </x:c>
      <x:c r="J207" s="7" t="inlineStr">
        <x:is>
          <x:t xml:space="preserve"/>
        </x:is>
      </x:c>
      <x:c r="K207" s="7">
        <x:f>IF(G207="","", TODAY()-G207)</x:f>
      </x:c>
      <x:c r="L207" s="7">
        <x:f>IF(OR(I207="",J207="Closed"),"", IF(TODAY()&gt;I207,"Yes","No"))</x:f>
      </x:c>
      <x:c r="M207" s="7" t="inlineStr">
        <x:is>
          <x:t xml:space="preserve"/>
        </x:is>
      </x:c>
      <x:c r="N207" s="6" t="inlineStr">
        <x:is>
          <x:t xml:space="preserve"/>
        </x:is>
      </x:c>
    </x:row>
    <x:row r="208">
      <x:c r="A208" s="7">
        <x:f>IF(E208="","", "ISS-"&amp;TEXT(ROW()-1,"00000"))</x:f>
      </x:c>
      <x:c r="B208" s="7" t="inlineStr">
        <x:is>
          <x:t xml:space="preserve"/>
        </x:is>
      </x:c>
      <x:c r="C208" s="7" t="inlineStr">
        <x:is>
          <x:t xml:space="preserve"/>
        </x:is>
      </x:c>
      <x:c r="D208" s="7" t="inlineStr">
        <x:is>
          <x:t xml:space="preserve"/>
        </x:is>
      </x:c>
      <x:c r="E208" s="6" t="inlineStr">
        <x:is>
          <x:t xml:space="preserve"/>
        </x:is>
      </x:c>
      <x:c r="F208" s="7" t="inlineStr">
        <x:is>
          <x:t xml:space="preserve"/>
        </x:is>
      </x:c>
      <x:c r="G208" s="8" t="inlineStr">
        <x:is>
          <x:t xml:space="preserve"/>
        </x:is>
      </x:c>
      <x:c r="H208" s="6" t="inlineStr">
        <x:is>
          <x:t xml:space="preserve"/>
        </x:is>
      </x:c>
      <x:c r="I208" s="8" t="inlineStr">
        <x:is>
          <x:t xml:space="preserve"/>
        </x:is>
      </x:c>
      <x:c r="J208" s="7" t="inlineStr">
        <x:is>
          <x:t xml:space="preserve"/>
        </x:is>
      </x:c>
      <x:c r="K208" s="7">
        <x:f>IF(G208="","", TODAY()-G208)</x:f>
      </x:c>
      <x:c r="L208" s="7">
        <x:f>IF(OR(I208="",J208="Closed"),"", IF(TODAY()&gt;I208,"Yes","No"))</x:f>
      </x:c>
      <x:c r="M208" s="7" t="inlineStr">
        <x:is>
          <x:t xml:space="preserve"/>
        </x:is>
      </x:c>
      <x:c r="N208" s="6" t="inlineStr">
        <x:is>
          <x:t xml:space="preserve"/>
        </x:is>
      </x:c>
    </x:row>
    <x:row r="209">
      <x:c r="A209" s="7">
        <x:f>IF(E209="","", "ISS-"&amp;TEXT(ROW()-1,"00000"))</x:f>
      </x:c>
      <x:c r="B209" s="7" t="inlineStr">
        <x:is>
          <x:t xml:space="preserve"/>
        </x:is>
      </x:c>
      <x:c r="C209" s="7" t="inlineStr">
        <x:is>
          <x:t xml:space="preserve"/>
        </x:is>
      </x:c>
      <x:c r="D209" s="7" t="inlineStr">
        <x:is>
          <x:t xml:space="preserve"/>
        </x:is>
      </x:c>
      <x:c r="E209" s="6" t="inlineStr">
        <x:is>
          <x:t xml:space="preserve"/>
        </x:is>
      </x:c>
      <x:c r="F209" s="7" t="inlineStr">
        <x:is>
          <x:t xml:space="preserve"/>
        </x:is>
      </x:c>
      <x:c r="G209" s="8" t="inlineStr">
        <x:is>
          <x:t xml:space="preserve"/>
        </x:is>
      </x:c>
      <x:c r="H209" s="6" t="inlineStr">
        <x:is>
          <x:t xml:space="preserve"/>
        </x:is>
      </x:c>
      <x:c r="I209" s="8" t="inlineStr">
        <x:is>
          <x:t xml:space="preserve"/>
        </x:is>
      </x:c>
      <x:c r="J209" s="7" t="inlineStr">
        <x:is>
          <x:t xml:space="preserve"/>
        </x:is>
      </x:c>
      <x:c r="K209" s="7">
        <x:f>IF(G209="","", TODAY()-G209)</x:f>
      </x:c>
      <x:c r="L209" s="7">
        <x:f>IF(OR(I209="",J209="Closed"),"", IF(TODAY()&gt;I209,"Yes","No"))</x:f>
      </x:c>
      <x:c r="M209" s="7" t="inlineStr">
        <x:is>
          <x:t xml:space="preserve"/>
        </x:is>
      </x:c>
      <x:c r="N209" s="6" t="inlineStr">
        <x:is>
          <x:t xml:space="preserve"/>
        </x:is>
      </x:c>
    </x:row>
    <x:row r="210">
      <x:c r="A210" s="7">
        <x:f>IF(E210="","", "ISS-"&amp;TEXT(ROW()-1,"00000"))</x:f>
      </x:c>
      <x:c r="B210" s="7" t="inlineStr">
        <x:is>
          <x:t xml:space="preserve"/>
        </x:is>
      </x:c>
      <x:c r="C210" s="7" t="inlineStr">
        <x:is>
          <x:t xml:space="preserve"/>
        </x:is>
      </x:c>
      <x:c r="D210" s="7" t="inlineStr">
        <x:is>
          <x:t xml:space="preserve"/>
        </x:is>
      </x:c>
      <x:c r="E210" s="6" t="inlineStr">
        <x:is>
          <x:t xml:space="preserve"/>
        </x:is>
      </x:c>
      <x:c r="F210" s="7" t="inlineStr">
        <x:is>
          <x:t xml:space="preserve"/>
        </x:is>
      </x:c>
      <x:c r="G210" s="8" t="inlineStr">
        <x:is>
          <x:t xml:space="preserve"/>
        </x:is>
      </x:c>
      <x:c r="H210" s="6" t="inlineStr">
        <x:is>
          <x:t xml:space="preserve"/>
        </x:is>
      </x:c>
      <x:c r="I210" s="8" t="inlineStr">
        <x:is>
          <x:t xml:space="preserve"/>
        </x:is>
      </x:c>
      <x:c r="J210" s="7" t="inlineStr">
        <x:is>
          <x:t xml:space="preserve"/>
        </x:is>
      </x:c>
      <x:c r="K210" s="7">
        <x:f>IF(G210="","", TODAY()-G210)</x:f>
      </x:c>
      <x:c r="L210" s="7">
        <x:f>IF(OR(I210="",J210="Closed"),"", IF(TODAY()&gt;I210,"Yes","No"))</x:f>
      </x:c>
      <x:c r="M210" s="7" t="inlineStr">
        <x:is>
          <x:t xml:space="preserve"/>
        </x:is>
      </x:c>
      <x:c r="N210" s="6" t="inlineStr">
        <x:is>
          <x:t xml:space="preserve"/>
        </x:is>
      </x:c>
    </x:row>
    <x:row r="211">
      <x:c r="A211" s="7">
        <x:f>IF(E211="","", "ISS-"&amp;TEXT(ROW()-1,"00000"))</x:f>
      </x:c>
      <x:c r="B211" s="7" t="inlineStr">
        <x:is>
          <x:t xml:space="preserve"/>
        </x:is>
      </x:c>
      <x:c r="C211" s="7" t="inlineStr">
        <x:is>
          <x:t xml:space="preserve"/>
        </x:is>
      </x:c>
      <x:c r="D211" s="7" t="inlineStr">
        <x:is>
          <x:t xml:space="preserve"/>
        </x:is>
      </x:c>
      <x:c r="E211" s="6" t="inlineStr">
        <x:is>
          <x:t xml:space="preserve"/>
        </x:is>
      </x:c>
      <x:c r="F211" s="7" t="inlineStr">
        <x:is>
          <x:t xml:space="preserve"/>
        </x:is>
      </x:c>
      <x:c r="G211" s="8" t="inlineStr">
        <x:is>
          <x:t xml:space="preserve"/>
        </x:is>
      </x:c>
      <x:c r="H211" s="6" t="inlineStr">
        <x:is>
          <x:t xml:space="preserve"/>
        </x:is>
      </x:c>
      <x:c r="I211" s="8" t="inlineStr">
        <x:is>
          <x:t xml:space="preserve"/>
        </x:is>
      </x:c>
      <x:c r="J211" s="7" t="inlineStr">
        <x:is>
          <x:t xml:space="preserve"/>
        </x:is>
      </x:c>
      <x:c r="K211" s="7">
        <x:f>IF(G211="","", TODAY()-G211)</x:f>
      </x:c>
      <x:c r="L211" s="7">
        <x:f>IF(OR(I211="",J211="Closed"),"", IF(TODAY()&gt;I211,"Yes","No"))</x:f>
      </x:c>
      <x:c r="M211" s="7" t="inlineStr">
        <x:is>
          <x:t xml:space="preserve"/>
        </x:is>
      </x:c>
      <x:c r="N211" s="6" t="inlineStr">
        <x:is>
          <x:t xml:space="preserve"/>
        </x:is>
      </x:c>
    </x:row>
    <x:row r="212">
      <x:c r="A212" s="7">
        <x:f>IF(E212="","", "ISS-"&amp;TEXT(ROW()-1,"00000"))</x:f>
      </x:c>
      <x:c r="B212" s="7" t="inlineStr">
        <x:is>
          <x:t xml:space="preserve"/>
        </x:is>
      </x:c>
      <x:c r="C212" s="7" t="inlineStr">
        <x:is>
          <x:t xml:space="preserve"/>
        </x:is>
      </x:c>
      <x:c r="D212" s="7" t="inlineStr">
        <x:is>
          <x:t xml:space="preserve"/>
        </x:is>
      </x:c>
      <x:c r="E212" s="6" t="inlineStr">
        <x:is>
          <x:t xml:space="preserve"/>
        </x:is>
      </x:c>
      <x:c r="F212" s="7" t="inlineStr">
        <x:is>
          <x:t xml:space="preserve"/>
        </x:is>
      </x:c>
      <x:c r="G212" s="8" t="inlineStr">
        <x:is>
          <x:t xml:space="preserve"/>
        </x:is>
      </x:c>
      <x:c r="H212" s="6" t="inlineStr">
        <x:is>
          <x:t xml:space="preserve"/>
        </x:is>
      </x:c>
      <x:c r="I212" s="8" t="inlineStr">
        <x:is>
          <x:t xml:space="preserve"/>
        </x:is>
      </x:c>
      <x:c r="J212" s="7" t="inlineStr">
        <x:is>
          <x:t xml:space="preserve"/>
        </x:is>
      </x:c>
      <x:c r="K212" s="7">
        <x:f>IF(G212="","", TODAY()-G212)</x:f>
      </x:c>
      <x:c r="L212" s="7">
        <x:f>IF(OR(I212="",J212="Closed"),"", IF(TODAY()&gt;I212,"Yes","No"))</x:f>
      </x:c>
      <x:c r="M212" s="7" t="inlineStr">
        <x:is>
          <x:t xml:space="preserve"/>
        </x:is>
      </x:c>
      <x:c r="N212" s="6" t="inlineStr">
        <x:is>
          <x:t xml:space="preserve"/>
        </x:is>
      </x:c>
    </x:row>
    <x:row r="213">
      <x:c r="A213" s="7">
        <x:f>IF(E213="","", "ISS-"&amp;TEXT(ROW()-1,"00000"))</x:f>
      </x:c>
      <x:c r="B213" s="7" t="inlineStr">
        <x:is>
          <x:t xml:space="preserve"/>
        </x:is>
      </x:c>
      <x:c r="C213" s="7" t="inlineStr">
        <x:is>
          <x:t xml:space="preserve"/>
        </x:is>
      </x:c>
      <x:c r="D213" s="7" t="inlineStr">
        <x:is>
          <x:t xml:space="preserve"/>
        </x:is>
      </x:c>
      <x:c r="E213" s="6" t="inlineStr">
        <x:is>
          <x:t xml:space="preserve"/>
        </x:is>
      </x:c>
      <x:c r="F213" s="7" t="inlineStr">
        <x:is>
          <x:t xml:space="preserve"/>
        </x:is>
      </x:c>
      <x:c r="G213" s="8" t="inlineStr">
        <x:is>
          <x:t xml:space="preserve"/>
        </x:is>
      </x:c>
      <x:c r="H213" s="6" t="inlineStr">
        <x:is>
          <x:t xml:space="preserve"/>
        </x:is>
      </x:c>
      <x:c r="I213" s="8" t="inlineStr">
        <x:is>
          <x:t xml:space="preserve"/>
        </x:is>
      </x:c>
      <x:c r="J213" s="7" t="inlineStr">
        <x:is>
          <x:t xml:space="preserve"/>
        </x:is>
      </x:c>
      <x:c r="K213" s="7">
        <x:f>IF(G213="","", TODAY()-G213)</x:f>
      </x:c>
      <x:c r="L213" s="7">
        <x:f>IF(OR(I213="",J213="Closed"),"", IF(TODAY()&gt;I213,"Yes","No"))</x:f>
      </x:c>
      <x:c r="M213" s="7" t="inlineStr">
        <x:is>
          <x:t xml:space="preserve"/>
        </x:is>
      </x:c>
      <x:c r="N213" s="6" t="inlineStr">
        <x:is>
          <x:t xml:space="preserve"/>
        </x:is>
      </x:c>
    </x:row>
    <x:row r="214">
      <x:c r="A214" s="7">
        <x:f>IF(E214="","", "ISS-"&amp;TEXT(ROW()-1,"00000"))</x:f>
      </x:c>
      <x:c r="B214" s="7" t="inlineStr">
        <x:is>
          <x:t xml:space="preserve"/>
        </x:is>
      </x:c>
      <x:c r="C214" s="7" t="inlineStr">
        <x:is>
          <x:t xml:space="preserve"/>
        </x:is>
      </x:c>
      <x:c r="D214" s="7" t="inlineStr">
        <x:is>
          <x:t xml:space="preserve"/>
        </x:is>
      </x:c>
      <x:c r="E214" s="6" t="inlineStr">
        <x:is>
          <x:t xml:space="preserve"/>
        </x:is>
      </x:c>
      <x:c r="F214" s="7" t="inlineStr">
        <x:is>
          <x:t xml:space="preserve"/>
        </x:is>
      </x:c>
      <x:c r="G214" s="8" t="inlineStr">
        <x:is>
          <x:t xml:space="preserve"/>
        </x:is>
      </x:c>
      <x:c r="H214" s="6" t="inlineStr">
        <x:is>
          <x:t xml:space="preserve"/>
        </x:is>
      </x:c>
      <x:c r="I214" s="8" t="inlineStr">
        <x:is>
          <x:t xml:space="preserve"/>
        </x:is>
      </x:c>
      <x:c r="J214" s="7" t="inlineStr">
        <x:is>
          <x:t xml:space="preserve"/>
        </x:is>
      </x:c>
      <x:c r="K214" s="7">
        <x:f>IF(G214="","", TODAY()-G214)</x:f>
      </x:c>
      <x:c r="L214" s="7">
        <x:f>IF(OR(I214="",J214="Closed"),"", IF(TODAY()&gt;I214,"Yes","No"))</x:f>
      </x:c>
      <x:c r="M214" s="7" t="inlineStr">
        <x:is>
          <x:t xml:space="preserve"/>
        </x:is>
      </x:c>
      <x:c r="N214" s="6" t="inlineStr">
        <x:is>
          <x:t xml:space="preserve"/>
        </x:is>
      </x:c>
    </x:row>
    <x:row r="215">
      <x:c r="A215" s="7">
        <x:f>IF(E215="","", "ISS-"&amp;TEXT(ROW()-1,"00000"))</x:f>
      </x:c>
      <x:c r="B215" s="7" t="inlineStr">
        <x:is>
          <x:t xml:space="preserve"/>
        </x:is>
      </x:c>
      <x:c r="C215" s="7" t="inlineStr">
        <x:is>
          <x:t xml:space="preserve"/>
        </x:is>
      </x:c>
      <x:c r="D215" s="7" t="inlineStr">
        <x:is>
          <x:t xml:space="preserve"/>
        </x:is>
      </x:c>
      <x:c r="E215" s="6" t="inlineStr">
        <x:is>
          <x:t xml:space="preserve"/>
        </x:is>
      </x:c>
      <x:c r="F215" s="7" t="inlineStr">
        <x:is>
          <x:t xml:space="preserve"/>
        </x:is>
      </x:c>
      <x:c r="G215" s="8" t="inlineStr">
        <x:is>
          <x:t xml:space="preserve"/>
        </x:is>
      </x:c>
      <x:c r="H215" s="6" t="inlineStr">
        <x:is>
          <x:t xml:space="preserve"/>
        </x:is>
      </x:c>
      <x:c r="I215" s="8" t="inlineStr">
        <x:is>
          <x:t xml:space="preserve"/>
        </x:is>
      </x:c>
      <x:c r="J215" s="7" t="inlineStr">
        <x:is>
          <x:t xml:space="preserve"/>
        </x:is>
      </x:c>
      <x:c r="K215" s="7">
        <x:f>IF(G215="","", TODAY()-G215)</x:f>
      </x:c>
      <x:c r="L215" s="7">
        <x:f>IF(OR(I215="",J215="Closed"),"", IF(TODAY()&gt;I215,"Yes","No"))</x:f>
      </x:c>
      <x:c r="M215" s="7" t="inlineStr">
        <x:is>
          <x:t xml:space="preserve"/>
        </x:is>
      </x:c>
      <x:c r="N215" s="6" t="inlineStr">
        <x:is>
          <x:t xml:space="preserve"/>
        </x:is>
      </x:c>
    </x:row>
    <x:row r="216">
      <x:c r="A216" s="7">
        <x:f>IF(E216="","", "ISS-"&amp;TEXT(ROW()-1,"00000"))</x:f>
      </x:c>
      <x:c r="B216" s="7" t="inlineStr">
        <x:is>
          <x:t xml:space="preserve"/>
        </x:is>
      </x:c>
      <x:c r="C216" s="7" t="inlineStr">
        <x:is>
          <x:t xml:space="preserve"/>
        </x:is>
      </x:c>
      <x:c r="D216" s="7" t="inlineStr">
        <x:is>
          <x:t xml:space="preserve"/>
        </x:is>
      </x:c>
      <x:c r="E216" s="6" t="inlineStr">
        <x:is>
          <x:t xml:space="preserve"/>
        </x:is>
      </x:c>
      <x:c r="F216" s="7" t="inlineStr">
        <x:is>
          <x:t xml:space="preserve"/>
        </x:is>
      </x:c>
      <x:c r="G216" s="8" t="inlineStr">
        <x:is>
          <x:t xml:space="preserve"/>
        </x:is>
      </x:c>
      <x:c r="H216" s="6" t="inlineStr">
        <x:is>
          <x:t xml:space="preserve"/>
        </x:is>
      </x:c>
      <x:c r="I216" s="8" t="inlineStr">
        <x:is>
          <x:t xml:space="preserve"/>
        </x:is>
      </x:c>
      <x:c r="J216" s="7" t="inlineStr">
        <x:is>
          <x:t xml:space="preserve"/>
        </x:is>
      </x:c>
      <x:c r="K216" s="7">
        <x:f>IF(G216="","", TODAY()-G216)</x:f>
      </x:c>
      <x:c r="L216" s="7">
        <x:f>IF(OR(I216="",J216="Closed"),"", IF(TODAY()&gt;I216,"Yes","No"))</x:f>
      </x:c>
      <x:c r="M216" s="7" t="inlineStr">
        <x:is>
          <x:t xml:space="preserve"/>
        </x:is>
      </x:c>
      <x:c r="N216" s="6" t="inlineStr">
        <x:is>
          <x:t xml:space="preserve"/>
        </x:is>
      </x:c>
    </x:row>
    <x:row r="217">
      <x:c r="A217" s="7">
        <x:f>IF(E217="","", "ISS-"&amp;TEXT(ROW()-1,"00000"))</x:f>
      </x:c>
      <x:c r="B217" s="7" t="inlineStr">
        <x:is>
          <x:t xml:space="preserve"/>
        </x:is>
      </x:c>
      <x:c r="C217" s="7" t="inlineStr">
        <x:is>
          <x:t xml:space="preserve"/>
        </x:is>
      </x:c>
      <x:c r="D217" s="7" t="inlineStr">
        <x:is>
          <x:t xml:space="preserve"/>
        </x:is>
      </x:c>
      <x:c r="E217" s="6" t="inlineStr">
        <x:is>
          <x:t xml:space="preserve"/>
        </x:is>
      </x:c>
      <x:c r="F217" s="7" t="inlineStr">
        <x:is>
          <x:t xml:space="preserve"/>
        </x:is>
      </x:c>
      <x:c r="G217" s="8" t="inlineStr">
        <x:is>
          <x:t xml:space="preserve"/>
        </x:is>
      </x:c>
      <x:c r="H217" s="6" t="inlineStr">
        <x:is>
          <x:t xml:space="preserve"/>
        </x:is>
      </x:c>
      <x:c r="I217" s="8" t="inlineStr">
        <x:is>
          <x:t xml:space="preserve"/>
        </x:is>
      </x:c>
      <x:c r="J217" s="7" t="inlineStr">
        <x:is>
          <x:t xml:space="preserve"/>
        </x:is>
      </x:c>
      <x:c r="K217" s="7">
        <x:f>IF(G217="","", TODAY()-G217)</x:f>
      </x:c>
      <x:c r="L217" s="7">
        <x:f>IF(OR(I217="",J217="Closed"),"", IF(TODAY()&gt;I217,"Yes","No"))</x:f>
      </x:c>
      <x:c r="M217" s="7" t="inlineStr">
        <x:is>
          <x:t xml:space="preserve"/>
        </x:is>
      </x:c>
      <x:c r="N217" s="6" t="inlineStr">
        <x:is>
          <x:t xml:space="preserve"/>
        </x:is>
      </x:c>
    </x:row>
    <x:row r="218">
      <x:c r="A218" s="7">
        <x:f>IF(E218="","", "ISS-"&amp;TEXT(ROW()-1,"00000"))</x:f>
      </x:c>
      <x:c r="B218" s="7" t="inlineStr">
        <x:is>
          <x:t xml:space="preserve"/>
        </x:is>
      </x:c>
      <x:c r="C218" s="7" t="inlineStr">
        <x:is>
          <x:t xml:space="preserve"/>
        </x:is>
      </x:c>
      <x:c r="D218" s="7" t="inlineStr">
        <x:is>
          <x:t xml:space="preserve"/>
        </x:is>
      </x:c>
      <x:c r="E218" s="6" t="inlineStr">
        <x:is>
          <x:t xml:space="preserve"/>
        </x:is>
      </x:c>
      <x:c r="F218" s="7" t="inlineStr">
        <x:is>
          <x:t xml:space="preserve"/>
        </x:is>
      </x:c>
      <x:c r="G218" s="8" t="inlineStr">
        <x:is>
          <x:t xml:space="preserve"/>
        </x:is>
      </x:c>
      <x:c r="H218" s="6" t="inlineStr">
        <x:is>
          <x:t xml:space="preserve"/>
        </x:is>
      </x:c>
      <x:c r="I218" s="8" t="inlineStr">
        <x:is>
          <x:t xml:space="preserve"/>
        </x:is>
      </x:c>
      <x:c r="J218" s="7" t="inlineStr">
        <x:is>
          <x:t xml:space="preserve"/>
        </x:is>
      </x:c>
      <x:c r="K218" s="7">
        <x:f>IF(G218="","", TODAY()-G218)</x:f>
      </x:c>
      <x:c r="L218" s="7">
        <x:f>IF(OR(I218="",J218="Closed"),"", IF(TODAY()&gt;I218,"Yes","No"))</x:f>
      </x:c>
      <x:c r="M218" s="7" t="inlineStr">
        <x:is>
          <x:t xml:space="preserve"/>
        </x:is>
      </x:c>
      <x:c r="N218" s="6" t="inlineStr">
        <x:is>
          <x:t xml:space="preserve"/>
        </x:is>
      </x:c>
    </x:row>
    <x:row r="219">
      <x:c r="A219" s="7">
        <x:f>IF(E219="","", "ISS-"&amp;TEXT(ROW()-1,"00000"))</x:f>
      </x:c>
      <x:c r="B219" s="7" t="inlineStr">
        <x:is>
          <x:t xml:space="preserve"/>
        </x:is>
      </x:c>
      <x:c r="C219" s="7" t="inlineStr">
        <x:is>
          <x:t xml:space="preserve"/>
        </x:is>
      </x:c>
      <x:c r="D219" s="7" t="inlineStr">
        <x:is>
          <x:t xml:space="preserve"/>
        </x:is>
      </x:c>
      <x:c r="E219" s="6" t="inlineStr">
        <x:is>
          <x:t xml:space="preserve"/>
        </x:is>
      </x:c>
      <x:c r="F219" s="7" t="inlineStr">
        <x:is>
          <x:t xml:space="preserve"/>
        </x:is>
      </x:c>
      <x:c r="G219" s="8" t="inlineStr">
        <x:is>
          <x:t xml:space="preserve"/>
        </x:is>
      </x:c>
      <x:c r="H219" s="6" t="inlineStr">
        <x:is>
          <x:t xml:space="preserve"/>
        </x:is>
      </x:c>
      <x:c r="I219" s="8" t="inlineStr">
        <x:is>
          <x:t xml:space="preserve"/>
        </x:is>
      </x:c>
      <x:c r="J219" s="7" t="inlineStr">
        <x:is>
          <x:t xml:space="preserve"/>
        </x:is>
      </x:c>
      <x:c r="K219" s="7">
        <x:f>IF(G219="","", TODAY()-G219)</x:f>
      </x:c>
      <x:c r="L219" s="7">
        <x:f>IF(OR(I219="",J219="Closed"),"", IF(TODAY()&gt;I219,"Yes","No"))</x:f>
      </x:c>
      <x:c r="M219" s="7" t="inlineStr">
        <x:is>
          <x:t xml:space="preserve"/>
        </x:is>
      </x:c>
      <x:c r="N219" s="6" t="inlineStr">
        <x:is>
          <x:t xml:space="preserve"/>
        </x:is>
      </x:c>
    </x:row>
    <x:row r="220">
      <x:c r="A220" s="7">
        <x:f>IF(E220="","", "ISS-"&amp;TEXT(ROW()-1,"00000"))</x:f>
      </x:c>
      <x:c r="B220" s="7" t="inlineStr">
        <x:is>
          <x:t xml:space="preserve"/>
        </x:is>
      </x:c>
      <x:c r="C220" s="7" t="inlineStr">
        <x:is>
          <x:t xml:space="preserve"/>
        </x:is>
      </x:c>
      <x:c r="D220" s="7" t="inlineStr">
        <x:is>
          <x:t xml:space="preserve"/>
        </x:is>
      </x:c>
      <x:c r="E220" s="6" t="inlineStr">
        <x:is>
          <x:t xml:space="preserve"/>
        </x:is>
      </x:c>
      <x:c r="F220" s="7" t="inlineStr">
        <x:is>
          <x:t xml:space="preserve"/>
        </x:is>
      </x:c>
      <x:c r="G220" s="8" t="inlineStr">
        <x:is>
          <x:t xml:space="preserve"/>
        </x:is>
      </x:c>
      <x:c r="H220" s="6" t="inlineStr">
        <x:is>
          <x:t xml:space="preserve"/>
        </x:is>
      </x:c>
      <x:c r="I220" s="8" t="inlineStr">
        <x:is>
          <x:t xml:space="preserve"/>
        </x:is>
      </x:c>
      <x:c r="J220" s="7" t="inlineStr">
        <x:is>
          <x:t xml:space="preserve"/>
        </x:is>
      </x:c>
      <x:c r="K220" s="7">
        <x:f>IF(G220="","", TODAY()-G220)</x:f>
      </x:c>
      <x:c r="L220" s="7">
        <x:f>IF(OR(I220="",J220="Closed"),"", IF(TODAY()&gt;I220,"Yes","No"))</x:f>
      </x:c>
      <x:c r="M220" s="7" t="inlineStr">
        <x:is>
          <x:t xml:space="preserve"/>
        </x:is>
      </x:c>
      <x:c r="N220" s="6" t="inlineStr">
        <x:is>
          <x:t xml:space="preserve"/>
        </x:is>
      </x:c>
    </x:row>
    <x:row r="221">
      <x:c r="A221" s="7">
        <x:f>IF(E221="","", "ISS-"&amp;TEXT(ROW()-1,"00000"))</x:f>
      </x:c>
      <x:c r="B221" s="7" t="inlineStr">
        <x:is>
          <x:t xml:space="preserve"/>
        </x:is>
      </x:c>
      <x:c r="C221" s="7" t="inlineStr">
        <x:is>
          <x:t xml:space="preserve"/>
        </x:is>
      </x:c>
      <x:c r="D221" s="7" t="inlineStr">
        <x:is>
          <x:t xml:space="preserve"/>
        </x:is>
      </x:c>
      <x:c r="E221" s="6" t="inlineStr">
        <x:is>
          <x:t xml:space="preserve"/>
        </x:is>
      </x:c>
      <x:c r="F221" s="7" t="inlineStr">
        <x:is>
          <x:t xml:space="preserve"/>
        </x:is>
      </x:c>
      <x:c r="G221" s="8" t="inlineStr">
        <x:is>
          <x:t xml:space="preserve"/>
        </x:is>
      </x:c>
      <x:c r="H221" s="6" t="inlineStr">
        <x:is>
          <x:t xml:space="preserve"/>
        </x:is>
      </x:c>
      <x:c r="I221" s="8" t="inlineStr">
        <x:is>
          <x:t xml:space="preserve"/>
        </x:is>
      </x:c>
      <x:c r="J221" s="7" t="inlineStr">
        <x:is>
          <x:t xml:space="preserve"/>
        </x:is>
      </x:c>
      <x:c r="K221" s="7">
        <x:f>IF(G221="","", TODAY()-G221)</x:f>
      </x:c>
      <x:c r="L221" s="7">
        <x:f>IF(OR(I221="",J221="Closed"),"", IF(TODAY()&gt;I221,"Yes","No"))</x:f>
      </x:c>
      <x:c r="M221" s="7" t="inlineStr">
        <x:is>
          <x:t xml:space="preserve"/>
        </x:is>
      </x:c>
      <x:c r="N221" s="6" t="inlineStr">
        <x:is>
          <x:t xml:space="preserve"/>
        </x:is>
      </x:c>
    </x:row>
    <x:row r="222">
      <x:c r="A222" s="7">
        <x:f>IF(E222="","", "ISS-"&amp;TEXT(ROW()-1,"00000"))</x:f>
      </x:c>
      <x:c r="B222" s="7" t="inlineStr">
        <x:is>
          <x:t xml:space="preserve"/>
        </x:is>
      </x:c>
      <x:c r="C222" s="7" t="inlineStr">
        <x:is>
          <x:t xml:space="preserve"/>
        </x:is>
      </x:c>
      <x:c r="D222" s="7" t="inlineStr">
        <x:is>
          <x:t xml:space="preserve"/>
        </x:is>
      </x:c>
      <x:c r="E222" s="6" t="inlineStr">
        <x:is>
          <x:t xml:space="preserve"/>
        </x:is>
      </x:c>
      <x:c r="F222" s="7" t="inlineStr">
        <x:is>
          <x:t xml:space="preserve"/>
        </x:is>
      </x:c>
      <x:c r="G222" s="8" t="inlineStr">
        <x:is>
          <x:t xml:space="preserve"/>
        </x:is>
      </x:c>
      <x:c r="H222" s="6" t="inlineStr">
        <x:is>
          <x:t xml:space="preserve"/>
        </x:is>
      </x:c>
      <x:c r="I222" s="8" t="inlineStr">
        <x:is>
          <x:t xml:space="preserve"/>
        </x:is>
      </x:c>
      <x:c r="J222" s="7" t="inlineStr">
        <x:is>
          <x:t xml:space="preserve"/>
        </x:is>
      </x:c>
      <x:c r="K222" s="7">
        <x:f>IF(G222="","", TODAY()-G222)</x:f>
      </x:c>
      <x:c r="L222" s="7">
        <x:f>IF(OR(I222="",J222="Closed"),"", IF(TODAY()&gt;I222,"Yes","No"))</x:f>
      </x:c>
      <x:c r="M222" s="7" t="inlineStr">
        <x:is>
          <x:t xml:space="preserve"/>
        </x:is>
      </x:c>
      <x:c r="N222" s="6" t="inlineStr">
        <x:is>
          <x:t xml:space="preserve"/>
        </x:is>
      </x:c>
    </x:row>
    <x:row r="223">
      <x:c r="A223" s="7">
        <x:f>IF(E223="","", "ISS-"&amp;TEXT(ROW()-1,"00000"))</x:f>
      </x:c>
      <x:c r="B223" s="7" t="inlineStr">
        <x:is>
          <x:t xml:space="preserve"/>
        </x:is>
      </x:c>
      <x:c r="C223" s="7" t="inlineStr">
        <x:is>
          <x:t xml:space="preserve"/>
        </x:is>
      </x:c>
      <x:c r="D223" s="7" t="inlineStr">
        <x:is>
          <x:t xml:space="preserve"/>
        </x:is>
      </x:c>
      <x:c r="E223" s="6" t="inlineStr">
        <x:is>
          <x:t xml:space="preserve"/>
        </x:is>
      </x:c>
      <x:c r="F223" s="7" t="inlineStr">
        <x:is>
          <x:t xml:space="preserve"/>
        </x:is>
      </x:c>
      <x:c r="G223" s="8" t="inlineStr">
        <x:is>
          <x:t xml:space="preserve"/>
        </x:is>
      </x:c>
      <x:c r="H223" s="6" t="inlineStr">
        <x:is>
          <x:t xml:space="preserve"/>
        </x:is>
      </x:c>
      <x:c r="I223" s="8" t="inlineStr">
        <x:is>
          <x:t xml:space="preserve"/>
        </x:is>
      </x:c>
      <x:c r="J223" s="7" t="inlineStr">
        <x:is>
          <x:t xml:space="preserve"/>
        </x:is>
      </x:c>
      <x:c r="K223" s="7">
        <x:f>IF(G223="","", TODAY()-G223)</x:f>
      </x:c>
      <x:c r="L223" s="7">
        <x:f>IF(OR(I223="",J223="Closed"),"", IF(TODAY()&gt;I223,"Yes","No"))</x:f>
      </x:c>
      <x:c r="M223" s="7" t="inlineStr">
        <x:is>
          <x:t xml:space="preserve"/>
        </x:is>
      </x:c>
      <x:c r="N223" s="6" t="inlineStr">
        <x:is>
          <x:t xml:space="preserve"/>
        </x:is>
      </x:c>
    </x:row>
    <x:row r="224">
      <x:c r="A224" s="7">
        <x:f>IF(E224="","", "ISS-"&amp;TEXT(ROW()-1,"00000"))</x:f>
      </x:c>
      <x:c r="B224" s="7" t="inlineStr">
        <x:is>
          <x:t xml:space="preserve"/>
        </x:is>
      </x:c>
      <x:c r="C224" s="7" t="inlineStr">
        <x:is>
          <x:t xml:space="preserve"/>
        </x:is>
      </x:c>
      <x:c r="D224" s="7" t="inlineStr">
        <x:is>
          <x:t xml:space="preserve"/>
        </x:is>
      </x:c>
      <x:c r="E224" s="6" t="inlineStr">
        <x:is>
          <x:t xml:space="preserve"/>
        </x:is>
      </x:c>
      <x:c r="F224" s="7" t="inlineStr">
        <x:is>
          <x:t xml:space="preserve"/>
        </x:is>
      </x:c>
      <x:c r="G224" s="8" t="inlineStr">
        <x:is>
          <x:t xml:space="preserve"/>
        </x:is>
      </x:c>
      <x:c r="H224" s="6" t="inlineStr">
        <x:is>
          <x:t xml:space="preserve"/>
        </x:is>
      </x:c>
      <x:c r="I224" s="8" t="inlineStr">
        <x:is>
          <x:t xml:space="preserve"/>
        </x:is>
      </x:c>
      <x:c r="J224" s="7" t="inlineStr">
        <x:is>
          <x:t xml:space="preserve"/>
        </x:is>
      </x:c>
      <x:c r="K224" s="7">
        <x:f>IF(G224="","", TODAY()-G224)</x:f>
      </x:c>
      <x:c r="L224" s="7">
        <x:f>IF(OR(I224="",J224="Closed"),"", IF(TODAY()&gt;I224,"Yes","No"))</x:f>
      </x:c>
      <x:c r="M224" s="7" t="inlineStr">
        <x:is>
          <x:t xml:space="preserve"/>
        </x:is>
      </x:c>
      <x:c r="N224" s="6" t="inlineStr">
        <x:is>
          <x:t xml:space="preserve"/>
        </x:is>
      </x:c>
    </x:row>
    <x:row r="225">
      <x:c r="A225" s="7">
        <x:f>IF(E225="","", "ISS-"&amp;TEXT(ROW()-1,"00000"))</x:f>
      </x:c>
      <x:c r="B225" s="7" t="inlineStr">
        <x:is>
          <x:t xml:space="preserve"/>
        </x:is>
      </x:c>
      <x:c r="C225" s="7" t="inlineStr">
        <x:is>
          <x:t xml:space="preserve"/>
        </x:is>
      </x:c>
      <x:c r="D225" s="7" t="inlineStr">
        <x:is>
          <x:t xml:space="preserve"/>
        </x:is>
      </x:c>
      <x:c r="E225" s="6" t="inlineStr">
        <x:is>
          <x:t xml:space="preserve"/>
        </x:is>
      </x:c>
      <x:c r="F225" s="7" t="inlineStr">
        <x:is>
          <x:t xml:space="preserve"/>
        </x:is>
      </x:c>
      <x:c r="G225" s="8" t="inlineStr">
        <x:is>
          <x:t xml:space="preserve"/>
        </x:is>
      </x:c>
      <x:c r="H225" s="6" t="inlineStr">
        <x:is>
          <x:t xml:space="preserve"/>
        </x:is>
      </x:c>
      <x:c r="I225" s="8" t="inlineStr">
        <x:is>
          <x:t xml:space="preserve"/>
        </x:is>
      </x:c>
      <x:c r="J225" s="7" t="inlineStr">
        <x:is>
          <x:t xml:space="preserve"/>
        </x:is>
      </x:c>
      <x:c r="K225" s="7">
        <x:f>IF(G225="","", TODAY()-G225)</x:f>
      </x:c>
      <x:c r="L225" s="7">
        <x:f>IF(OR(I225="",J225="Closed"),"", IF(TODAY()&gt;I225,"Yes","No"))</x:f>
      </x:c>
      <x:c r="M225" s="7" t="inlineStr">
        <x:is>
          <x:t xml:space="preserve"/>
        </x:is>
      </x:c>
      <x:c r="N225" s="6" t="inlineStr">
        <x:is>
          <x:t xml:space="preserve"/>
        </x:is>
      </x:c>
    </x:row>
    <x:row r="226">
      <x:c r="A226" s="7">
        <x:f>IF(E226="","", "ISS-"&amp;TEXT(ROW()-1,"00000"))</x:f>
      </x:c>
      <x:c r="B226" s="7" t="inlineStr">
        <x:is>
          <x:t xml:space="preserve"/>
        </x:is>
      </x:c>
      <x:c r="C226" s="7" t="inlineStr">
        <x:is>
          <x:t xml:space="preserve"/>
        </x:is>
      </x:c>
      <x:c r="D226" s="7" t="inlineStr">
        <x:is>
          <x:t xml:space="preserve"/>
        </x:is>
      </x:c>
      <x:c r="E226" s="6" t="inlineStr">
        <x:is>
          <x:t xml:space="preserve"/>
        </x:is>
      </x:c>
      <x:c r="F226" s="7" t="inlineStr">
        <x:is>
          <x:t xml:space="preserve"/>
        </x:is>
      </x:c>
      <x:c r="G226" s="8" t="inlineStr">
        <x:is>
          <x:t xml:space="preserve"/>
        </x:is>
      </x:c>
      <x:c r="H226" s="6" t="inlineStr">
        <x:is>
          <x:t xml:space="preserve"/>
        </x:is>
      </x:c>
      <x:c r="I226" s="8" t="inlineStr">
        <x:is>
          <x:t xml:space="preserve"/>
        </x:is>
      </x:c>
      <x:c r="J226" s="7" t="inlineStr">
        <x:is>
          <x:t xml:space="preserve"/>
        </x:is>
      </x:c>
      <x:c r="K226" s="7">
        <x:f>IF(G226="","", TODAY()-G226)</x:f>
      </x:c>
      <x:c r="L226" s="7">
        <x:f>IF(OR(I226="",J226="Closed"),"", IF(TODAY()&gt;I226,"Yes","No"))</x:f>
      </x:c>
      <x:c r="M226" s="7" t="inlineStr">
        <x:is>
          <x:t xml:space="preserve"/>
        </x:is>
      </x:c>
      <x:c r="N226" s="6" t="inlineStr">
        <x:is>
          <x:t xml:space="preserve"/>
        </x:is>
      </x:c>
    </x:row>
    <x:row r="227">
      <x:c r="A227" s="7">
        <x:f>IF(E227="","", "ISS-"&amp;TEXT(ROW()-1,"00000"))</x:f>
      </x:c>
      <x:c r="B227" s="7" t="inlineStr">
        <x:is>
          <x:t xml:space="preserve"/>
        </x:is>
      </x:c>
      <x:c r="C227" s="7" t="inlineStr">
        <x:is>
          <x:t xml:space="preserve"/>
        </x:is>
      </x:c>
      <x:c r="D227" s="7" t="inlineStr">
        <x:is>
          <x:t xml:space="preserve"/>
        </x:is>
      </x:c>
      <x:c r="E227" s="6" t="inlineStr">
        <x:is>
          <x:t xml:space="preserve"/>
        </x:is>
      </x:c>
      <x:c r="F227" s="7" t="inlineStr">
        <x:is>
          <x:t xml:space="preserve"/>
        </x:is>
      </x:c>
      <x:c r="G227" s="8" t="inlineStr">
        <x:is>
          <x:t xml:space="preserve"/>
        </x:is>
      </x:c>
      <x:c r="H227" s="6" t="inlineStr">
        <x:is>
          <x:t xml:space="preserve"/>
        </x:is>
      </x:c>
      <x:c r="I227" s="8" t="inlineStr">
        <x:is>
          <x:t xml:space="preserve"/>
        </x:is>
      </x:c>
      <x:c r="J227" s="7" t="inlineStr">
        <x:is>
          <x:t xml:space="preserve"/>
        </x:is>
      </x:c>
      <x:c r="K227" s="7">
        <x:f>IF(G227="","", TODAY()-G227)</x:f>
      </x:c>
      <x:c r="L227" s="7">
        <x:f>IF(OR(I227="",J227="Closed"),"", IF(TODAY()&gt;I227,"Yes","No"))</x:f>
      </x:c>
      <x:c r="M227" s="7" t="inlineStr">
        <x:is>
          <x:t xml:space="preserve"/>
        </x:is>
      </x:c>
      <x:c r="N227" s="6" t="inlineStr">
        <x:is>
          <x:t xml:space="preserve"/>
        </x:is>
      </x:c>
    </x:row>
    <x:row r="228">
      <x:c r="A228" s="7">
        <x:f>IF(E228="","", "ISS-"&amp;TEXT(ROW()-1,"00000"))</x:f>
      </x:c>
      <x:c r="B228" s="7" t="inlineStr">
        <x:is>
          <x:t xml:space="preserve"/>
        </x:is>
      </x:c>
      <x:c r="C228" s="7" t="inlineStr">
        <x:is>
          <x:t xml:space="preserve"/>
        </x:is>
      </x:c>
      <x:c r="D228" s="7" t="inlineStr">
        <x:is>
          <x:t xml:space="preserve"/>
        </x:is>
      </x:c>
      <x:c r="E228" s="6" t="inlineStr">
        <x:is>
          <x:t xml:space="preserve"/>
        </x:is>
      </x:c>
      <x:c r="F228" s="7" t="inlineStr">
        <x:is>
          <x:t xml:space="preserve"/>
        </x:is>
      </x:c>
      <x:c r="G228" s="8" t="inlineStr">
        <x:is>
          <x:t xml:space="preserve"/>
        </x:is>
      </x:c>
      <x:c r="H228" s="6" t="inlineStr">
        <x:is>
          <x:t xml:space="preserve"/>
        </x:is>
      </x:c>
      <x:c r="I228" s="8" t="inlineStr">
        <x:is>
          <x:t xml:space="preserve"/>
        </x:is>
      </x:c>
      <x:c r="J228" s="7" t="inlineStr">
        <x:is>
          <x:t xml:space="preserve"/>
        </x:is>
      </x:c>
      <x:c r="K228" s="7">
        <x:f>IF(G228="","", TODAY()-G228)</x:f>
      </x:c>
      <x:c r="L228" s="7">
        <x:f>IF(OR(I228="",J228="Closed"),"", IF(TODAY()&gt;I228,"Yes","No"))</x:f>
      </x:c>
      <x:c r="M228" s="7" t="inlineStr">
        <x:is>
          <x:t xml:space="preserve"/>
        </x:is>
      </x:c>
      <x:c r="N228" s="6" t="inlineStr">
        <x:is>
          <x:t xml:space="preserve"/>
        </x:is>
      </x:c>
    </x:row>
    <x:row r="229">
      <x:c r="A229" s="7">
        <x:f>IF(E229="","", "ISS-"&amp;TEXT(ROW()-1,"00000"))</x:f>
      </x:c>
      <x:c r="B229" s="7" t="inlineStr">
        <x:is>
          <x:t xml:space="preserve"/>
        </x:is>
      </x:c>
      <x:c r="C229" s="7" t="inlineStr">
        <x:is>
          <x:t xml:space="preserve"/>
        </x:is>
      </x:c>
      <x:c r="D229" s="7" t="inlineStr">
        <x:is>
          <x:t xml:space="preserve"/>
        </x:is>
      </x:c>
      <x:c r="E229" s="6" t="inlineStr">
        <x:is>
          <x:t xml:space="preserve"/>
        </x:is>
      </x:c>
      <x:c r="F229" s="7" t="inlineStr">
        <x:is>
          <x:t xml:space="preserve"/>
        </x:is>
      </x:c>
      <x:c r="G229" s="8" t="inlineStr">
        <x:is>
          <x:t xml:space="preserve"/>
        </x:is>
      </x:c>
      <x:c r="H229" s="6" t="inlineStr">
        <x:is>
          <x:t xml:space="preserve"/>
        </x:is>
      </x:c>
      <x:c r="I229" s="8" t="inlineStr">
        <x:is>
          <x:t xml:space="preserve"/>
        </x:is>
      </x:c>
      <x:c r="J229" s="7" t="inlineStr">
        <x:is>
          <x:t xml:space="preserve"/>
        </x:is>
      </x:c>
      <x:c r="K229" s="7">
        <x:f>IF(G229="","", TODAY()-G229)</x:f>
      </x:c>
      <x:c r="L229" s="7">
        <x:f>IF(OR(I229="",J229="Closed"),"", IF(TODAY()&gt;I229,"Yes","No"))</x:f>
      </x:c>
      <x:c r="M229" s="7" t="inlineStr">
        <x:is>
          <x:t xml:space="preserve"/>
        </x:is>
      </x:c>
      <x:c r="N229" s="6" t="inlineStr">
        <x:is>
          <x:t xml:space="preserve"/>
        </x:is>
      </x:c>
    </x:row>
    <x:row r="230">
      <x:c r="A230" s="7">
        <x:f>IF(E230="","", "ISS-"&amp;TEXT(ROW()-1,"00000"))</x:f>
      </x:c>
      <x:c r="B230" s="7" t="inlineStr">
        <x:is>
          <x:t xml:space="preserve"/>
        </x:is>
      </x:c>
      <x:c r="C230" s="7" t="inlineStr">
        <x:is>
          <x:t xml:space="preserve"/>
        </x:is>
      </x:c>
      <x:c r="D230" s="7" t="inlineStr">
        <x:is>
          <x:t xml:space="preserve"/>
        </x:is>
      </x:c>
      <x:c r="E230" s="6" t="inlineStr">
        <x:is>
          <x:t xml:space="preserve"/>
        </x:is>
      </x:c>
      <x:c r="F230" s="7" t="inlineStr">
        <x:is>
          <x:t xml:space="preserve"/>
        </x:is>
      </x:c>
      <x:c r="G230" s="8" t="inlineStr">
        <x:is>
          <x:t xml:space="preserve"/>
        </x:is>
      </x:c>
      <x:c r="H230" s="6" t="inlineStr">
        <x:is>
          <x:t xml:space="preserve"/>
        </x:is>
      </x:c>
      <x:c r="I230" s="8" t="inlineStr">
        <x:is>
          <x:t xml:space="preserve"/>
        </x:is>
      </x:c>
      <x:c r="J230" s="7" t="inlineStr">
        <x:is>
          <x:t xml:space="preserve"/>
        </x:is>
      </x:c>
      <x:c r="K230" s="7">
        <x:f>IF(G230="","", TODAY()-G230)</x:f>
      </x:c>
      <x:c r="L230" s="7">
        <x:f>IF(OR(I230="",J230="Closed"),"", IF(TODAY()&gt;I230,"Yes","No"))</x:f>
      </x:c>
      <x:c r="M230" s="7" t="inlineStr">
        <x:is>
          <x:t xml:space="preserve"/>
        </x:is>
      </x:c>
      <x:c r="N230" s="6" t="inlineStr">
        <x:is>
          <x:t xml:space="preserve"/>
        </x:is>
      </x:c>
    </x:row>
    <x:row r="231">
      <x:c r="A231" s="7">
        <x:f>IF(E231="","", "ISS-"&amp;TEXT(ROW()-1,"00000"))</x:f>
      </x:c>
      <x:c r="B231" s="7" t="inlineStr">
        <x:is>
          <x:t xml:space="preserve"/>
        </x:is>
      </x:c>
      <x:c r="C231" s="7" t="inlineStr">
        <x:is>
          <x:t xml:space="preserve"/>
        </x:is>
      </x:c>
      <x:c r="D231" s="7" t="inlineStr">
        <x:is>
          <x:t xml:space="preserve"/>
        </x:is>
      </x:c>
      <x:c r="E231" s="6" t="inlineStr">
        <x:is>
          <x:t xml:space="preserve"/>
        </x:is>
      </x:c>
      <x:c r="F231" s="7" t="inlineStr">
        <x:is>
          <x:t xml:space="preserve"/>
        </x:is>
      </x:c>
      <x:c r="G231" s="8" t="inlineStr">
        <x:is>
          <x:t xml:space="preserve"/>
        </x:is>
      </x:c>
      <x:c r="H231" s="6" t="inlineStr">
        <x:is>
          <x:t xml:space="preserve"/>
        </x:is>
      </x:c>
      <x:c r="I231" s="8" t="inlineStr">
        <x:is>
          <x:t xml:space="preserve"/>
        </x:is>
      </x:c>
      <x:c r="J231" s="7" t="inlineStr">
        <x:is>
          <x:t xml:space="preserve"/>
        </x:is>
      </x:c>
      <x:c r="K231" s="7">
        <x:f>IF(G231="","", TODAY()-G231)</x:f>
      </x:c>
      <x:c r="L231" s="7">
        <x:f>IF(OR(I231="",J231="Closed"),"", IF(TODAY()&gt;I231,"Yes","No"))</x:f>
      </x:c>
      <x:c r="M231" s="7" t="inlineStr">
        <x:is>
          <x:t xml:space="preserve"/>
        </x:is>
      </x:c>
      <x:c r="N231" s="6" t="inlineStr">
        <x:is>
          <x:t xml:space="preserve"/>
        </x:is>
      </x:c>
    </x:row>
    <x:row r="232">
      <x:c r="A232" s="7">
        <x:f>IF(E232="","", "ISS-"&amp;TEXT(ROW()-1,"00000"))</x:f>
      </x:c>
      <x:c r="B232" s="7" t="inlineStr">
        <x:is>
          <x:t xml:space="preserve"/>
        </x:is>
      </x:c>
      <x:c r="C232" s="7" t="inlineStr">
        <x:is>
          <x:t xml:space="preserve"/>
        </x:is>
      </x:c>
      <x:c r="D232" s="7" t="inlineStr">
        <x:is>
          <x:t xml:space="preserve"/>
        </x:is>
      </x:c>
      <x:c r="E232" s="6" t="inlineStr">
        <x:is>
          <x:t xml:space="preserve"/>
        </x:is>
      </x:c>
      <x:c r="F232" s="7" t="inlineStr">
        <x:is>
          <x:t xml:space="preserve"/>
        </x:is>
      </x:c>
      <x:c r="G232" s="8" t="inlineStr">
        <x:is>
          <x:t xml:space="preserve"/>
        </x:is>
      </x:c>
      <x:c r="H232" s="6" t="inlineStr">
        <x:is>
          <x:t xml:space="preserve"/>
        </x:is>
      </x:c>
      <x:c r="I232" s="8" t="inlineStr">
        <x:is>
          <x:t xml:space="preserve"/>
        </x:is>
      </x:c>
      <x:c r="J232" s="7" t="inlineStr">
        <x:is>
          <x:t xml:space="preserve"/>
        </x:is>
      </x:c>
      <x:c r="K232" s="7">
        <x:f>IF(G232="","", TODAY()-G232)</x:f>
      </x:c>
      <x:c r="L232" s="7">
        <x:f>IF(OR(I232="",J232="Closed"),"", IF(TODAY()&gt;I232,"Yes","No"))</x:f>
      </x:c>
      <x:c r="M232" s="7" t="inlineStr">
        <x:is>
          <x:t xml:space="preserve"/>
        </x:is>
      </x:c>
      <x:c r="N232" s="6" t="inlineStr">
        <x:is>
          <x:t xml:space="preserve"/>
        </x:is>
      </x:c>
    </x:row>
    <x:row r="233">
      <x:c r="A233" s="7">
        <x:f>IF(E233="","", "ISS-"&amp;TEXT(ROW()-1,"00000"))</x:f>
      </x:c>
      <x:c r="B233" s="7" t="inlineStr">
        <x:is>
          <x:t xml:space="preserve"/>
        </x:is>
      </x:c>
      <x:c r="C233" s="7" t="inlineStr">
        <x:is>
          <x:t xml:space="preserve"/>
        </x:is>
      </x:c>
      <x:c r="D233" s="7" t="inlineStr">
        <x:is>
          <x:t xml:space="preserve"/>
        </x:is>
      </x:c>
      <x:c r="E233" s="6" t="inlineStr">
        <x:is>
          <x:t xml:space="preserve"/>
        </x:is>
      </x:c>
      <x:c r="F233" s="7" t="inlineStr">
        <x:is>
          <x:t xml:space="preserve"/>
        </x:is>
      </x:c>
      <x:c r="G233" s="8" t="inlineStr">
        <x:is>
          <x:t xml:space="preserve"/>
        </x:is>
      </x:c>
      <x:c r="H233" s="6" t="inlineStr">
        <x:is>
          <x:t xml:space="preserve"/>
        </x:is>
      </x:c>
      <x:c r="I233" s="8" t="inlineStr">
        <x:is>
          <x:t xml:space="preserve"/>
        </x:is>
      </x:c>
      <x:c r="J233" s="7" t="inlineStr">
        <x:is>
          <x:t xml:space="preserve"/>
        </x:is>
      </x:c>
      <x:c r="K233" s="7">
        <x:f>IF(G233="","", TODAY()-G233)</x:f>
      </x:c>
      <x:c r="L233" s="7">
        <x:f>IF(OR(I233="",J233="Closed"),"", IF(TODAY()&gt;I233,"Yes","No"))</x:f>
      </x:c>
      <x:c r="M233" s="7" t="inlineStr">
        <x:is>
          <x:t xml:space="preserve"/>
        </x:is>
      </x:c>
      <x:c r="N233" s="6" t="inlineStr">
        <x:is>
          <x:t xml:space="preserve"/>
        </x:is>
      </x:c>
    </x:row>
    <x:row r="234">
      <x:c r="A234" s="7">
        <x:f>IF(E234="","", "ISS-"&amp;TEXT(ROW()-1,"00000"))</x:f>
      </x:c>
      <x:c r="B234" s="7" t="inlineStr">
        <x:is>
          <x:t xml:space="preserve"/>
        </x:is>
      </x:c>
      <x:c r="C234" s="7" t="inlineStr">
        <x:is>
          <x:t xml:space="preserve"/>
        </x:is>
      </x:c>
      <x:c r="D234" s="7" t="inlineStr">
        <x:is>
          <x:t xml:space="preserve"/>
        </x:is>
      </x:c>
      <x:c r="E234" s="6" t="inlineStr">
        <x:is>
          <x:t xml:space="preserve"/>
        </x:is>
      </x:c>
      <x:c r="F234" s="7" t="inlineStr">
        <x:is>
          <x:t xml:space="preserve"/>
        </x:is>
      </x:c>
      <x:c r="G234" s="8" t="inlineStr">
        <x:is>
          <x:t xml:space="preserve"/>
        </x:is>
      </x:c>
      <x:c r="H234" s="6" t="inlineStr">
        <x:is>
          <x:t xml:space="preserve"/>
        </x:is>
      </x:c>
      <x:c r="I234" s="8" t="inlineStr">
        <x:is>
          <x:t xml:space="preserve"/>
        </x:is>
      </x:c>
      <x:c r="J234" s="7" t="inlineStr">
        <x:is>
          <x:t xml:space="preserve"/>
        </x:is>
      </x:c>
      <x:c r="K234" s="7">
        <x:f>IF(G234="","", TODAY()-G234)</x:f>
      </x:c>
      <x:c r="L234" s="7">
        <x:f>IF(OR(I234="",J234="Closed"),"", IF(TODAY()&gt;I234,"Yes","No"))</x:f>
      </x:c>
      <x:c r="M234" s="7" t="inlineStr">
        <x:is>
          <x:t xml:space="preserve"/>
        </x:is>
      </x:c>
      <x:c r="N234" s="6" t="inlineStr">
        <x:is>
          <x:t xml:space="preserve"/>
        </x:is>
      </x:c>
    </x:row>
    <x:row r="235">
      <x:c r="A235" s="7">
        <x:f>IF(E235="","", "ISS-"&amp;TEXT(ROW()-1,"00000"))</x:f>
      </x:c>
      <x:c r="B235" s="7" t="inlineStr">
        <x:is>
          <x:t xml:space="preserve"/>
        </x:is>
      </x:c>
      <x:c r="C235" s="7" t="inlineStr">
        <x:is>
          <x:t xml:space="preserve"/>
        </x:is>
      </x:c>
      <x:c r="D235" s="7" t="inlineStr">
        <x:is>
          <x:t xml:space="preserve"/>
        </x:is>
      </x:c>
      <x:c r="E235" s="6" t="inlineStr">
        <x:is>
          <x:t xml:space="preserve"/>
        </x:is>
      </x:c>
      <x:c r="F235" s="7" t="inlineStr">
        <x:is>
          <x:t xml:space="preserve"/>
        </x:is>
      </x:c>
      <x:c r="G235" s="8" t="inlineStr">
        <x:is>
          <x:t xml:space="preserve"/>
        </x:is>
      </x:c>
      <x:c r="H235" s="6" t="inlineStr">
        <x:is>
          <x:t xml:space="preserve"/>
        </x:is>
      </x:c>
      <x:c r="I235" s="8" t="inlineStr">
        <x:is>
          <x:t xml:space="preserve"/>
        </x:is>
      </x:c>
      <x:c r="J235" s="7" t="inlineStr">
        <x:is>
          <x:t xml:space="preserve"/>
        </x:is>
      </x:c>
      <x:c r="K235" s="7">
        <x:f>IF(G235="","", TODAY()-G235)</x:f>
      </x:c>
      <x:c r="L235" s="7">
        <x:f>IF(OR(I235="",J235="Closed"),"", IF(TODAY()&gt;I235,"Yes","No"))</x:f>
      </x:c>
      <x:c r="M235" s="7" t="inlineStr">
        <x:is>
          <x:t xml:space="preserve"/>
        </x:is>
      </x:c>
      <x:c r="N235" s="6" t="inlineStr">
        <x:is>
          <x:t xml:space="preserve"/>
        </x:is>
      </x:c>
    </x:row>
    <x:row r="236">
      <x:c r="A236" s="7">
        <x:f>IF(E236="","", "ISS-"&amp;TEXT(ROW()-1,"00000"))</x:f>
      </x:c>
      <x:c r="B236" s="7" t="inlineStr">
        <x:is>
          <x:t xml:space="preserve"/>
        </x:is>
      </x:c>
      <x:c r="C236" s="7" t="inlineStr">
        <x:is>
          <x:t xml:space="preserve"/>
        </x:is>
      </x:c>
      <x:c r="D236" s="7" t="inlineStr">
        <x:is>
          <x:t xml:space="preserve"/>
        </x:is>
      </x:c>
      <x:c r="E236" s="6" t="inlineStr">
        <x:is>
          <x:t xml:space="preserve"/>
        </x:is>
      </x:c>
      <x:c r="F236" s="7" t="inlineStr">
        <x:is>
          <x:t xml:space="preserve"/>
        </x:is>
      </x:c>
      <x:c r="G236" s="8" t="inlineStr">
        <x:is>
          <x:t xml:space="preserve"/>
        </x:is>
      </x:c>
      <x:c r="H236" s="6" t="inlineStr">
        <x:is>
          <x:t xml:space="preserve"/>
        </x:is>
      </x:c>
      <x:c r="I236" s="8" t="inlineStr">
        <x:is>
          <x:t xml:space="preserve"/>
        </x:is>
      </x:c>
      <x:c r="J236" s="7" t="inlineStr">
        <x:is>
          <x:t xml:space="preserve"/>
        </x:is>
      </x:c>
      <x:c r="K236" s="7">
        <x:f>IF(G236="","", TODAY()-G236)</x:f>
      </x:c>
      <x:c r="L236" s="7">
        <x:f>IF(OR(I236="",J236="Closed"),"", IF(TODAY()&gt;I236,"Yes","No"))</x:f>
      </x:c>
      <x:c r="M236" s="7" t="inlineStr">
        <x:is>
          <x:t xml:space="preserve"/>
        </x:is>
      </x:c>
      <x:c r="N236" s="6" t="inlineStr">
        <x:is>
          <x:t xml:space="preserve"/>
        </x:is>
      </x:c>
    </x:row>
    <x:row r="237">
      <x:c r="A237" s="7">
        <x:f>IF(E237="","", "ISS-"&amp;TEXT(ROW()-1,"00000"))</x:f>
      </x:c>
      <x:c r="B237" s="7" t="inlineStr">
        <x:is>
          <x:t xml:space="preserve"/>
        </x:is>
      </x:c>
      <x:c r="C237" s="7" t="inlineStr">
        <x:is>
          <x:t xml:space="preserve"/>
        </x:is>
      </x:c>
      <x:c r="D237" s="7" t="inlineStr">
        <x:is>
          <x:t xml:space="preserve"/>
        </x:is>
      </x:c>
      <x:c r="E237" s="6" t="inlineStr">
        <x:is>
          <x:t xml:space="preserve"/>
        </x:is>
      </x:c>
      <x:c r="F237" s="7" t="inlineStr">
        <x:is>
          <x:t xml:space="preserve"/>
        </x:is>
      </x:c>
      <x:c r="G237" s="8" t="inlineStr">
        <x:is>
          <x:t xml:space="preserve"/>
        </x:is>
      </x:c>
      <x:c r="H237" s="6" t="inlineStr">
        <x:is>
          <x:t xml:space="preserve"/>
        </x:is>
      </x:c>
      <x:c r="I237" s="8" t="inlineStr">
        <x:is>
          <x:t xml:space="preserve"/>
        </x:is>
      </x:c>
      <x:c r="J237" s="7" t="inlineStr">
        <x:is>
          <x:t xml:space="preserve"/>
        </x:is>
      </x:c>
      <x:c r="K237" s="7">
        <x:f>IF(G237="","", TODAY()-G237)</x:f>
      </x:c>
      <x:c r="L237" s="7">
        <x:f>IF(OR(I237="",J237="Closed"),"", IF(TODAY()&gt;I237,"Yes","No"))</x:f>
      </x:c>
      <x:c r="M237" s="7" t="inlineStr">
        <x:is>
          <x:t xml:space="preserve"/>
        </x:is>
      </x:c>
      <x:c r="N237" s="6" t="inlineStr">
        <x:is>
          <x:t xml:space="preserve"/>
        </x:is>
      </x:c>
    </x:row>
    <x:row r="238">
      <x:c r="A238" s="7">
        <x:f>IF(E238="","", "ISS-"&amp;TEXT(ROW()-1,"00000"))</x:f>
      </x:c>
      <x:c r="B238" s="7" t="inlineStr">
        <x:is>
          <x:t xml:space="preserve"/>
        </x:is>
      </x:c>
      <x:c r="C238" s="7" t="inlineStr">
        <x:is>
          <x:t xml:space="preserve"/>
        </x:is>
      </x:c>
      <x:c r="D238" s="7" t="inlineStr">
        <x:is>
          <x:t xml:space="preserve"/>
        </x:is>
      </x:c>
      <x:c r="E238" s="6" t="inlineStr">
        <x:is>
          <x:t xml:space="preserve"/>
        </x:is>
      </x:c>
      <x:c r="F238" s="7" t="inlineStr">
        <x:is>
          <x:t xml:space="preserve"/>
        </x:is>
      </x:c>
      <x:c r="G238" s="8" t="inlineStr">
        <x:is>
          <x:t xml:space="preserve"/>
        </x:is>
      </x:c>
      <x:c r="H238" s="6" t="inlineStr">
        <x:is>
          <x:t xml:space="preserve"/>
        </x:is>
      </x:c>
      <x:c r="I238" s="8" t="inlineStr">
        <x:is>
          <x:t xml:space="preserve"/>
        </x:is>
      </x:c>
      <x:c r="J238" s="7" t="inlineStr">
        <x:is>
          <x:t xml:space="preserve"/>
        </x:is>
      </x:c>
      <x:c r="K238" s="7">
        <x:f>IF(G238="","", TODAY()-G238)</x:f>
      </x:c>
      <x:c r="L238" s="7">
        <x:f>IF(OR(I238="",J238="Closed"),"", IF(TODAY()&gt;I238,"Yes","No"))</x:f>
      </x:c>
      <x:c r="M238" s="7" t="inlineStr">
        <x:is>
          <x:t xml:space="preserve"/>
        </x:is>
      </x:c>
      <x:c r="N238" s="6" t="inlineStr">
        <x:is>
          <x:t xml:space="preserve"/>
        </x:is>
      </x:c>
    </x:row>
    <x:row r="239">
      <x:c r="A239" s="7">
        <x:f>IF(E239="","", "ISS-"&amp;TEXT(ROW()-1,"00000"))</x:f>
      </x:c>
      <x:c r="B239" s="7" t="inlineStr">
        <x:is>
          <x:t xml:space="preserve"/>
        </x:is>
      </x:c>
      <x:c r="C239" s="7" t="inlineStr">
        <x:is>
          <x:t xml:space="preserve"/>
        </x:is>
      </x:c>
      <x:c r="D239" s="7" t="inlineStr">
        <x:is>
          <x:t xml:space="preserve"/>
        </x:is>
      </x:c>
      <x:c r="E239" s="6" t="inlineStr">
        <x:is>
          <x:t xml:space="preserve"/>
        </x:is>
      </x:c>
      <x:c r="F239" s="7" t="inlineStr">
        <x:is>
          <x:t xml:space="preserve"/>
        </x:is>
      </x:c>
      <x:c r="G239" s="8" t="inlineStr">
        <x:is>
          <x:t xml:space="preserve"/>
        </x:is>
      </x:c>
      <x:c r="H239" s="6" t="inlineStr">
        <x:is>
          <x:t xml:space="preserve"/>
        </x:is>
      </x:c>
      <x:c r="I239" s="8" t="inlineStr">
        <x:is>
          <x:t xml:space="preserve"/>
        </x:is>
      </x:c>
      <x:c r="J239" s="7" t="inlineStr">
        <x:is>
          <x:t xml:space="preserve"/>
        </x:is>
      </x:c>
      <x:c r="K239" s="7">
        <x:f>IF(G239="","", TODAY()-G239)</x:f>
      </x:c>
      <x:c r="L239" s="7">
        <x:f>IF(OR(I239="",J239="Closed"),"", IF(TODAY()&gt;I239,"Yes","No"))</x:f>
      </x:c>
      <x:c r="M239" s="7" t="inlineStr">
        <x:is>
          <x:t xml:space="preserve"/>
        </x:is>
      </x:c>
      <x:c r="N239" s="6" t="inlineStr">
        <x:is>
          <x:t xml:space="preserve"/>
        </x:is>
      </x:c>
    </x:row>
    <x:row r="240">
      <x:c r="A240" s="7">
        <x:f>IF(E240="","", "ISS-"&amp;TEXT(ROW()-1,"00000"))</x:f>
      </x:c>
      <x:c r="B240" s="7" t="inlineStr">
        <x:is>
          <x:t xml:space="preserve"/>
        </x:is>
      </x:c>
      <x:c r="C240" s="7" t="inlineStr">
        <x:is>
          <x:t xml:space="preserve"/>
        </x:is>
      </x:c>
      <x:c r="D240" s="7" t="inlineStr">
        <x:is>
          <x:t xml:space="preserve"/>
        </x:is>
      </x:c>
      <x:c r="E240" s="6" t="inlineStr">
        <x:is>
          <x:t xml:space="preserve"/>
        </x:is>
      </x:c>
      <x:c r="F240" s="7" t="inlineStr">
        <x:is>
          <x:t xml:space="preserve"/>
        </x:is>
      </x:c>
      <x:c r="G240" s="8" t="inlineStr">
        <x:is>
          <x:t xml:space="preserve"/>
        </x:is>
      </x:c>
      <x:c r="H240" s="6" t="inlineStr">
        <x:is>
          <x:t xml:space="preserve"/>
        </x:is>
      </x:c>
      <x:c r="I240" s="8" t="inlineStr">
        <x:is>
          <x:t xml:space="preserve"/>
        </x:is>
      </x:c>
      <x:c r="J240" s="7" t="inlineStr">
        <x:is>
          <x:t xml:space="preserve"/>
        </x:is>
      </x:c>
      <x:c r="K240" s="7">
        <x:f>IF(G240="","", TODAY()-G240)</x:f>
      </x:c>
      <x:c r="L240" s="7">
        <x:f>IF(OR(I240="",J240="Closed"),"", IF(TODAY()&gt;I240,"Yes","No"))</x:f>
      </x:c>
      <x:c r="M240" s="7" t="inlineStr">
        <x:is>
          <x:t xml:space="preserve"/>
        </x:is>
      </x:c>
      <x:c r="N240" s="6" t="inlineStr">
        <x:is>
          <x:t xml:space="preserve"/>
        </x:is>
      </x:c>
    </x:row>
    <x:row r="241">
      <x:c r="A241" s="7">
        <x:f>IF(E241="","", "ISS-"&amp;TEXT(ROW()-1,"00000"))</x:f>
      </x:c>
      <x:c r="B241" s="7" t="inlineStr">
        <x:is>
          <x:t xml:space="preserve"/>
        </x:is>
      </x:c>
      <x:c r="C241" s="7" t="inlineStr">
        <x:is>
          <x:t xml:space="preserve"/>
        </x:is>
      </x:c>
      <x:c r="D241" s="7" t="inlineStr">
        <x:is>
          <x:t xml:space="preserve"/>
        </x:is>
      </x:c>
      <x:c r="E241" s="6" t="inlineStr">
        <x:is>
          <x:t xml:space="preserve"/>
        </x:is>
      </x:c>
      <x:c r="F241" s="7" t="inlineStr">
        <x:is>
          <x:t xml:space="preserve"/>
        </x:is>
      </x:c>
      <x:c r="G241" s="8" t="inlineStr">
        <x:is>
          <x:t xml:space="preserve"/>
        </x:is>
      </x:c>
      <x:c r="H241" s="6" t="inlineStr">
        <x:is>
          <x:t xml:space="preserve"/>
        </x:is>
      </x:c>
      <x:c r="I241" s="8" t="inlineStr">
        <x:is>
          <x:t xml:space="preserve"/>
        </x:is>
      </x:c>
      <x:c r="J241" s="7" t="inlineStr">
        <x:is>
          <x:t xml:space="preserve"/>
        </x:is>
      </x:c>
      <x:c r="K241" s="7">
        <x:f>IF(G241="","", TODAY()-G241)</x:f>
      </x:c>
      <x:c r="L241" s="7">
        <x:f>IF(OR(I241="",J241="Closed"),"", IF(TODAY()&gt;I241,"Yes","No"))</x:f>
      </x:c>
      <x:c r="M241" s="7" t="inlineStr">
        <x:is>
          <x:t xml:space="preserve"/>
        </x:is>
      </x:c>
      <x:c r="N241" s="6" t="inlineStr">
        <x:is>
          <x:t xml:space="preserve"/>
        </x:is>
      </x:c>
    </x:row>
    <x:row r="242">
      <x:c r="A242" s="7">
        <x:f>IF(E242="","", "ISS-"&amp;TEXT(ROW()-1,"00000"))</x:f>
      </x:c>
      <x:c r="B242" s="7" t="inlineStr">
        <x:is>
          <x:t xml:space="preserve"/>
        </x:is>
      </x:c>
      <x:c r="C242" s="7" t="inlineStr">
        <x:is>
          <x:t xml:space="preserve"/>
        </x:is>
      </x:c>
      <x:c r="D242" s="7" t="inlineStr">
        <x:is>
          <x:t xml:space="preserve"/>
        </x:is>
      </x:c>
      <x:c r="E242" s="6" t="inlineStr">
        <x:is>
          <x:t xml:space="preserve"/>
        </x:is>
      </x:c>
      <x:c r="F242" s="7" t="inlineStr">
        <x:is>
          <x:t xml:space="preserve"/>
        </x:is>
      </x:c>
      <x:c r="G242" s="8" t="inlineStr">
        <x:is>
          <x:t xml:space="preserve"/>
        </x:is>
      </x:c>
      <x:c r="H242" s="6" t="inlineStr">
        <x:is>
          <x:t xml:space="preserve"/>
        </x:is>
      </x:c>
      <x:c r="I242" s="8" t="inlineStr">
        <x:is>
          <x:t xml:space="preserve"/>
        </x:is>
      </x:c>
      <x:c r="J242" s="7" t="inlineStr">
        <x:is>
          <x:t xml:space="preserve"/>
        </x:is>
      </x:c>
      <x:c r="K242" s="7">
        <x:f>IF(G242="","", TODAY()-G242)</x:f>
      </x:c>
      <x:c r="L242" s="7">
        <x:f>IF(OR(I242="",J242="Closed"),"", IF(TODAY()&gt;I242,"Yes","No"))</x:f>
      </x:c>
      <x:c r="M242" s="7" t="inlineStr">
        <x:is>
          <x:t xml:space="preserve"/>
        </x:is>
      </x:c>
      <x:c r="N242" s="6" t="inlineStr">
        <x:is>
          <x:t xml:space="preserve"/>
        </x:is>
      </x:c>
    </x:row>
    <x:row r="243">
      <x:c r="A243" s="7">
        <x:f>IF(E243="","", "ISS-"&amp;TEXT(ROW()-1,"00000"))</x:f>
      </x:c>
      <x:c r="B243" s="7" t="inlineStr">
        <x:is>
          <x:t xml:space="preserve"/>
        </x:is>
      </x:c>
      <x:c r="C243" s="7" t="inlineStr">
        <x:is>
          <x:t xml:space="preserve"/>
        </x:is>
      </x:c>
      <x:c r="D243" s="7" t="inlineStr">
        <x:is>
          <x:t xml:space="preserve"/>
        </x:is>
      </x:c>
      <x:c r="E243" s="6" t="inlineStr">
        <x:is>
          <x:t xml:space="preserve"/>
        </x:is>
      </x:c>
      <x:c r="F243" s="7" t="inlineStr">
        <x:is>
          <x:t xml:space="preserve"/>
        </x:is>
      </x:c>
      <x:c r="G243" s="8" t="inlineStr">
        <x:is>
          <x:t xml:space="preserve"/>
        </x:is>
      </x:c>
      <x:c r="H243" s="6" t="inlineStr">
        <x:is>
          <x:t xml:space="preserve"/>
        </x:is>
      </x:c>
      <x:c r="I243" s="8" t="inlineStr">
        <x:is>
          <x:t xml:space="preserve"/>
        </x:is>
      </x:c>
      <x:c r="J243" s="7" t="inlineStr">
        <x:is>
          <x:t xml:space="preserve"/>
        </x:is>
      </x:c>
      <x:c r="K243" s="7">
        <x:f>IF(G243="","", TODAY()-G243)</x:f>
      </x:c>
      <x:c r="L243" s="7">
        <x:f>IF(OR(I243="",J243="Closed"),"", IF(TODAY()&gt;I243,"Yes","No"))</x:f>
      </x:c>
      <x:c r="M243" s="7" t="inlineStr">
        <x:is>
          <x:t xml:space="preserve"/>
        </x:is>
      </x:c>
      <x:c r="N243" s="6" t="inlineStr">
        <x:is>
          <x:t xml:space="preserve"/>
        </x:is>
      </x:c>
    </x:row>
    <x:row r="244">
      <x:c r="A244" s="7">
        <x:f>IF(E244="","", "ISS-"&amp;TEXT(ROW()-1,"00000"))</x:f>
      </x:c>
      <x:c r="B244" s="7" t="inlineStr">
        <x:is>
          <x:t xml:space="preserve"/>
        </x:is>
      </x:c>
      <x:c r="C244" s="7" t="inlineStr">
        <x:is>
          <x:t xml:space="preserve"/>
        </x:is>
      </x:c>
      <x:c r="D244" s="7" t="inlineStr">
        <x:is>
          <x:t xml:space="preserve"/>
        </x:is>
      </x:c>
      <x:c r="E244" s="6" t="inlineStr">
        <x:is>
          <x:t xml:space="preserve"/>
        </x:is>
      </x:c>
      <x:c r="F244" s="7" t="inlineStr">
        <x:is>
          <x:t xml:space="preserve"/>
        </x:is>
      </x:c>
      <x:c r="G244" s="8" t="inlineStr">
        <x:is>
          <x:t xml:space="preserve"/>
        </x:is>
      </x:c>
      <x:c r="H244" s="6" t="inlineStr">
        <x:is>
          <x:t xml:space="preserve"/>
        </x:is>
      </x:c>
      <x:c r="I244" s="8" t="inlineStr">
        <x:is>
          <x:t xml:space="preserve"/>
        </x:is>
      </x:c>
      <x:c r="J244" s="7" t="inlineStr">
        <x:is>
          <x:t xml:space="preserve"/>
        </x:is>
      </x:c>
      <x:c r="K244" s="7">
        <x:f>IF(G244="","", TODAY()-G244)</x:f>
      </x:c>
      <x:c r="L244" s="7">
        <x:f>IF(OR(I244="",J244="Closed"),"", IF(TODAY()&gt;I244,"Yes","No"))</x:f>
      </x:c>
      <x:c r="M244" s="7" t="inlineStr">
        <x:is>
          <x:t xml:space="preserve"/>
        </x:is>
      </x:c>
      <x:c r="N244" s="6" t="inlineStr">
        <x:is>
          <x:t xml:space="preserve"/>
        </x:is>
      </x:c>
    </x:row>
    <x:row r="245">
      <x:c r="A245" s="7">
        <x:f>IF(E245="","", "ISS-"&amp;TEXT(ROW()-1,"00000"))</x:f>
      </x:c>
      <x:c r="B245" s="7" t="inlineStr">
        <x:is>
          <x:t xml:space="preserve"/>
        </x:is>
      </x:c>
      <x:c r="C245" s="7" t="inlineStr">
        <x:is>
          <x:t xml:space="preserve"/>
        </x:is>
      </x:c>
      <x:c r="D245" s="7" t="inlineStr">
        <x:is>
          <x:t xml:space="preserve"/>
        </x:is>
      </x:c>
      <x:c r="E245" s="6" t="inlineStr">
        <x:is>
          <x:t xml:space="preserve"/>
        </x:is>
      </x:c>
      <x:c r="F245" s="7" t="inlineStr">
        <x:is>
          <x:t xml:space="preserve"/>
        </x:is>
      </x:c>
      <x:c r="G245" s="8" t="inlineStr">
        <x:is>
          <x:t xml:space="preserve"/>
        </x:is>
      </x:c>
      <x:c r="H245" s="6" t="inlineStr">
        <x:is>
          <x:t xml:space="preserve"/>
        </x:is>
      </x:c>
      <x:c r="I245" s="8" t="inlineStr">
        <x:is>
          <x:t xml:space="preserve"/>
        </x:is>
      </x:c>
      <x:c r="J245" s="7" t="inlineStr">
        <x:is>
          <x:t xml:space="preserve"/>
        </x:is>
      </x:c>
      <x:c r="K245" s="7">
        <x:f>IF(G245="","", TODAY()-G245)</x:f>
      </x:c>
      <x:c r="L245" s="7">
        <x:f>IF(OR(I245="",J245="Closed"),"", IF(TODAY()&gt;I245,"Yes","No"))</x:f>
      </x:c>
      <x:c r="M245" s="7" t="inlineStr">
        <x:is>
          <x:t xml:space="preserve"/>
        </x:is>
      </x:c>
      <x:c r="N245" s="6" t="inlineStr">
        <x:is>
          <x:t xml:space="preserve"/>
        </x:is>
      </x:c>
    </x:row>
    <x:row r="246">
      <x:c r="A246" s="7">
        <x:f>IF(E246="","", "ISS-"&amp;TEXT(ROW()-1,"00000"))</x:f>
      </x:c>
      <x:c r="B246" s="7" t="inlineStr">
        <x:is>
          <x:t xml:space="preserve"/>
        </x:is>
      </x:c>
      <x:c r="C246" s="7" t="inlineStr">
        <x:is>
          <x:t xml:space="preserve"/>
        </x:is>
      </x:c>
      <x:c r="D246" s="7" t="inlineStr">
        <x:is>
          <x:t xml:space="preserve"/>
        </x:is>
      </x:c>
      <x:c r="E246" s="6" t="inlineStr">
        <x:is>
          <x:t xml:space="preserve"/>
        </x:is>
      </x:c>
      <x:c r="F246" s="7" t="inlineStr">
        <x:is>
          <x:t xml:space="preserve"/>
        </x:is>
      </x:c>
      <x:c r="G246" s="8" t="inlineStr">
        <x:is>
          <x:t xml:space="preserve"/>
        </x:is>
      </x:c>
      <x:c r="H246" s="6" t="inlineStr">
        <x:is>
          <x:t xml:space="preserve"/>
        </x:is>
      </x:c>
      <x:c r="I246" s="8" t="inlineStr">
        <x:is>
          <x:t xml:space="preserve"/>
        </x:is>
      </x:c>
      <x:c r="J246" s="7" t="inlineStr">
        <x:is>
          <x:t xml:space="preserve"/>
        </x:is>
      </x:c>
      <x:c r="K246" s="7">
        <x:f>IF(G246="","", TODAY()-G246)</x:f>
      </x:c>
      <x:c r="L246" s="7">
        <x:f>IF(OR(I246="",J246="Closed"),"", IF(TODAY()&gt;I246,"Yes","No"))</x:f>
      </x:c>
      <x:c r="M246" s="7" t="inlineStr">
        <x:is>
          <x:t xml:space="preserve"/>
        </x:is>
      </x:c>
      <x:c r="N246" s="6" t="inlineStr">
        <x:is>
          <x:t xml:space="preserve"/>
        </x:is>
      </x:c>
    </x:row>
    <x:row r="247">
      <x:c r="A247" s="7">
        <x:f>IF(E247="","", "ISS-"&amp;TEXT(ROW()-1,"00000"))</x:f>
      </x:c>
      <x:c r="B247" s="7" t="inlineStr">
        <x:is>
          <x:t xml:space="preserve"/>
        </x:is>
      </x:c>
      <x:c r="C247" s="7" t="inlineStr">
        <x:is>
          <x:t xml:space="preserve"/>
        </x:is>
      </x:c>
      <x:c r="D247" s="7" t="inlineStr">
        <x:is>
          <x:t xml:space="preserve"/>
        </x:is>
      </x:c>
      <x:c r="E247" s="6" t="inlineStr">
        <x:is>
          <x:t xml:space="preserve"/>
        </x:is>
      </x:c>
      <x:c r="F247" s="7" t="inlineStr">
        <x:is>
          <x:t xml:space="preserve"/>
        </x:is>
      </x:c>
      <x:c r="G247" s="8" t="inlineStr">
        <x:is>
          <x:t xml:space="preserve"/>
        </x:is>
      </x:c>
      <x:c r="H247" s="6" t="inlineStr">
        <x:is>
          <x:t xml:space="preserve"/>
        </x:is>
      </x:c>
      <x:c r="I247" s="8" t="inlineStr">
        <x:is>
          <x:t xml:space="preserve"/>
        </x:is>
      </x:c>
      <x:c r="J247" s="7" t="inlineStr">
        <x:is>
          <x:t xml:space="preserve"/>
        </x:is>
      </x:c>
      <x:c r="K247" s="7">
        <x:f>IF(G247="","", TODAY()-G247)</x:f>
      </x:c>
      <x:c r="L247" s="7">
        <x:f>IF(OR(I247="",J247="Closed"),"", IF(TODAY()&gt;I247,"Yes","No"))</x:f>
      </x:c>
      <x:c r="M247" s="7" t="inlineStr">
        <x:is>
          <x:t xml:space="preserve"/>
        </x:is>
      </x:c>
      <x:c r="N247" s="6" t="inlineStr">
        <x:is>
          <x:t xml:space="preserve"/>
        </x:is>
      </x:c>
    </x:row>
    <x:row r="248">
      <x:c r="A248" s="7">
        <x:f>IF(E248="","", "ISS-"&amp;TEXT(ROW()-1,"00000"))</x:f>
      </x:c>
      <x:c r="B248" s="7" t="inlineStr">
        <x:is>
          <x:t xml:space="preserve"/>
        </x:is>
      </x:c>
      <x:c r="C248" s="7" t="inlineStr">
        <x:is>
          <x:t xml:space="preserve"/>
        </x:is>
      </x:c>
      <x:c r="D248" s="7" t="inlineStr">
        <x:is>
          <x:t xml:space="preserve"/>
        </x:is>
      </x:c>
      <x:c r="E248" s="6" t="inlineStr">
        <x:is>
          <x:t xml:space="preserve"/>
        </x:is>
      </x:c>
      <x:c r="F248" s="7" t="inlineStr">
        <x:is>
          <x:t xml:space="preserve"/>
        </x:is>
      </x:c>
      <x:c r="G248" s="8" t="inlineStr">
        <x:is>
          <x:t xml:space="preserve"/>
        </x:is>
      </x:c>
      <x:c r="H248" s="6" t="inlineStr">
        <x:is>
          <x:t xml:space="preserve"/>
        </x:is>
      </x:c>
      <x:c r="I248" s="8" t="inlineStr">
        <x:is>
          <x:t xml:space="preserve"/>
        </x:is>
      </x:c>
      <x:c r="J248" s="7" t="inlineStr">
        <x:is>
          <x:t xml:space="preserve"/>
        </x:is>
      </x:c>
      <x:c r="K248" s="7">
        <x:f>IF(G248="","", TODAY()-G248)</x:f>
      </x:c>
      <x:c r="L248" s="7">
        <x:f>IF(OR(I248="",J248="Closed"),"", IF(TODAY()&gt;I248,"Yes","No"))</x:f>
      </x:c>
      <x:c r="M248" s="7" t="inlineStr">
        <x:is>
          <x:t xml:space="preserve"/>
        </x:is>
      </x:c>
      <x:c r="N248" s="6" t="inlineStr">
        <x:is>
          <x:t xml:space="preserve"/>
        </x:is>
      </x:c>
    </x:row>
    <x:row r="249">
      <x:c r="A249" s="7">
        <x:f>IF(E249="","", "ISS-"&amp;TEXT(ROW()-1,"00000"))</x:f>
      </x:c>
      <x:c r="B249" s="7" t="inlineStr">
        <x:is>
          <x:t xml:space="preserve"/>
        </x:is>
      </x:c>
      <x:c r="C249" s="7" t="inlineStr">
        <x:is>
          <x:t xml:space="preserve"/>
        </x:is>
      </x:c>
      <x:c r="D249" s="7" t="inlineStr">
        <x:is>
          <x:t xml:space="preserve"/>
        </x:is>
      </x:c>
      <x:c r="E249" s="6" t="inlineStr">
        <x:is>
          <x:t xml:space="preserve"/>
        </x:is>
      </x:c>
      <x:c r="F249" s="7" t="inlineStr">
        <x:is>
          <x:t xml:space="preserve"/>
        </x:is>
      </x:c>
      <x:c r="G249" s="8" t="inlineStr">
        <x:is>
          <x:t xml:space="preserve"/>
        </x:is>
      </x:c>
      <x:c r="H249" s="6" t="inlineStr">
        <x:is>
          <x:t xml:space="preserve"/>
        </x:is>
      </x:c>
      <x:c r="I249" s="8" t="inlineStr">
        <x:is>
          <x:t xml:space="preserve"/>
        </x:is>
      </x:c>
      <x:c r="J249" s="7" t="inlineStr">
        <x:is>
          <x:t xml:space="preserve"/>
        </x:is>
      </x:c>
      <x:c r="K249" s="7">
        <x:f>IF(G249="","", TODAY()-G249)</x:f>
      </x:c>
      <x:c r="L249" s="7">
        <x:f>IF(OR(I249="",J249="Closed"),"", IF(TODAY()&gt;I249,"Yes","No"))</x:f>
      </x:c>
      <x:c r="M249" s="7" t="inlineStr">
        <x:is>
          <x:t xml:space="preserve"/>
        </x:is>
      </x:c>
      <x:c r="N249" s="6" t="inlineStr">
        <x:is>
          <x:t xml:space="preserve"/>
        </x:is>
      </x:c>
    </x:row>
    <x:row r="250">
      <x:c r="A250" s="7">
        <x:f>IF(E250="","", "ISS-"&amp;TEXT(ROW()-1,"00000"))</x:f>
      </x:c>
      <x:c r="B250" s="7" t="inlineStr">
        <x:is>
          <x:t xml:space="preserve"/>
        </x:is>
      </x:c>
      <x:c r="C250" s="7" t="inlineStr">
        <x:is>
          <x:t xml:space="preserve"/>
        </x:is>
      </x:c>
      <x:c r="D250" s="7" t="inlineStr">
        <x:is>
          <x:t xml:space="preserve"/>
        </x:is>
      </x:c>
      <x:c r="E250" s="6" t="inlineStr">
        <x:is>
          <x:t xml:space="preserve"/>
        </x:is>
      </x:c>
      <x:c r="F250" s="7" t="inlineStr">
        <x:is>
          <x:t xml:space="preserve"/>
        </x:is>
      </x:c>
      <x:c r="G250" s="8" t="inlineStr">
        <x:is>
          <x:t xml:space="preserve"/>
        </x:is>
      </x:c>
      <x:c r="H250" s="6" t="inlineStr">
        <x:is>
          <x:t xml:space="preserve"/>
        </x:is>
      </x:c>
      <x:c r="I250" s="8" t="inlineStr">
        <x:is>
          <x:t xml:space="preserve"/>
        </x:is>
      </x:c>
      <x:c r="J250" s="7" t="inlineStr">
        <x:is>
          <x:t xml:space="preserve"/>
        </x:is>
      </x:c>
      <x:c r="K250" s="7">
        <x:f>IF(G250="","", TODAY()-G250)</x:f>
      </x:c>
      <x:c r="L250" s="7">
        <x:f>IF(OR(I250="",J250="Closed"),"", IF(TODAY()&gt;I250,"Yes","No"))</x:f>
      </x:c>
      <x:c r="M250" s="7" t="inlineStr">
        <x:is>
          <x:t xml:space="preserve"/>
        </x:is>
      </x:c>
      <x:c r="N250" s="6" t="inlineStr">
        <x:is>
          <x:t xml:space="preserve"/>
        </x:is>
      </x:c>
    </x:row>
    <x:row r="251">
      <x:c r="A251" s="7">
        <x:f>IF(E251="","", "ISS-"&amp;TEXT(ROW()-1,"00000"))</x:f>
      </x:c>
      <x:c r="B251" s="7" t="inlineStr">
        <x:is>
          <x:t xml:space="preserve"/>
        </x:is>
      </x:c>
      <x:c r="C251" s="7" t="inlineStr">
        <x:is>
          <x:t xml:space="preserve"/>
        </x:is>
      </x:c>
      <x:c r="D251" s="7" t="inlineStr">
        <x:is>
          <x:t xml:space="preserve"/>
        </x:is>
      </x:c>
      <x:c r="E251" s="6" t="inlineStr">
        <x:is>
          <x:t xml:space="preserve"/>
        </x:is>
      </x:c>
      <x:c r="F251" s="7" t="inlineStr">
        <x:is>
          <x:t xml:space="preserve"/>
        </x:is>
      </x:c>
      <x:c r="G251" s="8" t="inlineStr">
        <x:is>
          <x:t xml:space="preserve"/>
        </x:is>
      </x:c>
      <x:c r="H251" s="6" t="inlineStr">
        <x:is>
          <x:t xml:space="preserve"/>
        </x:is>
      </x:c>
      <x:c r="I251" s="8" t="inlineStr">
        <x:is>
          <x:t xml:space="preserve"/>
        </x:is>
      </x:c>
      <x:c r="J251" s="7" t="inlineStr">
        <x:is>
          <x:t xml:space="preserve"/>
        </x:is>
      </x:c>
      <x:c r="K251" s="7">
        <x:f>IF(G251="","", TODAY()-G251)</x:f>
      </x:c>
      <x:c r="L251" s="7">
        <x:f>IF(OR(I251="",J251="Closed"),"", IF(TODAY()&gt;I251,"Yes","No"))</x:f>
      </x:c>
      <x:c r="M251" s="7" t="inlineStr">
        <x:is>
          <x:t xml:space="preserve"/>
        </x:is>
      </x:c>
      <x:c r="N251" s="6" t="inlineStr">
        <x:is>
          <x:t xml:space="preserve"/>
        </x:is>
      </x:c>
    </x:row>
    <x:row r="252">
      <x:c r="A252" s="7">
        <x:f>IF(E252="","", "ISS-"&amp;TEXT(ROW()-1,"00000"))</x:f>
      </x:c>
      <x:c r="B252" s="7" t="inlineStr">
        <x:is>
          <x:t xml:space="preserve"/>
        </x:is>
      </x:c>
      <x:c r="C252" s="7" t="inlineStr">
        <x:is>
          <x:t xml:space="preserve"/>
        </x:is>
      </x:c>
      <x:c r="D252" s="7" t="inlineStr">
        <x:is>
          <x:t xml:space="preserve"/>
        </x:is>
      </x:c>
      <x:c r="E252" s="6" t="inlineStr">
        <x:is>
          <x:t xml:space="preserve"/>
        </x:is>
      </x:c>
      <x:c r="F252" s="7" t="inlineStr">
        <x:is>
          <x:t xml:space="preserve"/>
        </x:is>
      </x:c>
      <x:c r="G252" s="8" t="inlineStr">
        <x:is>
          <x:t xml:space="preserve"/>
        </x:is>
      </x:c>
      <x:c r="H252" s="6" t="inlineStr">
        <x:is>
          <x:t xml:space="preserve"/>
        </x:is>
      </x:c>
      <x:c r="I252" s="8" t="inlineStr">
        <x:is>
          <x:t xml:space="preserve"/>
        </x:is>
      </x:c>
      <x:c r="J252" s="7" t="inlineStr">
        <x:is>
          <x:t xml:space="preserve"/>
        </x:is>
      </x:c>
      <x:c r="K252" s="7">
        <x:f>IF(G252="","", TODAY()-G252)</x:f>
      </x:c>
      <x:c r="L252" s="7">
        <x:f>IF(OR(I252="",J252="Closed"),"", IF(TODAY()&gt;I252,"Yes","No"))</x:f>
      </x:c>
      <x:c r="M252" s="7" t="inlineStr">
        <x:is>
          <x:t xml:space="preserve"/>
        </x:is>
      </x:c>
      <x:c r="N252" s="6" t="inlineStr">
        <x:is>
          <x:t xml:space="preserve"/>
        </x:is>
      </x:c>
    </x:row>
    <x:row r="253">
      <x:c r="A253" s="7">
        <x:f>IF(E253="","", "ISS-"&amp;TEXT(ROW()-1,"00000"))</x:f>
      </x:c>
      <x:c r="B253" s="7" t="inlineStr">
        <x:is>
          <x:t xml:space="preserve"/>
        </x:is>
      </x:c>
      <x:c r="C253" s="7" t="inlineStr">
        <x:is>
          <x:t xml:space="preserve"/>
        </x:is>
      </x:c>
      <x:c r="D253" s="7" t="inlineStr">
        <x:is>
          <x:t xml:space="preserve"/>
        </x:is>
      </x:c>
      <x:c r="E253" s="6" t="inlineStr">
        <x:is>
          <x:t xml:space="preserve"/>
        </x:is>
      </x:c>
      <x:c r="F253" s="7" t="inlineStr">
        <x:is>
          <x:t xml:space="preserve"/>
        </x:is>
      </x:c>
      <x:c r="G253" s="8" t="inlineStr">
        <x:is>
          <x:t xml:space="preserve"/>
        </x:is>
      </x:c>
      <x:c r="H253" s="6" t="inlineStr">
        <x:is>
          <x:t xml:space="preserve"/>
        </x:is>
      </x:c>
      <x:c r="I253" s="8" t="inlineStr">
        <x:is>
          <x:t xml:space="preserve"/>
        </x:is>
      </x:c>
      <x:c r="J253" s="7" t="inlineStr">
        <x:is>
          <x:t xml:space="preserve"/>
        </x:is>
      </x:c>
      <x:c r="K253" s="7">
        <x:f>IF(G253="","", TODAY()-G253)</x:f>
      </x:c>
      <x:c r="L253" s="7">
        <x:f>IF(OR(I253="",J253="Closed"),"", IF(TODAY()&gt;I253,"Yes","No"))</x:f>
      </x:c>
      <x:c r="M253" s="7" t="inlineStr">
        <x:is>
          <x:t xml:space="preserve"/>
        </x:is>
      </x:c>
      <x:c r="N253" s="6" t="inlineStr">
        <x:is>
          <x:t xml:space="preserve"/>
        </x:is>
      </x:c>
    </x:row>
    <x:row r="254">
      <x:c r="A254" s="7">
        <x:f>IF(E254="","", "ISS-"&amp;TEXT(ROW()-1,"00000"))</x:f>
      </x:c>
      <x:c r="B254" s="7" t="inlineStr">
        <x:is>
          <x:t xml:space="preserve"/>
        </x:is>
      </x:c>
      <x:c r="C254" s="7" t="inlineStr">
        <x:is>
          <x:t xml:space="preserve"/>
        </x:is>
      </x:c>
      <x:c r="D254" s="7" t="inlineStr">
        <x:is>
          <x:t xml:space="preserve"/>
        </x:is>
      </x:c>
      <x:c r="E254" s="6" t="inlineStr">
        <x:is>
          <x:t xml:space="preserve"/>
        </x:is>
      </x:c>
      <x:c r="F254" s="7" t="inlineStr">
        <x:is>
          <x:t xml:space="preserve"/>
        </x:is>
      </x:c>
      <x:c r="G254" s="8" t="inlineStr">
        <x:is>
          <x:t xml:space="preserve"/>
        </x:is>
      </x:c>
      <x:c r="H254" s="6" t="inlineStr">
        <x:is>
          <x:t xml:space="preserve"/>
        </x:is>
      </x:c>
      <x:c r="I254" s="8" t="inlineStr">
        <x:is>
          <x:t xml:space="preserve"/>
        </x:is>
      </x:c>
      <x:c r="J254" s="7" t="inlineStr">
        <x:is>
          <x:t xml:space="preserve"/>
        </x:is>
      </x:c>
      <x:c r="K254" s="7">
        <x:f>IF(G254="","", TODAY()-G254)</x:f>
      </x:c>
      <x:c r="L254" s="7">
        <x:f>IF(OR(I254="",J254="Closed"),"", IF(TODAY()&gt;I254,"Yes","No"))</x:f>
      </x:c>
      <x:c r="M254" s="7" t="inlineStr">
        <x:is>
          <x:t xml:space="preserve"/>
        </x:is>
      </x:c>
      <x:c r="N254" s="6" t="inlineStr">
        <x:is>
          <x:t xml:space="preserve"/>
        </x:is>
      </x:c>
    </x:row>
    <x:row r="255">
      <x:c r="A255" s="7">
        <x:f>IF(E255="","", "ISS-"&amp;TEXT(ROW()-1,"00000"))</x:f>
      </x:c>
      <x:c r="B255" s="7" t="inlineStr">
        <x:is>
          <x:t xml:space="preserve"/>
        </x:is>
      </x:c>
      <x:c r="C255" s="7" t="inlineStr">
        <x:is>
          <x:t xml:space="preserve"/>
        </x:is>
      </x:c>
      <x:c r="D255" s="7" t="inlineStr">
        <x:is>
          <x:t xml:space="preserve"/>
        </x:is>
      </x:c>
      <x:c r="E255" s="6" t="inlineStr">
        <x:is>
          <x:t xml:space="preserve"/>
        </x:is>
      </x:c>
      <x:c r="F255" s="7" t="inlineStr">
        <x:is>
          <x:t xml:space="preserve"/>
        </x:is>
      </x:c>
      <x:c r="G255" s="8" t="inlineStr">
        <x:is>
          <x:t xml:space="preserve"/>
        </x:is>
      </x:c>
      <x:c r="H255" s="6" t="inlineStr">
        <x:is>
          <x:t xml:space="preserve"/>
        </x:is>
      </x:c>
      <x:c r="I255" s="8" t="inlineStr">
        <x:is>
          <x:t xml:space="preserve"/>
        </x:is>
      </x:c>
      <x:c r="J255" s="7" t="inlineStr">
        <x:is>
          <x:t xml:space="preserve"/>
        </x:is>
      </x:c>
      <x:c r="K255" s="7">
        <x:f>IF(G255="","", TODAY()-G255)</x:f>
      </x:c>
      <x:c r="L255" s="7">
        <x:f>IF(OR(I255="",J255="Closed"),"", IF(TODAY()&gt;I255,"Yes","No"))</x:f>
      </x:c>
      <x:c r="M255" s="7" t="inlineStr">
        <x:is>
          <x:t xml:space="preserve"/>
        </x:is>
      </x:c>
      <x:c r="N255" s="6" t="inlineStr">
        <x:is>
          <x:t xml:space="preserve"/>
        </x:is>
      </x:c>
    </x:row>
    <x:row r="256">
      <x:c r="A256" s="7">
        <x:f>IF(E256="","", "ISS-"&amp;TEXT(ROW()-1,"00000"))</x:f>
      </x:c>
      <x:c r="B256" s="7" t="inlineStr">
        <x:is>
          <x:t xml:space="preserve"/>
        </x:is>
      </x:c>
      <x:c r="C256" s="7" t="inlineStr">
        <x:is>
          <x:t xml:space="preserve"/>
        </x:is>
      </x:c>
      <x:c r="D256" s="7" t="inlineStr">
        <x:is>
          <x:t xml:space="preserve"/>
        </x:is>
      </x:c>
      <x:c r="E256" s="6" t="inlineStr">
        <x:is>
          <x:t xml:space="preserve"/>
        </x:is>
      </x:c>
      <x:c r="F256" s="7" t="inlineStr">
        <x:is>
          <x:t xml:space="preserve"/>
        </x:is>
      </x:c>
      <x:c r="G256" s="8" t="inlineStr">
        <x:is>
          <x:t xml:space="preserve"/>
        </x:is>
      </x:c>
      <x:c r="H256" s="6" t="inlineStr">
        <x:is>
          <x:t xml:space="preserve"/>
        </x:is>
      </x:c>
      <x:c r="I256" s="8" t="inlineStr">
        <x:is>
          <x:t xml:space="preserve"/>
        </x:is>
      </x:c>
      <x:c r="J256" s="7" t="inlineStr">
        <x:is>
          <x:t xml:space="preserve"/>
        </x:is>
      </x:c>
      <x:c r="K256" s="7">
        <x:f>IF(G256="","", TODAY()-G256)</x:f>
      </x:c>
      <x:c r="L256" s="7">
        <x:f>IF(OR(I256="",J256="Closed"),"", IF(TODAY()&gt;I256,"Yes","No"))</x:f>
      </x:c>
      <x:c r="M256" s="7" t="inlineStr">
        <x:is>
          <x:t xml:space="preserve"/>
        </x:is>
      </x:c>
      <x:c r="N256" s="6" t="inlineStr">
        <x:is>
          <x:t xml:space="preserve"/>
        </x:is>
      </x:c>
    </x:row>
    <x:row r="257">
      <x:c r="A257" s="7">
        <x:f>IF(E257="","", "ISS-"&amp;TEXT(ROW()-1,"00000"))</x:f>
      </x:c>
      <x:c r="B257" s="7" t="inlineStr">
        <x:is>
          <x:t xml:space="preserve"/>
        </x:is>
      </x:c>
      <x:c r="C257" s="7" t="inlineStr">
        <x:is>
          <x:t xml:space="preserve"/>
        </x:is>
      </x:c>
      <x:c r="D257" s="7" t="inlineStr">
        <x:is>
          <x:t xml:space="preserve"/>
        </x:is>
      </x:c>
      <x:c r="E257" s="6" t="inlineStr">
        <x:is>
          <x:t xml:space="preserve"/>
        </x:is>
      </x:c>
      <x:c r="F257" s="7" t="inlineStr">
        <x:is>
          <x:t xml:space="preserve"/>
        </x:is>
      </x:c>
      <x:c r="G257" s="8" t="inlineStr">
        <x:is>
          <x:t xml:space="preserve"/>
        </x:is>
      </x:c>
      <x:c r="H257" s="6" t="inlineStr">
        <x:is>
          <x:t xml:space="preserve"/>
        </x:is>
      </x:c>
      <x:c r="I257" s="8" t="inlineStr">
        <x:is>
          <x:t xml:space="preserve"/>
        </x:is>
      </x:c>
      <x:c r="J257" s="7" t="inlineStr">
        <x:is>
          <x:t xml:space="preserve"/>
        </x:is>
      </x:c>
      <x:c r="K257" s="7">
        <x:f>IF(G257="","", TODAY()-G257)</x:f>
      </x:c>
      <x:c r="L257" s="7">
        <x:f>IF(OR(I257="",J257="Closed"),"", IF(TODAY()&gt;I257,"Yes","No"))</x:f>
      </x:c>
      <x:c r="M257" s="7" t="inlineStr">
        <x:is>
          <x:t xml:space="preserve"/>
        </x:is>
      </x:c>
      <x:c r="N257" s="6" t="inlineStr">
        <x:is>
          <x:t xml:space="preserve"/>
        </x:is>
      </x:c>
    </x:row>
    <x:row r="258">
      <x:c r="A258" s="7">
        <x:f>IF(E258="","", "ISS-"&amp;TEXT(ROW()-1,"00000"))</x:f>
      </x:c>
      <x:c r="B258" s="7" t="inlineStr">
        <x:is>
          <x:t xml:space="preserve"/>
        </x:is>
      </x:c>
      <x:c r="C258" s="7" t="inlineStr">
        <x:is>
          <x:t xml:space="preserve"/>
        </x:is>
      </x:c>
      <x:c r="D258" s="7" t="inlineStr">
        <x:is>
          <x:t xml:space="preserve"/>
        </x:is>
      </x:c>
      <x:c r="E258" s="6" t="inlineStr">
        <x:is>
          <x:t xml:space="preserve"/>
        </x:is>
      </x:c>
      <x:c r="F258" s="7" t="inlineStr">
        <x:is>
          <x:t xml:space="preserve"/>
        </x:is>
      </x:c>
      <x:c r="G258" s="8" t="inlineStr">
        <x:is>
          <x:t xml:space="preserve"/>
        </x:is>
      </x:c>
      <x:c r="H258" s="6" t="inlineStr">
        <x:is>
          <x:t xml:space="preserve"/>
        </x:is>
      </x:c>
      <x:c r="I258" s="8" t="inlineStr">
        <x:is>
          <x:t xml:space="preserve"/>
        </x:is>
      </x:c>
      <x:c r="J258" s="7" t="inlineStr">
        <x:is>
          <x:t xml:space="preserve"/>
        </x:is>
      </x:c>
      <x:c r="K258" s="7">
        <x:f>IF(G258="","", TODAY()-G258)</x:f>
      </x:c>
      <x:c r="L258" s="7">
        <x:f>IF(OR(I258="",J258="Closed"),"", IF(TODAY()&gt;I258,"Yes","No"))</x:f>
      </x:c>
      <x:c r="M258" s="7" t="inlineStr">
        <x:is>
          <x:t xml:space="preserve"/>
        </x:is>
      </x:c>
      <x:c r="N258" s="6" t="inlineStr">
        <x:is>
          <x:t xml:space="preserve"/>
        </x:is>
      </x:c>
    </x:row>
    <x:row r="259">
      <x:c r="A259" s="7">
        <x:f>IF(E259="","", "ISS-"&amp;TEXT(ROW()-1,"00000"))</x:f>
      </x:c>
      <x:c r="B259" s="7" t="inlineStr">
        <x:is>
          <x:t xml:space="preserve"/>
        </x:is>
      </x:c>
      <x:c r="C259" s="7" t="inlineStr">
        <x:is>
          <x:t xml:space="preserve"/>
        </x:is>
      </x:c>
      <x:c r="D259" s="7" t="inlineStr">
        <x:is>
          <x:t xml:space="preserve"/>
        </x:is>
      </x:c>
      <x:c r="E259" s="6" t="inlineStr">
        <x:is>
          <x:t xml:space="preserve"/>
        </x:is>
      </x:c>
      <x:c r="F259" s="7" t="inlineStr">
        <x:is>
          <x:t xml:space="preserve"/>
        </x:is>
      </x:c>
      <x:c r="G259" s="8" t="inlineStr">
        <x:is>
          <x:t xml:space="preserve"/>
        </x:is>
      </x:c>
      <x:c r="H259" s="6" t="inlineStr">
        <x:is>
          <x:t xml:space="preserve"/>
        </x:is>
      </x:c>
      <x:c r="I259" s="8" t="inlineStr">
        <x:is>
          <x:t xml:space="preserve"/>
        </x:is>
      </x:c>
      <x:c r="J259" s="7" t="inlineStr">
        <x:is>
          <x:t xml:space="preserve"/>
        </x:is>
      </x:c>
      <x:c r="K259" s="7">
        <x:f>IF(G259="","", TODAY()-G259)</x:f>
      </x:c>
      <x:c r="L259" s="7">
        <x:f>IF(OR(I259="",J259="Closed"),"", IF(TODAY()&gt;I259,"Yes","No"))</x:f>
      </x:c>
      <x:c r="M259" s="7" t="inlineStr">
        <x:is>
          <x:t xml:space="preserve"/>
        </x:is>
      </x:c>
      <x:c r="N259" s="6" t="inlineStr">
        <x:is>
          <x:t xml:space="preserve"/>
        </x:is>
      </x:c>
    </x:row>
    <x:row r="260">
      <x:c r="A260" s="7">
        <x:f>IF(E260="","", "ISS-"&amp;TEXT(ROW()-1,"00000"))</x:f>
      </x:c>
      <x:c r="B260" s="7" t="inlineStr">
        <x:is>
          <x:t xml:space="preserve"/>
        </x:is>
      </x:c>
      <x:c r="C260" s="7" t="inlineStr">
        <x:is>
          <x:t xml:space="preserve"/>
        </x:is>
      </x:c>
      <x:c r="D260" s="7" t="inlineStr">
        <x:is>
          <x:t xml:space="preserve"/>
        </x:is>
      </x:c>
      <x:c r="E260" s="6" t="inlineStr">
        <x:is>
          <x:t xml:space="preserve"/>
        </x:is>
      </x:c>
      <x:c r="F260" s="7" t="inlineStr">
        <x:is>
          <x:t xml:space="preserve"/>
        </x:is>
      </x:c>
      <x:c r="G260" s="8" t="inlineStr">
        <x:is>
          <x:t xml:space="preserve"/>
        </x:is>
      </x:c>
      <x:c r="H260" s="6" t="inlineStr">
        <x:is>
          <x:t xml:space="preserve"/>
        </x:is>
      </x:c>
      <x:c r="I260" s="8" t="inlineStr">
        <x:is>
          <x:t xml:space="preserve"/>
        </x:is>
      </x:c>
      <x:c r="J260" s="7" t="inlineStr">
        <x:is>
          <x:t xml:space="preserve"/>
        </x:is>
      </x:c>
      <x:c r="K260" s="7">
        <x:f>IF(G260="","", TODAY()-G260)</x:f>
      </x:c>
      <x:c r="L260" s="7">
        <x:f>IF(OR(I260="",J260="Closed"),"", IF(TODAY()&gt;I260,"Yes","No"))</x:f>
      </x:c>
      <x:c r="M260" s="7" t="inlineStr">
        <x:is>
          <x:t xml:space="preserve"/>
        </x:is>
      </x:c>
      <x:c r="N260" s="6" t="inlineStr">
        <x:is>
          <x:t xml:space="preserve"/>
        </x:is>
      </x:c>
    </x:row>
    <x:row r="261">
      <x:c r="A261" s="7">
        <x:f>IF(E261="","", "ISS-"&amp;TEXT(ROW()-1,"00000"))</x:f>
      </x:c>
      <x:c r="B261" s="7" t="inlineStr">
        <x:is>
          <x:t xml:space="preserve"/>
        </x:is>
      </x:c>
      <x:c r="C261" s="7" t="inlineStr">
        <x:is>
          <x:t xml:space="preserve"/>
        </x:is>
      </x:c>
      <x:c r="D261" s="7" t="inlineStr">
        <x:is>
          <x:t xml:space="preserve"/>
        </x:is>
      </x:c>
      <x:c r="E261" s="6" t="inlineStr">
        <x:is>
          <x:t xml:space="preserve"/>
        </x:is>
      </x:c>
      <x:c r="F261" s="7" t="inlineStr">
        <x:is>
          <x:t xml:space="preserve"/>
        </x:is>
      </x:c>
      <x:c r="G261" s="8" t="inlineStr">
        <x:is>
          <x:t xml:space="preserve"/>
        </x:is>
      </x:c>
      <x:c r="H261" s="6" t="inlineStr">
        <x:is>
          <x:t xml:space="preserve"/>
        </x:is>
      </x:c>
      <x:c r="I261" s="8" t="inlineStr">
        <x:is>
          <x:t xml:space="preserve"/>
        </x:is>
      </x:c>
      <x:c r="J261" s="7" t="inlineStr">
        <x:is>
          <x:t xml:space="preserve"/>
        </x:is>
      </x:c>
      <x:c r="K261" s="7">
        <x:f>IF(G261="","", TODAY()-G261)</x:f>
      </x:c>
      <x:c r="L261" s="7">
        <x:f>IF(OR(I261="",J261="Closed"),"", IF(TODAY()&gt;I261,"Yes","No"))</x:f>
      </x:c>
      <x:c r="M261" s="7" t="inlineStr">
        <x:is>
          <x:t xml:space="preserve"/>
        </x:is>
      </x:c>
      <x:c r="N261" s="6" t="inlineStr">
        <x:is>
          <x:t xml:space="preserve"/>
        </x:is>
      </x:c>
    </x:row>
    <x:row r="262">
      <x:c r="A262" s="7">
        <x:f>IF(E262="","", "ISS-"&amp;TEXT(ROW()-1,"00000"))</x:f>
      </x:c>
      <x:c r="B262" s="7" t="inlineStr">
        <x:is>
          <x:t xml:space="preserve"/>
        </x:is>
      </x:c>
      <x:c r="C262" s="7" t="inlineStr">
        <x:is>
          <x:t xml:space="preserve"/>
        </x:is>
      </x:c>
      <x:c r="D262" s="7" t="inlineStr">
        <x:is>
          <x:t xml:space="preserve"/>
        </x:is>
      </x:c>
      <x:c r="E262" s="6" t="inlineStr">
        <x:is>
          <x:t xml:space="preserve"/>
        </x:is>
      </x:c>
      <x:c r="F262" s="7" t="inlineStr">
        <x:is>
          <x:t xml:space="preserve"/>
        </x:is>
      </x:c>
      <x:c r="G262" s="8" t="inlineStr">
        <x:is>
          <x:t xml:space="preserve"/>
        </x:is>
      </x:c>
      <x:c r="H262" s="6" t="inlineStr">
        <x:is>
          <x:t xml:space="preserve"/>
        </x:is>
      </x:c>
      <x:c r="I262" s="8" t="inlineStr">
        <x:is>
          <x:t xml:space="preserve"/>
        </x:is>
      </x:c>
      <x:c r="J262" s="7" t="inlineStr">
        <x:is>
          <x:t xml:space="preserve"/>
        </x:is>
      </x:c>
      <x:c r="K262" s="7">
        <x:f>IF(G262="","", TODAY()-G262)</x:f>
      </x:c>
      <x:c r="L262" s="7">
        <x:f>IF(OR(I262="",J262="Closed"),"", IF(TODAY()&gt;I262,"Yes","No"))</x:f>
      </x:c>
      <x:c r="M262" s="7" t="inlineStr">
        <x:is>
          <x:t xml:space="preserve"/>
        </x:is>
      </x:c>
      <x:c r="N262" s="6" t="inlineStr">
        <x:is>
          <x:t xml:space="preserve"/>
        </x:is>
      </x:c>
    </x:row>
    <x:row r="263">
      <x:c r="A263" s="7">
        <x:f>IF(E263="","", "ISS-"&amp;TEXT(ROW()-1,"00000"))</x:f>
      </x:c>
      <x:c r="B263" s="7" t="inlineStr">
        <x:is>
          <x:t xml:space="preserve"/>
        </x:is>
      </x:c>
      <x:c r="C263" s="7" t="inlineStr">
        <x:is>
          <x:t xml:space="preserve"/>
        </x:is>
      </x:c>
      <x:c r="D263" s="7" t="inlineStr">
        <x:is>
          <x:t xml:space="preserve"/>
        </x:is>
      </x:c>
      <x:c r="E263" s="6" t="inlineStr">
        <x:is>
          <x:t xml:space="preserve"/>
        </x:is>
      </x:c>
      <x:c r="F263" s="7" t="inlineStr">
        <x:is>
          <x:t xml:space="preserve"/>
        </x:is>
      </x:c>
      <x:c r="G263" s="8" t="inlineStr">
        <x:is>
          <x:t xml:space="preserve"/>
        </x:is>
      </x:c>
      <x:c r="H263" s="6" t="inlineStr">
        <x:is>
          <x:t xml:space="preserve"/>
        </x:is>
      </x:c>
      <x:c r="I263" s="8" t="inlineStr">
        <x:is>
          <x:t xml:space="preserve"/>
        </x:is>
      </x:c>
      <x:c r="J263" s="7" t="inlineStr">
        <x:is>
          <x:t xml:space="preserve"/>
        </x:is>
      </x:c>
      <x:c r="K263" s="7">
        <x:f>IF(G263="","", TODAY()-G263)</x:f>
      </x:c>
      <x:c r="L263" s="7">
        <x:f>IF(OR(I263="",J263="Closed"),"", IF(TODAY()&gt;I263,"Yes","No"))</x:f>
      </x:c>
      <x:c r="M263" s="7" t="inlineStr">
        <x:is>
          <x:t xml:space="preserve"/>
        </x:is>
      </x:c>
      <x:c r="N263" s="6" t="inlineStr">
        <x:is>
          <x:t xml:space="preserve"/>
        </x:is>
      </x:c>
    </x:row>
    <x:row r="264">
      <x:c r="A264" s="7">
        <x:f>IF(E264="","", "ISS-"&amp;TEXT(ROW()-1,"00000"))</x:f>
      </x:c>
      <x:c r="B264" s="7" t="inlineStr">
        <x:is>
          <x:t xml:space="preserve"/>
        </x:is>
      </x:c>
      <x:c r="C264" s="7" t="inlineStr">
        <x:is>
          <x:t xml:space="preserve"/>
        </x:is>
      </x:c>
      <x:c r="D264" s="7" t="inlineStr">
        <x:is>
          <x:t xml:space="preserve"/>
        </x:is>
      </x:c>
      <x:c r="E264" s="6" t="inlineStr">
        <x:is>
          <x:t xml:space="preserve"/>
        </x:is>
      </x:c>
      <x:c r="F264" s="7" t="inlineStr">
        <x:is>
          <x:t xml:space="preserve"/>
        </x:is>
      </x:c>
      <x:c r="G264" s="8" t="inlineStr">
        <x:is>
          <x:t xml:space="preserve"/>
        </x:is>
      </x:c>
      <x:c r="H264" s="6" t="inlineStr">
        <x:is>
          <x:t xml:space="preserve"/>
        </x:is>
      </x:c>
      <x:c r="I264" s="8" t="inlineStr">
        <x:is>
          <x:t xml:space="preserve"/>
        </x:is>
      </x:c>
      <x:c r="J264" s="7" t="inlineStr">
        <x:is>
          <x:t xml:space="preserve"/>
        </x:is>
      </x:c>
      <x:c r="K264" s="7">
        <x:f>IF(G264="","", TODAY()-G264)</x:f>
      </x:c>
      <x:c r="L264" s="7">
        <x:f>IF(OR(I264="",J264="Closed"),"", IF(TODAY()&gt;I264,"Yes","No"))</x:f>
      </x:c>
      <x:c r="M264" s="7" t="inlineStr">
        <x:is>
          <x:t xml:space="preserve"/>
        </x:is>
      </x:c>
      <x:c r="N264" s="6" t="inlineStr">
        <x:is>
          <x:t xml:space="preserve"/>
        </x:is>
      </x:c>
    </x:row>
    <x:row r="265">
      <x:c r="A265" s="7">
        <x:f>IF(E265="","", "ISS-"&amp;TEXT(ROW()-1,"00000"))</x:f>
      </x:c>
      <x:c r="B265" s="7" t="inlineStr">
        <x:is>
          <x:t xml:space="preserve"/>
        </x:is>
      </x:c>
      <x:c r="C265" s="7" t="inlineStr">
        <x:is>
          <x:t xml:space="preserve"/>
        </x:is>
      </x:c>
      <x:c r="D265" s="7" t="inlineStr">
        <x:is>
          <x:t xml:space="preserve"/>
        </x:is>
      </x:c>
      <x:c r="E265" s="6" t="inlineStr">
        <x:is>
          <x:t xml:space="preserve"/>
        </x:is>
      </x:c>
      <x:c r="F265" s="7" t="inlineStr">
        <x:is>
          <x:t xml:space="preserve"/>
        </x:is>
      </x:c>
      <x:c r="G265" s="8" t="inlineStr">
        <x:is>
          <x:t xml:space="preserve"/>
        </x:is>
      </x:c>
      <x:c r="H265" s="6" t="inlineStr">
        <x:is>
          <x:t xml:space="preserve"/>
        </x:is>
      </x:c>
      <x:c r="I265" s="8" t="inlineStr">
        <x:is>
          <x:t xml:space="preserve"/>
        </x:is>
      </x:c>
      <x:c r="J265" s="7" t="inlineStr">
        <x:is>
          <x:t xml:space="preserve"/>
        </x:is>
      </x:c>
      <x:c r="K265" s="7">
        <x:f>IF(G265="","", TODAY()-G265)</x:f>
      </x:c>
      <x:c r="L265" s="7">
        <x:f>IF(OR(I265="",J265="Closed"),"", IF(TODAY()&gt;I265,"Yes","No"))</x:f>
      </x:c>
      <x:c r="M265" s="7" t="inlineStr">
        <x:is>
          <x:t xml:space="preserve"/>
        </x:is>
      </x:c>
      <x:c r="N265" s="6" t="inlineStr">
        <x:is>
          <x:t xml:space="preserve"/>
        </x:is>
      </x:c>
    </x:row>
    <x:row r="266">
      <x:c r="A266" s="7">
        <x:f>IF(E266="","", "ISS-"&amp;TEXT(ROW()-1,"00000"))</x:f>
      </x:c>
      <x:c r="B266" s="7" t="inlineStr">
        <x:is>
          <x:t xml:space="preserve"/>
        </x:is>
      </x:c>
      <x:c r="C266" s="7" t="inlineStr">
        <x:is>
          <x:t xml:space="preserve"/>
        </x:is>
      </x:c>
      <x:c r="D266" s="7" t="inlineStr">
        <x:is>
          <x:t xml:space="preserve"/>
        </x:is>
      </x:c>
      <x:c r="E266" s="6" t="inlineStr">
        <x:is>
          <x:t xml:space="preserve"/>
        </x:is>
      </x:c>
      <x:c r="F266" s="7" t="inlineStr">
        <x:is>
          <x:t xml:space="preserve"/>
        </x:is>
      </x:c>
      <x:c r="G266" s="8" t="inlineStr">
        <x:is>
          <x:t xml:space="preserve"/>
        </x:is>
      </x:c>
      <x:c r="H266" s="6" t="inlineStr">
        <x:is>
          <x:t xml:space="preserve"/>
        </x:is>
      </x:c>
      <x:c r="I266" s="8" t="inlineStr">
        <x:is>
          <x:t xml:space="preserve"/>
        </x:is>
      </x:c>
      <x:c r="J266" s="7" t="inlineStr">
        <x:is>
          <x:t xml:space="preserve"/>
        </x:is>
      </x:c>
      <x:c r="K266" s="7">
        <x:f>IF(G266="","", TODAY()-G266)</x:f>
      </x:c>
      <x:c r="L266" s="7">
        <x:f>IF(OR(I266="",J266="Closed"),"", IF(TODAY()&gt;I266,"Yes","No"))</x:f>
      </x:c>
      <x:c r="M266" s="7" t="inlineStr">
        <x:is>
          <x:t xml:space="preserve"/>
        </x:is>
      </x:c>
      <x:c r="N266" s="6" t="inlineStr">
        <x:is>
          <x:t xml:space="preserve"/>
        </x:is>
      </x:c>
    </x:row>
    <x:row r="267">
      <x:c r="A267" s="7">
        <x:f>IF(E267="","", "ISS-"&amp;TEXT(ROW()-1,"00000"))</x:f>
      </x:c>
      <x:c r="B267" s="7" t="inlineStr">
        <x:is>
          <x:t xml:space="preserve"/>
        </x:is>
      </x:c>
      <x:c r="C267" s="7" t="inlineStr">
        <x:is>
          <x:t xml:space="preserve"/>
        </x:is>
      </x:c>
      <x:c r="D267" s="7" t="inlineStr">
        <x:is>
          <x:t xml:space="preserve"/>
        </x:is>
      </x:c>
      <x:c r="E267" s="6" t="inlineStr">
        <x:is>
          <x:t xml:space="preserve"/>
        </x:is>
      </x:c>
      <x:c r="F267" s="7" t="inlineStr">
        <x:is>
          <x:t xml:space="preserve"/>
        </x:is>
      </x:c>
      <x:c r="G267" s="8" t="inlineStr">
        <x:is>
          <x:t xml:space="preserve"/>
        </x:is>
      </x:c>
      <x:c r="H267" s="6" t="inlineStr">
        <x:is>
          <x:t xml:space="preserve"/>
        </x:is>
      </x:c>
      <x:c r="I267" s="8" t="inlineStr">
        <x:is>
          <x:t xml:space="preserve"/>
        </x:is>
      </x:c>
      <x:c r="J267" s="7" t="inlineStr">
        <x:is>
          <x:t xml:space="preserve"/>
        </x:is>
      </x:c>
      <x:c r="K267" s="7">
        <x:f>IF(G267="","", TODAY()-G267)</x:f>
      </x:c>
      <x:c r="L267" s="7">
        <x:f>IF(OR(I267="",J267="Closed"),"", IF(TODAY()&gt;I267,"Yes","No"))</x:f>
      </x:c>
      <x:c r="M267" s="7" t="inlineStr">
        <x:is>
          <x:t xml:space="preserve"/>
        </x:is>
      </x:c>
      <x:c r="N267" s="6" t="inlineStr">
        <x:is>
          <x:t xml:space="preserve"/>
        </x:is>
      </x:c>
    </x:row>
    <x:row r="268">
      <x:c r="A268" s="7">
        <x:f>IF(E268="","", "ISS-"&amp;TEXT(ROW()-1,"00000"))</x:f>
      </x:c>
      <x:c r="B268" s="7" t="inlineStr">
        <x:is>
          <x:t xml:space="preserve"/>
        </x:is>
      </x:c>
      <x:c r="C268" s="7" t="inlineStr">
        <x:is>
          <x:t xml:space="preserve"/>
        </x:is>
      </x:c>
      <x:c r="D268" s="7" t="inlineStr">
        <x:is>
          <x:t xml:space="preserve"/>
        </x:is>
      </x:c>
      <x:c r="E268" s="6" t="inlineStr">
        <x:is>
          <x:t xml:space="preserve"/>
        </x:is>
      </x:c>
      <x:c r="F268" s="7" t="inlineStr">
        <x:is>
          <x:t xml:space="preserve"/>
        </x:is>
      </x:c>
      <x:c r="G268" s="8" t="inlineStr">
        <x:is>
          <x:t xml:space="preserve"/>
        </x:is>
      </x:c>
      <x:c r="H268" s="6" t="inlineStr">
        <x:is>
          <x:t xml:space="preserve"/>
        </x:is>
      </x:c>
      <x:c r="I268" s="8" t="inlineStr">
        <x:is>
          <x:t xml:space="preserve"/>
        </x:is>
      </x:c>
      <x:c r="J268" s="7" t="inlineStr">
        <x:is>
          <x:t xml:space="preserve"/>
        </x:is>
      </x:c>
      <x:c r="K268" s="7">
        <x:f>IF(G268="","", TODAY()-G268)</x:f>
      </x:c>
      <x:c r="L268" s="7">
        <x:f>IF(OR(I268="",J268="Closed"),"", IF(TODAY()&gt;I268,"Yes","No"))</x:f>
      </x:c>
      <x:c r="M268" s="7" t="inlineStr">
        <x:is>
          <x:t xml:space="preserve"/>
        </x:is>
      </x:c>
      <x:c r="N268" s="6" t="inlineStr">
        <x:is>
          <x:t xml:space="preserve"/>
        </x:is>
      </x:c>
    </x:row>
    <x:row r="269">
      <x:c r="A269" s="7">
        <x:f>IF(E269="","", "ISS-"&amp;TEXT(ROW()-1,"00000"))</x:f>
      </x:c>
      <x:c r="B269" s="7" t="inlineStr">
        <x:is>
          <x:t xml:space="preserve"/>
        </x:is>
      </x:c>
      <x:c r="C269" s="7" t="inlineStr">
        <x:is>
          <x:t xml:space="preserve"/>
        </x:is>
      </x:c>
      <x:c r="D269" s="7" t="inlineStr">
        <x:is>
          <x:t xml:space="preserve"/>
        </x:is>
      </x:c>
      <x:c r="E269" s="6" t="inlineStr">
        <x:is>
          <x:t xml:space="preserve"/>
        </x:is>
      </x:c>
      <x:c r="F269" s="7" t="inlineStr">
        <x:is>
          <x:t xml:space="preserve"/>
        </x:is>
      </x:c>
      <x:c r="G269" s="8" t="inlineStr">
        <x:is>
          <x:t xml:space="preserve"/>
        </x:is>
      </x:c>
      <x:c r="H269" s="6" t="inlineStr">
        <x:is>
          <x:t xml:space="preserve"/>
        </x:is>
      </x:c>
      <x:c r="I269" s="8" t="inlineStr">
        <x:is>
          <x:t xml:space="preserve"/>
        </x:is>
      </x:c>
      <x:c r="J269" s="7" t="inlineStr">
        <x:is>
          <x:t xml:space="preserve"/>
        </x:is>
      </x:c>
      <x:c r="K269" s="7">
        <x:f>IF(G269="","", TODAY()-G269)</x:f>
      </x:c>
      <x:c r="L269" s="7">
        <x:f>IF(OR(I269="",J269="Closed"),"", IF(TODAY()&gt;I269,"Yes","No"))</x:f>
      </x:c>
      <x:c r="M269" s="7" t="inlineStr">
        <x:is>
          <x:t xml:space="preserve"/>
        </x:is>
      </x:c>
      <x:c r="N269" s="6" t="inlineStr">
        <x:is>
          <x:t xml:space="preserve"/>
        </x:is>
      </x:c>
    </x:row>
    <x:row r="270">
      <x:c r="A270" s="7">
        <x:f>IF(E270="","", "ISS-"&amp;TEXT(ROW()-1,"00000"))</x:f>
      </x:c>
      <x:c r="B270" s="7" t="inlineStr">
        <x:is>
          <x:t xml:space="preserve"/>
        </x:is>
      </x:c>
      <x:c r="C270" s="7" t="inlineStr">
        <x:is>
          <x:t xml:space="preserve"/>
        </x:is>
      </x:c>
      <x:c r="D270" s="7" t="inlineStr">
        <x:is>
          <x:t xml:space="preserve"/>
        </x:is>
      </x:c>
      <x:c r="E270" s="6" t="inlineStr">
        <x:is>
          <x:t xml:space="preserve"/>
        </x:is>
      </x:c>
      <x:c r="F270" s="7" t="inlineStr">
        <x:is>
          <x:t xml:space="preserve"/>
        </x:is>
      </x:c>
      <x:c r="G270" s="8" t="inlineStr">
        <x:is>
          <x:t xml:space="preserve"/>
        </x:is>
      </x:c>
      <x:c r="H270" s="6" t="inlineStr">
        <x:is>
          <x:t xml:space="preserve"/>
        </x:is>
      </x:c>
      <x:c r="I270" s="8" t="inlineStr">
        <x:is>
          <x:t xml:space="preserve"/>
        </x:is>
      </x:c>
      <x:c r="J270" s="7" t="inlineStr">
        <x:is>
          <x:t xml:space="preserve"/>
        </x:is>
      </x:c>
      <x:c r="K270" s="7">
        <x:f>IF(G270="","", TODAY()-G270)</x:f>
      </x:c>
      <x:c r="L270" s="7">
        <x:f>IF(OR(I270="",J270="Closed"),"", IF(TODAY()&gt;I270,"Yes","No"))</x:f>
      </x:c>
      <x:c r="M270" s="7" t="inlineStr">
        <x:is>
          <x:t xml:space="preserve"/>
        </x:is>
      </x:c>
      <x:c r="N270" s="6" t="inlineStr">
        <x:is>
          <x:t xml:space="preserve"/>
        </x:is>
      </x:c>
    </x:row>
    <x:row r="271">
      <x:c r="A271" s="7">
        <x:f>IF(E271="","", "ISS-"&amp;TEXT(ROW()-1,"00000"))</x:f>
      </x:c>
      <x:c r="B271" s="7" t="inlineStr">
        <x:is>
          <x:t xml:space="preserve"/>
        </x:is>
      </x:c>
      <x:c r="C271" s="7" t="inlineStr">
        <x:is>
          <x:t xml:space="preserve"/>
        </x:is>
      </x:c>
      <x:c r="D271" s="7" t="inlineStr">
        <x:is>
          <x:t xml:space="preserve"/>
        </x:is>
      </x:c>
      <x:c r="E271" s="6" t="inlineStr">
        <x:is>
          <x:t xml:space="preserve"/>
        </x:is>
      </x:c>
      <x:c r="F271" s="7" t="inlineStr">
        <x:is>
          <x:t xml:space="preserve"/>
        </x:is>
      </x:c>
      <x:c r="G271" s="8" t="inlineStr">
        <x:is>
          <x:t xml:space="preserve"/>
        </x:is>
      </x:c>
      <x:c r="H271" s="6" t="inlineStr">
        <x:is>
          <x:t xml:space="preserve"/>
        </x:is>
      </x:c>
      <x:c r="I271" s="8" t="inlineStr">
        <x:is>
          <x:t xml:space="preserve"/>
        </x:is>
      </x:c>
      <x:c r="J271" s="7" t="inlineStr">
        <x:is>
          <x:t xml:space="preserve"/>
        </x:is>
      </x:c>
      <x:c r="K271" s="7">
        <x:f>IF(G271="","", TODAY()-G271)</x:f>
      </x:c>
      <x:c r="L271" s="7">
        <x:f>IF(OR(I271="",J271="Closed"),"", IF(TODAY()&gt;I271,"Yes","No"))</x:f>
      </x:c>
      <x:c r="M271" s="7" t="inlineStr">
        <x:is>
          <x:t xml:space="preserve"/>
        </x:is>
      </x:c>
      <x:c r="N271" s="6" t="inlineStr">
        <x:is>
          <x:t xml:space="preserve"/>
        </x:is>
      </x:c>
    </x:row>
    <x:row r="272">
      <x:c r="A272" s="7">
        <x:f>IF(E272="","", "ISS-"&amp;TEXT(ROW()-1,"00000"))</x:f>
      </x:c>
      <x:c r="B272" s="7" t="inlineStr">
        <x:is>
          <x:t xml:space="preserve"/>
        </x:is>
      </x:c>
      <x:c r="C272" s="7" t="inlineStr">
        <x:is>
          <x:t xml:space="preserve"/>
        </x:is>
      </x:c>
      <x:c r="D272" s="7" t="inlineStr">
        <x:is>
          <x:t xml:space="preserve"/>
        </x:is>
      </x:c>
      <x:c r="E272" s="6" t="inlineStr">
        <x:is>
          <x:t xml:space="preserve"/>
        </x:is>
      </x:c>
      <x:c r="F272" s="7" t="inlineStr">
        <x:is>
          <x:t xml:space="preserve"/>
        </x:is>
      </x:c>
      <x:c r="G272" s="8" t="inlineStr">
        <x:is>
          <x:t xml:space="preserve"/>
        </x:is>
      </x:c>
      <x:c r="H272" s="6" t="inlineStr">
        <x:is>
          <x:t xml:space="preserve"/>
        </x:is>
      </x:c>
      <x:c r="I272" s="8" t="inlineStr">
        <x:is>
          <x:t xml:space="preserve"/>
        </x:is>
      </x:c>
      <x:c r="J272" s="7" t="inlineStr">
        <x:is>
          <x:t xml:space="preserve"/>
        </x:is>
      </x:c>
      <x:c r="K272" s="7">
        <x:f>IF(G272="","", TODAY()-G272)</x:f>
      </x:c>
      <x:c r="L272" s="7">
        <x:f>IF(OR(I272="",J272="Closed"),"", IF(TODAY()&gt;I272,"Yes","No"))</x:f>
      </x:c>
      <x:c r="M272" s="7" t="inlineStr">
        <x:is>
          <x:t xml:space="preserve"/>
        </x:is>
      </x:c>
      <x:c r="N272" s="6" t="inlineStr">
        <x:is>
          <x:t xml:space="preserve"/>
        </x:is>
      </x:c>
    </x:row>
    <x:row r="273">
      <x:c r="A273" s="7">
        <x:f>IF(E273="","", "ISS-"&amp;TEXT(ROW()-1,"00000"))</x:f>
      </x:c>
      <x:c r="B273" s="7" t="inlineStr">
        <x:is>
          <x:t xml:space="preserve"/>
        </x:is>
      </x:c>
      <x:c r="C273" s="7" t="inlineStr">
        <x:is>
          <x:t xml:space="preserve"/>
        </x:is>
      </x:c>
      <x:c r="D273" s="7" t="inlineStr">
        <x:is>
          <x:t xml:space="preserve"/>
        </x:is>
      </x:c>
      <x:c r="E273" s="6" t="inlineStr">
        <x:is>
          <x:t xml:space="preserve"/>
        </x:is>
      </x:c>
      <x:c r="F273" s="7" t="inlineStr">
        <x:is>
          <x:t xml:space="preserve"/>
        </x:is>
      </x:c>
      <x:c r="G273" s="8" t="inlineStr">
        <x:is>
          <x:t xml:space="preserve"/>
        </x:is>
      </x:c>
      <x:c r="H273" s="6" t="inlineStr">
        <x:is>
          <x:t xml:space="preserve"/>
        </x:is>
      </x:c>
      <x:c r="I273" s="8" t="inlineStr">
        <x:is>
          <x:t xml:space="preserve"/>
        </x:is>
      </x:c>
      <x:c r="J273" s="7" t="inlineStr">
        <x:is>
          <x:t xml:space="preserve"/>
        </x:is>
      </x:c>
      <x:c r="K273" s="7">
        <x:f>IF(G273="","", TODAY()-G273)</x:f>
      </x:c>
      <x:c r="L273" s="7">
        <x:f>IF(OR(I273="",J273="Closed"),"", IF(TODAY()&gt;I273,"Yes","No"))</x:f>
      </x:c>
      <x:c r="M273" s="7" t="inlineStr">
        <x:is>
          <x:t xml:space="preserve"/>
        </x:is>
      </x:c>
      <x:c r="N273" s="6" t="inlineStr">
        <x:is>
          <x:t xml:space="preserve"/>
        </x:is>
      </x:c>
    </x:row>
    <x:row r="274">
      <x:c r="A274" s="7">
        <x:f>IF(E274="","", "ISS-"&amp;TEXT(ROW()-1,"00000"))</x:f>
      </x:c>
      <x:c r="B274" s="7" t="inlineStr">
        <x:is>
          <x:t xml:space="preserve"/>
        </x:is>
      </x:c>
      <x:c r="C274" s="7" t="inlineStr">
        <x:is>
          <x:t xml:space="preserve"/>
        </x:is>
      </x:c>
      <x:c r="D274" s="7" t="inlineStr">
        <x:is>
          <x:t xml:space="preserve"/>
        </x:is>
      </x:c>
      <x:c r="E274" s="6" t="inlineStr">
        <x:is>
          <x:t xml:space="preserve"/>
        </x:is>
      </x:c>
      <x:c r="F274" s="7" t="inlineStr">
        <x:is>
          <x:t xml:space="preserve"/>
        </x:is>
      </x:c>
      <x:c r="G274" s="8" t="inlineStr">
        <x:is>
          <x:t xml:space="preserve"/>
        </x:is>
      </x:c>
      <x:c r="H274" s="6" t="inlineStr">
        <x:is>
          <x:t xml:space="preserve"/>
        </x:is>
      </x:c>
      <x:c r="I274" s="8" t="inlineStr">
        <x:is>
          <x:t xml:space="preserve"/>
        </x:is>
      </x:c>
      <x:c r="J274" s="7" t="inlineStr">
        <x:is>
          <x:t xml:space="preserve"/>
        </x:is>
      </x:c>
      <x:c r="K274" s="7">
        <x:f>IF(G274="","", TODAY()-G274)</x:f>
      </x:c>
      <x:c r="L274" s="7">
        <x:f>IF(OR(I274="",J274="Closed"),"", IF(TODAY()&gt;I274,"Yes","No"))</x:f>
      </x:c>
      <x:c r="M274" s="7" t="inlineStr">
        <x:is>
          <x:t xml:space="preserve"/>
        </x:is>
      </x:c>
      <x:c r="N274" s="6" t="inlineStr">
        <x:is>
          <x:t xml:space="preserve"/>
        </x:is>
      </x:c>
    </x:row>
    <x:row r="275">
      <x:c r="A275" s="7">
        <x:f>IF(E275="","", "ISS-"&amp;TEXT(ROW()-1,"00000"))</x:f>
      </x:c>
      <x:c r="B275" s="7" t="inlineStr">
        <x:is>
          <x:t xml:space="preserve"/>
        </x:is>
      </x:c>
      <x:c r="C275" s="7" t="inlineStr">
        <x:is>
          <x:t xml:space="preserve"/>
        </x:is>
      </x:c>
      <x:c r="D275" s="7" t="inlineStr">
        <x:is>
          <x:t xml:space="preserve"/>
        </x:is>
      </x:c>
      <x:c r="E275" s="6" t="inlineStr">
        <x:is>
          <x:t xml:space="preserve"/>
        </x:is>
      </x:c>
      <x:c r="F275" s="7" t="inlineStr">
        <x:is>
          <x:t xml:space="preserve"/>
        </x:is>
      </x:c>
      <x:c r="G275" s="8" t="inlineStr">
        <x:is>
          <x:t xml:space="preserve"/>
        </x:is>
      </x:c>
      <x:c r="H275" s="6" t="inlineStr">
        <x:is>
          <x:t xml:space="preserve"/>
        </x:is>
      </x:c>
      <x:c r="I275" s="8" t="inlineStr">
        <x:is>
          <x:t xml:space="preserve"/>
        </x:is>
      </x:c>
      <x:c r="J275" s="7" t="inlineStr">
        <x:is>
          <x:t xml:space="preserve"/>
        </x:is>
      </x:c>
      <x:c r="K275" s="7">
        <x:f>IF(G275="","", TODAY()-G275)</x:f>
      </x:c>
      <x:c r="L275" s="7">
        <x:f>IF(OR(I275="",J275="Closed"),"", IF(TODAY()&gt;I275,"Yes","No"))</x:f>
      </x:c>
      <x:c r="M275" s="7" t="inlineStr">
        <x:is>
          <x:t xml:space="preserve"/>
        </x:is>
      </x:c>
      <x:c r="N275" s="6" t="inlineStr">
        <x:is>
          <x:t xml:space="preserve"/>
        </x:is>
      </x:c>
    </x:row>
    <x:row r="276">
      <x:c r="A276" s="7">
        <x:f>IF(E276="","", "ISS-"&amp;TEXT(ROW()-1,"00000"))</x:f>
      </x:c>
      <x:c r="B276" s="7" t="inlineStr">
        <x:is>
          <x:t xml:space="preserve"/>
        </x:is>
      </x:c>
      <x:c r="C276" s="7" t="inlineStr">
        <x:is>
          <x:t xml:space="preserve"/>
        </x:is>
      </x:c>
      <x:c r="D276" s="7" t="inlineStr">
        <x:is>
          <x:t xml:space="preserve"/>
        </x:is>
      </x:c>
      <x:c r="E276" s="6" t="inlineStr">
        <x:is>
          <x:t xml:space="preserve"/>
        </x:is>
      </x:c>
      <x:c r="F276" s="7" t="inlineStr">
        <x:is>
          <x:t xml:space="preserve"/>
        </x:is>
      </x:c>
      <x:c r="G276" s="8" t="inlineStr">
        <x:is>
          <x:t xml:space="preserve"/>
        </x:is>
      </x:c>
      <x:c r="H276" s="6" t="inlineStr">
        <x:is>
          <x:t xml:space="preserve"/>
        </x:is>
      </x:c>
      <x:c r="I276" s="8" t="inlineStr">
        <x:is>
          <x:t xml:space="preserve"/>
        </x:is>
      </x:c>
      <x:c r="J276" s="7" t="inlineStr">
        <x:is>
          <x:t xml:space="preserve"/>
        </x:is>
      </x:c>
      <x:c r="K276" s="7">
        <x:f>IF(G276="","", TODAY()-G276)</x:f>
      </x:c>
      <x:c r="L276" s="7">
        <x:f>IF(OR(I276="",J276="Closed"),"", IF(TODAY()&gt;I276,"Yes","No"))</x:f>
      </x:c>
      <x:c r="M276" s="7" t="inlineStr">
        <x:is>
          <x:t xml:space="preserve"/>
        </x:is>
      </x:c>
      <x:c r="N276" s="6" t="inlineStr">
        <x:is>
          <x:t xml:space="preserve"/>
        </x:is>
      </x:c>
    </x:row>
    <x:row r="277">
      <x:c r="A277" s="7">
        <x:f>IF(E277="","", "ISS-"&amp;TEXT(ROW()-1,"00000"))</x:f>
      </x:c>
      <x:c r="B277" s="7" t="inlineStr">
        <x:is>
          <x:t xml:space="preserve"/>
        </x:is>
      </x:c>
      <x:c r="C277" s="7" t="inlineStr">
        <x:is>
          <x:t xml:space="preserve"/>
        </x:is>
      </x:c>
      <x:c r="D277" s="7" t="inlineStr">
        <x:is>
          <x:t xml:space="preserve"/>
        </x:is>
      </x:c>
      <x:c r="E277" s="6" t="inlineStr">
        <x:is>
          <x:t xml:space="preserve"/>
        </x:is>
      </x:c>
      <x:c r="F277" s="7" t="inlineStr">
        <x:is>
          <x:t xml:space="preserve"/>
        </x:is>
      </x:c>
      <x:c r="G277" s="8" t="inlineStr">
        <x:is>
          <x:t xml:space="preserve"/>
        </x:is>
      </x:c>
      <x:c r="H277" s="6" t="inlineStr">
        <x:is>
          <x:t xml:space="preserve"/>
        </x:is>
      </x:c>
      <x:c r="I277" s="8" t="inlineStr">
        <x:is>
          <x:t xml:space="preserve"/>
        </x:is>
      </x:c>
      <x:c r="J277" s="7" t="inlineStr">
        <x:is>
          <x:t xml:space="preserve"/>
        </x:is>
      </x:c>
      <x:c r="K277" s="7">
        <x:f>IF(G277="","", TODAY()-G277)</x:f>
      </x:c>
      <x:c r="L277" s="7">
        <x:f>IF(OR(I277="",J277="Closed"),"", IF(TODAY()&gt;I277,"Yes","No"))</x:f>
      </x:c>
      <x:c r="M277" s="7" t="inlineStr">
        <x:is>
          <x:t xml:space="preserve"/>
        </x:is>
      </x:c>
      <x:c r="N277" s="6" t="inlineStr">
        <x:is>
          <x:t xml:space="preserve"/>
        </x:is>
      </x:c>
    </x:row>
    <x:row r="278">
      <x:c r="A278" s="7">
        <x:f>IF(E278="","", "ISS-"&amp;TEXT(ROW()-1,"00000"))</x:f>
      </x:c>
      <x:c r="B278" s="7" t="inlineStr">
        <x:is>
          <x:t xml:space="preserve"/>
        </x:is>
      </x:c>
      <x:c r="C278" s="7" t="inlineStr">
        <x:is>
          <x:t xml:space="preserve"/>
        </x:is>
      </x:c>
      <x:c r="D278" s="7" t="inlineStr">
        <x:is>
          <x:t xml:space="preserve"/>
        </x:is>
      </x:c>
      <x:c r="E278" s="6" t="inlineStr">
        <x:is>
          <x:t xml:space="preserve"/>
        </x:is>
      </x:c>
      <x:c r="F278" s="7" t="inlineStr">
        <x:is>
          <x:t xml:space="preserve"/>
        </x:is>
      </x:c>
      <x:c r="G278" s="8" t="inlineStr">
        <x:is>
          <x:t xml:space="preserve"/>
        </x:is>
      </x:c>
      <x:c r="H278" s="6" t="inlineStr">
        <x:is>
          <x:t xml:space="preserve"/>
        </x:is>
      </x:c>
      <x:c r="I278" s="8" t="inlineStr">
        <x:is>
          <x:t xml:space="preserve"/>
        </x:is>
      </x:c>
      <x:c r="J278" s="7" t="inlineStr">
        <x:is>
          <x:t xml:space="preserve"/>
        </x:is>
      </x:c>
      <x:c r="K278" s="7">
        <x:f>IF(G278="","", TODAY()-G278)</x:f>
      </x:c>
      <x:c r="L278" s="7">
        <x:f>IF(OR(I278="",J278="Closed"),"", IF(TODAY()&gt;I278,"Yes","No"))</x:f>
      </x:c>
      <x:c r="M278" s="7" t="inlineStr">
        <x:is>
          <x:t xml:space="preserve"/>
        </x:is>
      </x:c>
      <x:c r="N278" s="6" t="inlineStr">
        <x:is>
          <x:t xml:space="preserve"/>
        </x:is>
      </x:c>
    </x:row>
    <x:row r="279">
      <x:c r="A279" s="7">
        <x:f>IF(E279="","", "ISS-"&amp;TEXT(ROW()-1,"00000"))</x:f>
      </x:c>
      <x:c r="B279" s="7" t="inlineStr">
        <x:is>
          <x:t xml:space="preserve"/>
        </x:is>
      </x:c>
      <x:c r="C279" s="7" t="inlineStr">
        <x:is>
          <x:t xml:space="preserve"/>
        </x:is>
      </x:c>
      <x:c r="D279" s="7" t="inlineStr">
        <x:is>
          <x:t xml:space="preserve"/>
        </x:is>
      </x:c>
      <x:c r="E279" s="6" t="inlineStr">
        <x:is>
          <x:t xml:space="preserve"/>
        </x:is>
      </x:c>
      <x:c r="F279" s="7" t="inlineStr">
        <x:is>
          <x:t xml:space="preserve"/>
        </x:is>
      </x:c>
      <x:c r="G279" s="8" t="inlineStr">
        <x:is>
          <x:t xml:space="preserve"/>
        </x:is>
      </x:c>
      <x:c r="H279" s="6" t="inlineStr">
        <x:is>
          <x:t xml:space="preserve"/>
        </x:is>
      </x:c>
      <x:c r="I279" s="8" t="inlineStr">
        <x:is>
          <x:t xml:space="preserve"/>
        </x:is>
      </x:c>
      <x:c r="J279" s="7" t="inlineStr">
        <x:is>
          <x:t xml:space="preserve"/>
        </x:is>
      </x:c>
      <x:c r="K279" s="7">
        <x:f>IF(G279="","", TODAY()-G279)</x:f>
      </x:c>
      <x:c r="L279" s="7">
        <x:f>IF(OR(I279="",J279="Closed"),"", IF(TODAY()&gt;I279,"Yes","No"))</x:f>
      </x:c>
      <x:c r="M279" s="7" t="inlineStr">
        <x:is>
          <x:t xml:space="preserve"/>
        </x:is>
      </x:c>
      <x:c r="N279" s="6" t="inlineStr">
        <x:is>
          <x:t xml:space="preserve"/>
        </x:is>
      </x:c>
    </x:row>
    <x:row r="280">
      <x:c r="A280" s="7">
        <x:f>IF(E280="","", "ISS-"&amp;TEXT(ROW()-1,"00000"))</x:f>
      </x:c>
      <x:c r="B280" s="7" t="inlineStr">
        <x:is>
          <x:t xml:space="preserve"/>
        </x:is>
      </x:c>
      <x:c r="C280" s="7" t="inlineStr">
        <x:is>
          <x:t xml:space="preserve"/>
        </x:is>
      </x:c>
      <x:c r="D280" s="7" t="inlineStr">
        <x:is>
          <x:t xml:space="preserve"/>
        </x:is>
      </x:c>
      <x:c r="E280" s="6" t="inlineStr">
        <x:is>
          <x:t xml:space="preserve"/>
        </x:is>
      </x:c>
      <x:c r="F280" s="7" t="inlineStr">
        <x:is>
          <x:t xml:space="preserve"/>
        </x:is>
      </x:c>
      <x:c r="G280" s="8" t="inlineStr">
        <x:is>
          <x:t xml:space="preserve"/>
        </x:is>
      </x:c>
      <x:c r="H280" s="6" t="inlineStr">
        <x:is>
          <x:t xml:space="preserve"/>
        </x:is>
      </x:c>
      <x:c r="I280" s="8" t="inlineStr">
        <x:is>
          <x:t xml:space="preserve"/>
        </x:is>
      </x:c>
      <x:c r="J280" s="7" t="inlineStr">
        <x:is>
          <x:t xml:space="preserve"/>
        </x:is>
      </x:c>
      <x:c r="K280" s="7">
        <x:f>IF(G280="","", TODAY()-G280)</x:f>
      </x:c>
      <x:c r="L280" s="7">
        <x:f>IF(OR(I280="",J280="Closed"),"", IF(TODAY()&gt;I280,"Yes","No"))</x:f>
      </x:c>
      <x:c r="M280" s="7" t="inlineStr">
        <x:is>
          <x:t xml:space="preserve"/>
        </x:is>
      </x:c>
      <x:c r="N280" s="6" t="inlineStr">
        <x:is>
          <x:t xml:space="preserve"/>
        </x:is>
      </x:c>
    </x:row>
    <x:row r="281">
      <x:c r="A281" s="7">
        <x:f>IF(E281="","", "ISS-"&amp;TEXT(ROW()-1,"00000"))</x:f>
      </x:c>
      <x:c r="B281" s="7" t="inlineStr">
        <x:is>
          <x:t xml:space="preserve"/>
        </x:is>
      </x:c>
      <x:c r="C281" s="7" t="inlineStr">
        <x:is>
          <x:t xml:space="preserve"/>
        </x:is>
      </x:c>
      <x:c r="D281" s="7" t="inlineStr">
        <x:is>
          <x:t xml:space="preserve"/>
        </x:is>
      </x:c>
      <x:c r="E281" s="6" t="inlineStr">
        <x:is>
          <x:t xml:space="preserve"/>
        </x:is>
      </x:c>
      <x:c r="F281" s="7" t="inlineStr">
        <x:is>
          <x:t xml:space="preserve"/>
        </x:is>
      </x:c>
      <x:c r="G281" s="8" t="inlineStr">
        <x:is>
          <x:t xml:space="preserve"/>
        </x:is>
      </x:c>
      <x:c r="H281" s="6" t="inlineStr">
        <x:is>
          <x:t xml:space="preserve"/>
        </x:is>
      </x:c>
      <x:c r="I281" s="8" t="inlineStr">
        <x:is>
          <x:t xml:space="preserve"/>
        </x:is>
      </x:c>
      <x:c r="J281" s="7" t="inlineStr">
        <x:is>
          <x:t xml:space="preserve"/>
        </x:is>
      </x:c>
      <x:c r="K281" s="7">
        <x:f>IF(G281="","", TODAY()-G281)</x:f>
      </x:c>
      <x:c r="L281" s="7">
        <x:f>IF(OR(I281="",J281="Closed"),"", IF(TODAY()&gt;I281,"Yes","No"))</x:f>
      </x:c>
      <x:c r="M281" s="7" t="inlineStr">
        <x:is>
          <x:t xml:space="preserve"/>
        </x:is>
      </x:c>
      <x:c r="N281" s="6" t="inlineStr">
        <x:is>
          <x:t xml:space="preserve"/>
        </x:is>
      </x:c>
    </x:row>
    <x:row r="282">
      <x:c r="A282" s="7">
        <x:f>IF(E282="","", "ISS-"&amp;TEXT(ROW()-1,"00000"))</x:f>
      </x:c>
      <x:c r="B282" s="7" t="inlineStr">
        <x:is>
          <x:t xml:space="preserve"/>
        </x:is>
      </x:c>
      <x:c r="C282" s="7" t="inlineStr">
        <x:is>
          <x:t xml:space="preserve"/>
        </x:is>
      </x:c>
      <x:c r="D282" s="7" t="inlineStr">
        <x:is>
          <x:t xml:space="preserve"/>
        </x:is>
      </x:c>
      <x:c r="E282" s="6" t="inlineStr">
        <x:is>
          <x:t xml:space="preserve"/>
        </x:is>
      </x:c>
      <x:c r="F282" s="7" t="inlineStr">
        <x:is>
          <x:t xml:space="preserve"/>
        </x:is>
      </x:c>
      <x:c r="G282" s="8" t="inlineStr">
        <x:is>
          <x:t xml:space="preserve"/>
        </x:is>
      </x:c>
      <x:c r="H282" s="6" t="inlineStr">
        <x:is>
          <x:t xml:space="preserve"/>
        </x:is>
      </x:c>
      <x:c r="I282" s="8" t="inlineStr">
        <x:is>
          <x:t xml:space="preserve"/>
        </x:is>
      </x:c>
      <x:c r="J282" s="7" t="inlineStr">
        <x:is>
          <x:t xml:space="preserve"/>
        </x:is>
      </x:c>
      <x:c r="K282" s="7">
        <x:f>IF(G282="","", TODAY()-G282)</x:f>
      </x:c>
      <x:c r="L282" s="7">
        <x:f>IF(OR(I282="",J282="Closed"),"", IF(TODAY()&gt;I282,"Yes","No"))</x:f>
      </x:c>
      <x:c r="M282" s="7" t="inlineStr">
        <x:is>
          <x:t xml:space="preserve"/>
        </x:is>
      </x:c>
      <x:c r="N282" s="6" t="inlineStr">
        <x:is>
          <x:t xml:space="preserve"/>
        </x:is>
      </x:c>
    </x:row>
    <x:row r="283">
      <x:c r="A283" s="7">
        <x:f>IF(E283="","", "ISS-"&amp;TEXT(ROW()-1,"00000"))</x:f>
      </x:c>
      <x:c r="B283" s="7" t="inlineStr">
        <x:is>
          <x:t xml:space="preserve"/>
        </x:is>
      </x:c>
      <x:c r="C283" s="7" t="inlineStr">
        <x:is>
          <x:t xml:space="preserve"/>
        </x:is>
      </x:c>
      <x:c r="D283" s="7" t="inlineStr">
        <x:is>
          <x:t xml:space="preserve"/>
        </x:is>
      </x:c>
      <x:c r="E283" s="6" t="inlineStr">
        <x:is>
          <x:t xml:space="preserve"/>
        </x:is>
      </x:c>
      <x:c r="F283" s="7" t="inlineStr">
        <x:is>
          <x:t xml:space="preserve"/>
        </x:is>
      </x:c>
      <x:c r="G283" s="8" t="inlineStr">
        <x:is>
          <x:t xml:space="preserve"/>
        </x:is>
      </x:c>
      <x:c r="H283" s="6" t="inlineStr">
        <x:is>
          <x:t xml:space="preserve"/>
        </x:is>
      </x:c>
      <x:c r="I283" s="8" t="inlineStr">
        <x:is>
          <x:t xml:space="preserve"/>
        </x:is>
      </x:c>
      <x:c r="J283" s="7" t="inlineStr">
        <x:is>
          <x:t xml:space="preserve"/>
        </x:is>
      </x:c>
      <x:c r="K283" s="7">
        <x:f>IF(G283="","", TODAY()-G283)</x:f>
      </x:c>
      <x:c r="L283" s="7">
        <x:f>IF(OR(I283="",J283="Closed"),"", IF(TODAY()&gt;I283,"Yes","No"))</x:f>
      </x:c>
      <x:c r="M283" s="7" t="inlineStr">
        <x:is>
          <x:t xml:space="preserve"/>
        </x:is>
      </x:c>
      <x:c r="N283" s="6" t="inlineStr">
        <x:is>
          <x:t xml:space="preserve"/>
        </x:is>
      </x:c>
    </x:row>
    <x:row r="284">
      <x:c r="A284" s="7">
        <x:f>IF(E284="","", "ISS-"&amp;TEXT(ROW()-1,"00000"))</x:f>
      </x:c>
      <x:c r="B284" s="7" t="inlineStr">
        <x:is>
          <x:t xml:space="preserve"/>
        </x:is>
      </x:c>
      <x:c r="C284" s="7" t="inlineStr">
        <x:is>
          <x:t xml:space="preserve"/>
        </x:is>
      </x:c>
      <x:c r="D284" s="7" t="inlineStr">
        <x:is>
          <x:t xml:space="preserve"/>
        </x:is>
      </x:c>
      <x:c r="E284" s="6" t="inlineStr">
        <x:is>
          <x:t xml:space="preserve"/>
        </x:is>
      </x:c>
      <x:c r="F284" s="7" t="inlineStr">
        <x:is>
          <x:t xml:space="preserve"/>
        </x:is>
      </x:c>
      <x:c r="G284" s="8" t="inlineStr">
        <x:is>
          <x:t xml:space="preserve"/>
        </x:is>
      </x:c>
      <x:c r="H284" s="6" t="inlineStr">
        <x:is>
          <x:t xml:space="preserve"/>
        </x:is>
      </x:c>
      <x:c r="I284" s="8" t="inlineStr">
        <x:is>
          <x:t xml:space="preserve"/>
        </x:is>
      </x:c>
      <x:c r="J284" s="7" t="inlineStr">
        <x:is>
          <x:t xml:space="preserve"/>
        </x:is>
      </x:c>
      <x:c r="K284" s="7">
        <x:f>IF(G284="","", TODAY()-G284)</x:f>
      </x:c>
      <x:c r="L284" s="7">
        <x:f>IF(OR(I284="",J284="Closed"),"", IF(TODAY()&gt;I284,"Yes","No"))</x:f>
      </x:c>
      <x:c r="M284" s="7" t="inlineStr">
        <x:is>
          <x:t xml:space="preserve"/>
        </x:is>
      </x:c>
      <x:c r="N284" s="6" t="inlineStr">
        <x:is>
          <x:t xml:space="preserve"/>
        </x:is>
      </x:c>
    </x:row>
    <x:row r="285">
      <x:c r="A285" s="7">
        <x:f>IF(E285="","", "ISS-"&amp;TEXT(ROW()-1,"00000"))</x:f>
      </x:c>
      <x:c r="B285" s="7" t="inlineStr">
        <x:is>
          <x:t xml:space="preserve"/>
        </x:is>
      </x:c>
      <x:c r="C285" s="7" t="inlineStr">
        <x:is>
          <x:t xml:space="preserve"/>
        </x:is>
      </x:c>
      <x:c r="D285" s="7" t="inlineStr">
        <x:is>
          <x:t xml:space="preserve"/>
        </x:is>
      </x:c>
      <x:c r="E285" s="6" t="inlineStr">
        <x:is>
          <x:t xml:space="preserve"/>
        </x:is>
      </x:c>
      <x:c r="F285" s="7" t="inlineStr">
        <x:is>
          <x:t xml:space="preserve"/>
        </x:is>
      </x:c>
      <x:c r="G285" s="8" t="inlineStr">
        <x:is>
          <x:t xml:space="preserve"/>
        </x:is>
      </x:c>
      <x:c r="H285" s="6" t="inlineStr">
        <x:is>
          <x:t xml:space="preserve"/>
        </x:is>
      </x:c>
      <x:c r="I285" s="8" t="inlineStr">
        <x:is>
          <x:t xml:space="preserve"/>
        </x:is>
      </x:c>
      <x:c r="J285" s="7" t="inlineStr">
        <x:is>
          <x:t xml:space="preserve"/>
        </x:is>
      </x:c>
      <x:c r="K285" s="7">
        <x:f>IF(G285="","", TODAY()-G285)</x:f>
      </x:c>
      <x:c r="L285" s="7">
        <x:f>IF(OR(I285="",J285="Closed"),"", IF(TODAY()&gt;I285,"Yes","No"))</x:f>
      </x:c>
      <x:c r="M285" s="7" t="inlineStr">
        <x:is>
          <x:t xml:space="preserve"/>
        </x:is>
      </x:c>
      <x:c r="N285" s="6" t="inlineStr">
        <x:is>
          <x:t xml:space="preserve"/>
        </x:is>
      </x:c>
    </x:row>
    <x:row r="286">
      <x:c r="A286" s="7">
        <x:f>IF(E286="","", "ISS-"&amp;TEXT(ROW()-1,"00000"))</x:f>
      </x:c>
      <x:c r="B286" s="7" t="inlineStr">
        <x:is>
          <x:t xml:space="preserve"/>
        </x:is>
      </x:c>
      <x:c r="C286" s="7" t="inlineStr">
        <x:is>
          <x:t xml:space="preserve"/>
        </x:is>
      </x:c>
      <x:c r="D286" s="7" t="inlineStr">
        <x:is>
          <x:t xml:space="preserve"/>
        </x:is>
      </x:c>
      <x:c r="E286" s="6" t="inlineStr">
        <x:is>
          <x:t xml:space="preserve"/>
        </x:is>
      </x:c>
      <x:c r="F286" s="7" t="inlineStr">
        <x:is>
          <x:t xml:space="preserve"/>
        </x:is>
      </x:c>
      <x:c r="G286" s="8" t="inlineStr">
        <x:is>
          <x:t xml:space="preserve"/>
        </x:is>
      </x:c>
      <x:c r="H286" s="6" t="inlineStr">
        <x:is>
          <x:t xml:space="preserve"/>
        </x:is>
      </x:c>
      <x:c r="I286" s="8" t="inlineStr">
        <x:is>
          <x:t xml:space="preserve"/>
        </x:is>
      </x:c>
      <x:c r="J286" s="7" t="inlineStr">
        <x:is>
          <x:t xml:space="preserve"/>
        </x:is>
      </x:c>
      <x:c r="K286" s="7">
        <x:f>IF(G286="","", TODAY()-G286)</x:f>
      </x:c>
      <x:c r="L286" s="7">
        <x:f>IF(OR(I286="",J286="Closed"),"", IF(TODAY()&gt;I286,"Yes","No"))</x:f>
      </x:c>
      <x:c r="M286" s="7" t="inlineStr">
        <x:is>
          <x:t xml:space="preserve"/>
        </x:is>
      </x:c>
      <x:c r="N286" s="6" t="inlineStr">
        <x:is>
          <x:t xml:space="preserve"/>
        </x:is>
      </x:c>
    </x:row>
    <x:row r="287">
      <x:c r="A287" s="7">
        <x:f>IF(E287="","", "ISS-"&amp;TEXT(ROW()-1,"00000"))</x:f>
      </x:c>
      <x:c r="B287" s="7" t="inlineStr">
        <x:is>
          <x:t xml:space="preserve"/>
        </x:is>
      </x:c>
      <x:c r="C287" s="7" t="inlineStr">
        <x:is>
          <x:t xml:space="preserve"/>
        </x:is>
      </x:c>
      <x:c r="D287" s="7" t="inlineStr">
        <x:is>
          <x:t xml:space="preserve"/>
        </x:is>
      </x:c>
      <x:c r="E287" s="6" t="inlineStr">
        <x:is>
          <x:t xml:space="preserve"/>
        </x:is>
      </x:c>
      <x:c r="F287" s="7" t="inlineStr">
        <x:is>
          <x:t xml:space="preserve"/>
        </x:is>
      </x:c>
      <x:c r="G287" s="8" t="inlineStr">
        <x:is>
          <x:t xml:space="preserve"/>
        </x:is>
      </x:c>
      <x:c r="H287" s="6" t="inlineStr">
        <x:is>
          <x:t xml:space="preserve"/>
        </x:is>
      </x:c>
      <x:c r="I287" s="8" t="inlineStr">
        <x:is>
          <x:t xml:space="preserve"/>
        </x:is>
      </x:c>
      <x:c r="J287" s="7" t="inlineStr">
        <x:is>
          <x:t xml:space="preserve"/>
        </x:is>
      </x:c>
      <x:c r="K287" s="7">
        <x:f>IF(G287="","", TODAY()-G287)</x:f>
      </x:c>
      <x:c r="L287" s="7">
        <x:f>IF(OR(I287="",J287="Closed"),"", IF(TODAY()&gt;I287,"Yes","No"))</x:f>
      </x:c>
      <x:c r="M287" s="7" t="inlineStr">
        <x:is>
          <x:t xml:space="preserve"/>
        </x:is>
      </x:c>
      <x:c r="N287" s="6" t="inlineStr">
        <x:is>
          <x:t xml:space="preserve"/>
        </x:is>
      </x:c>
    </x:row>
    <x:row r="288">
      <x:c r="A288" s="7">
        <x:f>IF(E288="","", "ISS-"&amp;TEXT(ROW()-1,"00000"))</x:f>
      </x:c>
      <x:c r="B288" s="7" t="inlineStr">
        <x:is>
          <x:t xml:space="preserve"/>
        </x:is>
      </x:c>
      <x:c r="C288" s="7" t="inlineStr">
        <x:is>
          <x:t xml:space="preserve"/>
        </x:is>
      </x:c>
      <x:c r="D288" s="7" t="inlineStr">
        <x:is>
          <x:t xml:space="preserve"/>
        </x:is>
      </x:c>
      <x:c r="E288" s="6" t="inlineStr">
        <x:is>
          <x:t xml:space="preserve"/>
        </x:is>
      </x:c>
      <x:c r="F288" s="7" t="inlineStr">
        <x:is>
          <x:t xml:space="preserve"/>
        </x:is>
      </x:c>
      <x:c r="G288" s="8" t="inlineStr">
        <x:is>
          <x:t xml:space="preserve"/>
        </x:is>
      </x:c>
      <x:c r="H288" s="6" t="inlineStr">
        <x:is>
          <x:t xml:space="preserve"/>
        </x:is>
      </x:c>
      <x:c r="I288" s="8" t="inlineStr">
        <x:is>
          <x:t xml:space="preserve"/>
        </x:is>
      </x:c>
      <x:c r="J288" s="7" t="inlineStr">
        <x:is>
          <x:t xml:space="preserve"/>
        </x:is>
      </x:c>
      <x:c r="K288" s="7">
        <x:f>IF(G288="","", TODAY()-G288)</x:f>
      </x:c>
      <x:c r="L288" s="7">
        <x:f>IF(OR(I288="",J288="Closed"),"", IF(TODAY()&gt;I288,"Yes","No"))</x:f>
      </x:c>
      <x:c r="M288" s="7" t="inlineStr">
        <x:is>
          <x:t xml:space="preserve"/>
        </x:is>
      </x:c>
      <x:c r="N288" s="6" t="inlineStr">
        <x:is>
          <x:t xml:space="preserve"/>
        </x:is>
      </x:c>
    </x:row>
    <x:row r="289">
      <x:c r="A289" s="7">
        <x:f>IF(E289="","", "ISS-"&amp;TEXT(ROW()-1,"00000"))</x:f>
      </x:c>
      <x:c r="B289" s="7" t="inlineStr">
        <x:is>
          <x:t xml:space="preserve"/>
        </x:is>
      </x:c>
      <x:c r="C289" s="7" t="inlineStr">
        <x:is>
          <x:t xml:space="preserve"/>
        </x:is>
      </x:c>
      <x:c r="D289" s="7" t="inlineStr">
        <x:is>
          <x:t xml:space="preserve"/>
        </x:is>
      </x:c>
      <x:c r="E289" s="6" t="inlineStr">
        <x:is>
          <x:t xml:space="preserve"/>
        </x:is>
      </x:c>
      <x:c r="F289" s="7" t="inlineStr">
        <x:is>
          <x:t xml:space="preserve"/>
        </x:is>
      </x:c>
      <x:c r="G289" s="8" t="inlineStr">
        <x:is>
          <x:t xml:space="preserve"/>
        </x:is>
      </x:c>
      <x:c r="H289" s="6" t="inlineStr">
        <x:is>
          <x:t xml:space="preserve"/>
        </x:is>
      </x:c>
      <x:c r="I289" s="8" t="inlineStr">
        <x:is>
          <x:t xml:space="preserve"/>
        </x:is>
      </x:c>
      <x:c r="J289" s="7" t="inlineStr">
        <x:is>
          <x:t xml:space="preserve"/>
        </x:is>
      </x:c>
      <x:c r="K289" s="7">
        <x:f>IF(G289="","", TODAY()-G289)</x:f>
      </x:c>
      <x:c r="L289" s="7">
        <x:f>IF(OR(I289="",J289="Closed"),"", IF(TODAY()&gt;I289,"Yes","No"))</x:f>
      </x:c>
      <x:c r="M289" s="7" t="inlineStr">
        <x:is>
          <x:t xml:space="preserve"/>
        </x:is>
      </x:c>
      <x:c r="N289" s="6" t="inlineStr">
        <x:is>
          <x:t xml:space="preserve"/>
        </x:is>
      </x:c>
    </x:row>
    <x:row r="290">
      <x:c r="A290" s="7">
        <x:f>IF(E290="","", "ISS-"&amp;TEXT(ROW()-1,"00000"))</x:f>
      </x:c>
      <x:c r="B290" s="7" t="inlineStr">
        <x:is>
          <x:t xml:space="preserve"/>
        </x:is>
      </x:c>
      <x:c r="C290" s="7" t="inlineStr">
        <x:is>
          <x:t xml:space="preserve"/>
        </x:is>
      </x:c>
      <x:c r="D290" s="7" t="inlineStr">
        <x:is>
          <x:t xml:space="preserve"/>
        </x:is>
      </x:c>
      <x:c r="E290" s="6" t="inlineStr">
        <x:is>
          <x:t xml:space="preserve"/>
        </x:is>
      </x:c>
      <x:c r="F290" s="7" t="inlineStr">
        <x:is>
          <x:t xml:space="preserve"/>
        </x:is>
      </x:c>
      <x:c r="G290" s="8" t="inlineStr">
        <x:is>
          <x:t xml:space="preserve"/>
        </x:is>
      </x:c>
      <x:c r="H290" s="6" t="inlineStr">
        <x:is>
          <x:t xml:space="preserve"/>
        </x:is>
      </x:c>
      <x:c r="I290" s="8" t="inlineStr">
        <x:is>
          <x:t xml:space="preserve"/>
        </x:is>
      </x:c>
      <x:c r="J290" s="7" t="inlineStr">
        <x:is>
          <x:t xml:space="preserve"/>
        </x:is>
      </x:c>
      <x:c r="K290" s="7">
        <x:f>IF(G290="","", TODAY()-G290)</x:f>
      </x:c>
      <x:c r="L290" s="7">
        <x:f>IF(OR(I290="",J290="Closed"),"", IF(TODAY()&gt;I290,"Yes","No"))</x:f>
      </x:c>
      <x:c r="M290" s="7" t="inlineStr">
        <x:is>
          <x:t xml:space="preserve"/>
        </x:is>
      </x:c>
      <x:c r="N290" s="6" t="inlineStr">
        <x:is>
          <x:t xml:space="preserve"/>
        </x:is>
      </x:c>
    </x:row>
    <x:row r="291">
      <x:c r="A291" s="7">
        <x:f>IF(E291="","", "ISS-"&amp;TEXT(ROW()-1,"00000"))</x:f>
      </x:c>
      <x:c r="B291" s="7" t="inlineStr">
        <x:is>
          <x:t xml:space="preserve"/>
        </x:is>
      </x:c>
      <x:c r="C291" s="7" t="inlineStr">
        <x:is>
          <x:t xml:space="preserve"/>
        </x:is>
      </x:c>
      <x:c r="D291" s="7" t="inlineStr">
        <x:is>
          <x:t xml:space="preserve"/>
        </x:is>
      </x:c>
      <x:c r="E291" s="6" t="inlineStr">
        <x:is>
          <x:t xml:space="preserve"/>
        </x:is>
      </x:c>
      <x:c r="F291" s="7" t="inlineStr">
        <x:is>
          <x:t xml:space="preserve"/>
        </x:is>
      </x:c>
      <x:c r="G291" s="8" t="inlineStr">
        <x:is>
          <x:t xml:space="preserve"/>
        </x:is>
      </x:c>
      <x:c r="H291" s="6" t="inlineStr">
        <x:is>
          <x:t xml:space="preserve"/>
        </x:is>
      </x:c>
      <x:c r="I291" s="8" t="inlineStr">
        <x:is>
          <x:t xml:space="preserve"/>
        </x:is>
      </x:c>
      <x:c r="J291" s="7" t="inlineStr">
        <x:is>
          <x:t xml:space="preserve"/>
        </x:is>
      </x:c>
      <x:c r="K291" s="7">
        <x:f>IF(G291="","", TODAY()-G291)</x:f>
      </x:c>
      <x:c r="L291" s="7">
        <x:f>IF(OR(I291="",J291="Closed"),"", IF(TODAY()&gt;I291,"Yes","No"))</x:f>
      </x:c>
      <x:c r="M291" s="7" t="inlineStr">
        <x:is>
          <x:t xml:space="preserve"/>
        </x:is>
      </x:c>
      <x:c r="N291" s="6" t="inlineStr">
        <x:is>
          <x:t xml:space="preserve"/>
        </x:is>
      </x:c>
    </x:row>
    <x:row r="292">
      <x:c r="A292" s="7">
        <x:f>IF(E292="","", "ISS-"&amp;TEXT(ROW()-1,"00000"))</x:f>
      </x:c>
      <x:c r="B292" s="7" t="inlineStr">
        <x:is>
          <x:t xml:space="preserve"/>
        </x:is>
      </x:c>
      <x:c r="C292" s="7" t="inlineStr">
        <x:is>
          <x:t xml:space="preserve"/>
        </x:is>
      </x:c>
      <x:c r="D292" s="7" t="inlineStr">
        <x:is>
          <x:t xml:space="preserve"/>
        </x:is>
      </x:c>
      <x:c r="E292" s="6" t="inlineStr">
        <x:is>
          <x:t xml:space="preserve"/>
        </x:is>
      </x:c>
      <x:c r="F292" s="7" t="inlineStr">
        <x:is>
          <x:t xml:space="preserve"/>
        </x:is>
      </x:c>
      <x:c r="G292" s="8" t="inlineStr">
        <x:is>
          <x:t xml:space="preserve"/>
        </x:is>
      </x:c>
      <x:c r="H292" s="6" t="inlineStr">
        <x:is>
          <x:t xml:space="preserve"/>
        </x:is>
      </x:c>
      <x:c r="I292" s="8" t="inlineStr">
        <x:is>
          <x:t xml:space="preserve"/>
        </x:is>
      </x:c>
      <x:c r="J292" s="7" t="inlineStr">
        <x:is>
          <x:t xml:space="preserve"/>
        </x:is>
      </x:c>
      <x:c r="K292" s="7">
        <x:f>IF(G292="","", TODAY()-G292)</x:f>
      </x:c>
      <x:c r="L292" s="7">
        <x:f>IF(OR(I292="",J292="Closed"),"", IF(TODAY()&gt;I292,"Yes","No"))</x:f>
      </x:c>
      <x:c r="M292" s="7" t="inlineStr">
        <x:is>
          <x:t xml:space="preserve"/>
        </x:is>
      </x:c>
      <x:c r="N292" s="6" t="inlineStr">
        <x:is>
          <x:t xml:space="preserve"/>
        </x:is>
      </x:c>
    </x:row>
    <x:row r="293">
      <x:c r="A293" s="7">
        <x:f>IF(E293="","", "ISS-"&amp;TEXT(ROW()-1,"00000"))</x:f>
      </x:c>
      <x:c r="B293" s="7" t="inlineStr">
        <x:is>
          <x:t xml:space="preserve"/>
        </x:is>
      </x:c>
      <x:c r="C293" s="7" t="inlineStr">
        <x:is>
          <x:t xml:space="preserve"/>
        </x:is>
      </x:c>
      <x:c r="D293" s="7" t="inlineStr">
        <x:is>
          <x:t xml:space="preserve"/>
        </x:is>
      </x:c>
      <x:c r="E293" s="6" t="inlineStr">
        <x:is>
          <x:t xml:space="preserve"/>
        </x:is>
      </x:c>
      <x:c r="F293" s="7" t="inlineStr">
        <x:is>
          <x:t xml:space="preserve"/>
        </x:is>
      </x:c>
      <x:c r="G293" s="8" t="inlineStr">
        <x:is>
          <x:t xml:space="preserve"/>
        </x:is>
      </x:c>
      <x:c r="H293" s="6" t="inlineStr">
        <x:is>
          <x:t xml:space="preserve"/>
        </x:is>
      </x:c>
      <x:c r="I293" s="8" t="inlineStr">
        <x:is>
          <x:t xml:space="preserve"/>
        </x:is>
      </x:c>
      <x:c r="J293" s="7" t="inlineStr">
        <x:is>
          <x:t xml:space="preserve"/>
        </x:is>
      </x:c>
      <x:c r="K293" s="7">
        <x:f>IF(G293="","", TODAY()-G293)</x:f>
      </x:c>
      <x:c r="L293" s="7">
        <x:f>IF(OR(I293="",J293="Closed"),"", IF(TODAY()&gt;I293,"Yes","No"))</x:f>
      </x:c>
      <x:c r="M293" s="7" t="inlineStr">
        <x:is>
          <x:t xml:space="preserve"/>
        </x:is>
      </x:c>
      <x:c r="N293" s="6" t="inlineStr">
        <x:is>
          <x:t xml:space="preserve"/>
        </x:is>
      </x:c>
    </x:row>
    <x:row r="294">
      <x:c r="A294" s="7">
        <x:f>IF(E294="","", "ISS-"&amp;TEXT(ROW()-1,"00000"))</x:f>
      </x:c>
      <x:c r="B294" s="7" t="inlineStr">
        <x:is>
          <x:t xml:space="preserve"/>
        </x:is>
      </x:c>
      <x:c r="C294" s="7" t="inlineStr">
        <x:is>
          <x:t xml:space="preserve"/>
        </x:is>
      </x:c>
      <x:c r="D294" s="7" t="inlineStr">
        <x:is>
          <x:t xml:space="preserve"/>
        </x:is>
      </x:c>
      <x:c r="E294" s="6" t="inlineStr">
        <x:is>
          <x:t xml:space="preserve"/>
        </x:is>
      </x:c>
      <x:c r="F294" s="7" t="inlineStr">
        <x:is>
          <x:t xml:space="preserve"/>
        </x:is>
      </x:c>
      <x:c r="G294" s="8" t="inlineStr">
        <x:is>
          <x:t xml:space="preserve"/>
        </x:is>
      </x:c>
      <x:c r="H294" s="6" t="inlineStr">
        <x:is>
          <x:t xml:space="preserve"/>
        </x:is>
      </x:c>
      <x:c r="I294" s="8" t="inlineStr">
        <x:is>
          <x:t xml:space="preserve"/>
        </x:is>
      </x:c>
      <x:c r="J294" s="7" t="inlineStr">
        <x:is>
          <x:t xml:space="preserve"/>
        </x:is>
      </x:c>
      <x:c r="K294" s="7">
        <x:f>IF(G294="","", TODAY()-G294)</x:f>
      </x:c>
      <x:c r="L294" s="7">
        <x:f>IF(OR(I294="",J294="Closed"),"", IF(TODAY()&gt;I294,"Yes","No"))</x:f>
      </x:c>
      <x:c r="M294" s="7" t="inlineStr">
        <x:is>
          <x:t xml:space="preserve"/>
        </x:is>
      </x:c>
      <x:c r="N294" s="6" t="inlineStr">
        <x:is>
          <x:t xml:space="preserve"/>
        </x:is>
      </x:c>
    </x:row>
    <x:row r="295">
      <x:c r="A295" s="7">
        <x:f>IF(E295="","", "ISS-"&amp;TEXT(ROW()-1,"00000"))</x:f>
      </x:c>
      <x:c r="B295" s="7" t="inlineStr">
        <x:is>
          <x:t xml:space="preserve"/>
        </x:is>
      </x:c>
      <x:c r="C295" s="7" t="inlineStr">
        <x:is>
          <x:t xml:space="preserve"/>
        </x:is>
      </x:c>
      <x:c r="D295" s="7" t="inlineStr">
        <x:is>
          <x:t xml:space="preserve"/>
        </x:is>
      </x:c>
      <x:c r="E295" s="6" t="inlineStr">
        <x:is>
          <x:t xml:space="preserve"/>
        </x:is>
      </x:c>
      <x:c r="F295" s="7" t="inlineStr">
        <x:is>
          <x:t xml:space="preserve"/>
        </x:is>
      </x:c>
      <x:c r="G295" s="8" t="inlineStr">
        <x:is>
          <x:t xml:space="preserve"/>
        </x:is>
      </x:c>
      <x:c r="H295" s="6" t="inlineStr">
        <x:is>
          <x:t xml:space="preserve"/>
        </x:is>
      </x:c>
      <x:c r="I295" s="8" t="inlineStr">
        <x:is>
          <x:t xml:space="preserve"/>
        </x:is>
      </x:c>
      <x:c r="J295" s="7" t="inlineStr">
        <x:is>
          <x:t xml:space="preserve"/>
        </x:is>
      </x:c>
      <x:c r="K295" s="7">
        <x:f>IF(G295="","", TODAY()-G295)</x:f>
      </x:c>
      <x:c r="L295" s="7">
        <x:f>IF(OR(I295="",J295="Closed"),"", IF(TODAY()&gt;I295,"Yes","No"))</x:f>
      </x:c>
      <x:c r="M295" s="7" t="inlineStr">
        <x:is>
          <x:t xml:space="preserve"/>
        </x:is>
      </x:c>
      <x:c r="N295" s="6" t="inlineStr">
        <x:is>
          <x:t xml:space="preserve"/>
        </x:is>
      </x:c>
    </x:row>
    <x:row r="296">
      <x:c r="A296" s="7">
        <x:f>IF(E296="","", "ISS-"&amp;TEXT(ROW()-1,"00000"))</x:f>
      </x:c>
      <x:c r="B296" s="7" t="inlineStr">
        <x:is>
          <x:t xml:space="preserve"/>
        </x:is>
      </x:c>
      <x:c r="C296" s="7" t="inlineStr">
        <x:is>
          <x:t xml:space="preserve"/>
        </x:is>
      </x:c>
      <x:c r="D296" s="7" t="inlineStr">
        <x:is>
          <x:t xml:space="preserve"/>
        </x:is>
      </x:c>
      <x:c r="E296" s="6" t="inlineStr">
        <x:is>
          <x:t xml:space="preserve"/>
        </x:is>
      </x:c>
      <x:c r="F296" s="7" t="inlineStr">
        <x:is>
          <x:t xml:space="preserve"/>
        </x:is>
      </x:c>
      <x:c r="G296" s="8" t="inlineStr">
        <x:is>
          <x:t xml:space="preserve"/>
        </x:is>
      </x:c>
      <x:c r="H296" s="6" t="inlineStr">
        <x:is>
          <x:t xml:space="preserve"/>
        </x:is>
      </x:c>
      <x:c r="I296" s="8" t="inlineStr">
        <x:is>
          <x:t xml:space="preserve"/>
        </x:is>
      </x:c>
      <x:c r="J296" s="7" t="inlineStr">
        <x:is>
          <x:t xml:space="preserve"/>
        </x:is>
      </x:c>
      <x:c r="K296" s="7">
        <x:f>IF(G296="","", TODAY()-G296)</x:f>
      </x:c>
      <x:c r="L296" s="7">
        <x:f>IF(OR(I296="",J296="Closed"),"", IF(TODAY()&gt;I296,"Yes","No"))</x:f>
      </x:c>
      <x:c r="M296" s="7" t="inlineStr">
        <x:is>
          <x:t xml:space="preserve"/>
        </x:is>
      </x:c>
      <x:c r="N296" s="6" t="inlineStr">
        <x:is>
          <x:t xml:space="preserve"/>
        </x:is>
      </x:c>
    </x:row>
    <x:row r="297">
      <x:c r="A297" s="7">
        <x:f>IF(E297="","", "ISS-"&amp;TEXT(ROW()-1,"00000"))</x:f>
      </x:c>
      <x:c r="B297" s="7" t="inlineStr">
        <x:is>
          <x:t xml:space="preserve"/>
        </x:is>
      </x:c>
      <x:c r="C297" s="7" t="inlineStr">
        <x:is>
          <x:t xml:space="preserve"/>
        </x:is>
      </x:c>
      <x:c r="D297" s="7" t="inlineStr">
        <x:is>
          <x:t xml:space="preserve"/>
        </x:is>
      </x:c>
      <x:c r="E297" s="6" t="inlineStr">
        <x:is>
          <x:t xml:space="preserve"/>
        </x:is>
      </x:c>
      <x:c r="F297" s="7" t="inlineStr">
        <x:is>
          <x:t xml:space="preserve"/>
        </x:is>
      </x:c>
      <x:c r="G297" s="8" t="inlineStr">
        <x:is>
          <x:t xml:space="preserve"/>
        </x:is>
      </x:c>
      <x:c r="H297" s="6" t="inlineStr">
        <x:is>
          <x:t xml:space="preserve"/>
        </x:is>
      </x:c>
      <x:c r="I297" s="8" t="inlineStr">
        <x:is>
          <x:t xml:space="preserve"/>
        </x:is>
      </x:c>
      <x:c r="J297" s="7" t="inlineStr">
        <x:is>
          <x:t xml:space="preserve"/>
        </x:is>
      </x:c>
      <x:c r="K297" s="7">
        <x:f>IF(G297="","", TODAY()-G297)</x:f>
      </x:c>
      <x:c r="L297" s="7">
        <x:f>IF(OR(I297="",J297="Closed"),"", IF(TODAY()&gt;I297,"Yes","No"))</x:f>
      </x:c>
      <x:c r="M297" s="7" t="inlineStr">
        <x:is>
          <x:t xml:space="preserve"/>
        </x:is>
      </x:c>
      <x:c r="N297" s="6" t="inlineStr">
        <x:is>
          <x:t xml:space="preserve"/>
        </x:is>
      </x:c>
    </x:row>
    <x:row r="298">
      <x:c r="A298" s="7">
        <x:f>IF(E298="","", "ISS-"&amp;TEXT(ROW()-1,"00000"))</x:f>
      </x:c>
      <x:c r="B298" s="7" t="inlineStr">
        <x:is>
          <x:t xml:space="preserve"/>
        </x:is>
      </x:c>
      <x:c r="C298" s="7" t="inlineStr">
        <x:is>
          <x:t xml:space="preserve"/>
        </x:is>
      </x:c>
      <x:c r="D298" s="7" t="inlineStr">
        <x:is>
          <x:t xml:space="preserve"/>
        </x:is>
      </x:c>
      <x:c r="E298" s="6" t="inlineStr">
        <x:is>
          <x:t xml:space="preserve"/>
        </x:is>
      </x:c>
      <x:c r="F298" s="7" t="inlineStr">
        <x:is>
          <x:t xml:space="preserve"/>
        </x:is>
      </x:c>
      <x:c r="G298" s="8" t="inlineStr">
        <x:is>
          <x:t xml:space="preserve"/>
        </x:is>
      </x:c>
      <x:c r="H298" s="6" t="inlineStr">
        <x:is>
          <x:t xml:space="preserve"/>
        </x:is>
      </x:c>
      <x:c r="I298" s="8" t="inlineStr">
        <x:is>
          <x:t xml:space="preserve"/>
        </x:is>
      </x:c>
      <x:c r="J298" s="7" t="inlineStr">
        <x:is>
          <x:t xml:space="preserve"/>
        </x:is>
      </x:c>
      <x:c r="K298" s="7">
        <x:f>IF(G298="","", TODAY()-G298)</x:f>
      </x:c>
      <x:c r="L298" s="7">
        <x:f>IF(OR(I298="",J298="Closed"),"", IF(TODAY()&gt;I298,"Yes","No"))</x:f>
      </x:c>
      <x:c r="M298" s="7" t="inlineStr">
        <x:is>
          <x:t xml:space="preserve"/>
        </x:is>
      </x:c>
      <x:c r="N298" s="6" t="inlineStr">
        <x:is>
          <x:t xml:space="preserve"/>
        </x:is>
      </x:c>
    </x:row>
    <x:row r="299">
      <x:c r="A299" s="7">
        <x:f>IF(E299="","", "ISS-"&amp;TEXT(ROW()-1,"00000"))</x:f>
      </x:c>
      <x:c r="B299" s="7" t="inlineStr">
        <x:is>
          <x:t xml:space="preserve"/>
        </x:is>
      </x:c>
      <x:c r="C299" s="7" t="inlineStr">
        <x:is>
          <x:t xml:space="preserve"/>
        </x:is>
      </x:c>
      <x:c r="D299" s="7" t="inlineStr">
        <x:is>
          <x:t xml:space="preserve"/>
        </x:is>
      </x:c>
      <x:c r="E299" s="6" t="inlineStr">
        <x:is>
          <x:t xml:space="preserve"/>
        </x:is>
      </x:c>
      <x:c r="F299" s="7" t="inlineStr">
        <x:is>
          <x:t xml:space="preserve"/>
        </x:is>
      </x:c>
      <x:c r="G299" s="8" t="inlineStr">
        <x:is>
          <x:t xml:space="preserve"/>
        </x:is>
      </x:c>
      <x:c r="H299" s="6" t="inlineStr">
        <x:is>
          <x:t xml:space="preserve"/>
        </x:is>
      </x:c>
      <x:c r="I299" s="8" t="inlineStr">
        <x:is>
          <x:t xml:space="preserve"/>
        </x:is>
      </x:c>
      <x:c r="J299" s="7" t="inlineStr">
        <x:is>
          <x:t xml:space="preserve"/>
        </x:is>
      </x:c>
      <x:c r="K299" s="7">
        <x:f>IF(G299="","", TODAY()-G299)</x:f>
      </x:c>
      <x:c r="L299" s="7">
        <x:f>IF(OR(I299="",J299="Closed"),"", IF(TODAY()&gt;I299,"Yes","No"))</x:f>
      </x:c>
      <x:c r="M299" s="7" t="inlineStr">
        <x:is>
          <x:t xml:space="preserve"/>
        </x:is>
      </x:c>
      <x:c r="N299" s="6" t="inlineStr">
        <x:is>
          <x:t xml:space="preserve"/>
        </x:is>
      </x:c>
    </x:row>
    <x:row r="300">
      <x:c r="A300" s="7">
        <x:f>IF(E300="","", "ISS-"&amp;TEXT(ROW()-1,"00000"))</x:f>
      </x:c>
      <x:c r="B300" s="7" t="inlineStr">
        <x:is>
          <x:t xml:space="preserve"/>
        </x:is>
      </x:c>
      <x:c r="C300" s="7" t="inlineStr">
        <x:is>
          <x:t xml:space="preserve"/>
        </x:is>
      </x:c>
      <x:c r="D300" s="7" t="inlineStr">
        <x:is>
          <x:t xml:space="preserve"/>
        </x:is>
      </x:c>
      <x:c r="E300" s="6" t="inlineStr">
        <x:is>
          <x:t xml:space="preserve"/>
        </x:is>
      </x:c>
      <x:c r="F300" s="7" t="inlineStr">
        <x:is>
          <x:t xml:space="preserve"/>
        </x:is>
      </x:c>
      <x:c r="G300" s="8" t="inlineStr">
        <x:is>
          <x:t xml:space="preserve"/>
        </x:is>
      </x:c>
      <x:c r="H300" s="6" t="inlineStr">
        <x:is>
          <x:t xml:space="preserve"/>
        </x:is>
      </x:c>
      <x:c r="I300" s="8" t="inlineStr">
        <x:is>
          <x:t xml:space="preserve"/>
        </x:is>
      </x:c>
      <x:c r="J300" s="7" t="inlineStr">
        <x:is>
          <x:t xml:space="preserve"/>
        </x:is>
      </x:c>
      <x:c r="K300" s="7">
        <x:f>IF(G300="","", TODAY()-G300)</x:f>
      </x:c>
      <x:c r="L300" s="7">
        <x:f>IF(OR(I300="",J300="Closed"),"", IF(TODAY()&gt;I300,"Yes","No"))</x:f>
      </x:c>
      <x:c r="M300" s="7" t="inlineStr">
        <x:is>
          <x:t xml:space="preserve"/>
        </x:is>
      </x:c>
      <x:c r="N300" s="6" t="inlineStr">
        <x:is>
          <x:t xml:space="preserve"/>
        </x:is>
      </x:c>
    </x:row>
    <x:row r="301">
      <x:c r="A301" s="7">
        <x:f>IF(E301="","", "ISS-"&amp;TEXT(ROW()-1,"00000"))</x:f>
      </x:c>
      <x:c r="B301" s="7" t="inlineStr">
        <x:is>
          <x:t xml:space="preserve"/>
        </x:is>
      </x:c>
      <x:c r="C301" s="7" t="inlineStr">
        <x:is>
          <x:t xml:space="preserve"/>
        </x:is>
      </x:c>
      <x:c r="D301" s="7" t="inlineStr">
        <x:is>
          <x:t xml:space="preserve"/>
        </x:is>
      </x:c>
      <x:c r="E301" s="6" t="inlineStr">
        <x:is>
          <x:t xml:space="preserve"/>
        </x:is>
      </x:c>
      <x:c r="F301" s="7" t="inlineStr">
        <x:is>
          <x:t xml:space="preserve"/>
        </x:is>
      </x:c>
      <x:c r="G301" s="8" t="inlineStr">
        <x:is>
          <x:t xml:space="preserve"/>
        </x:is>
      </x:c>
      <x:c r="H301" s="6" t="inlineStr">
        <x:is>
          <x:t xml:space="preserve"/>
        </x:is>
      </x:c>
      <x:c r="I301" s="8" t="inlineStr">
        <x:is>
          <x:t xml:space="preserve"/>
        </x:is>
      </x:c>
      <x:c r="J301" s="7" t="inlineStr">
        <x:is>
          <x:t xml:space="preserve"/>
        </x:is>
      </x:c>
      <x:c r="K301" s="7">
        <x:f>IF(G301="","", TODAY()-G301)</x:f>
      </x:c>
      <x:c r="L301" s="7">
        <x:f>IF(OR(I301="",J301="Closed"),"", IF(TODAY()&gt;I301,"Yes","No"))</x:f>
      </x:c>
      <x:c r="M301" s="7" t="inlineStr">
        <x:is>
          <x:t xml:space="preserve"/>
        </x:is>
      </x:c>
      <x:c r="N301" s="6" t="inlineStr">
        <x:is>
          <x:t xml:space="preserve"/>
        </x:is>
      </x:c>
    </x:row>
  </x:sheetData>
  <x:conditionalFormatting sqref="A2:N301">
    <x:cfRule type="expression" dxfId="0" priority="1">
      <x:formula>$L2="Yes"</x:formula>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 customWidth="1"/>
    <x:col min="2" max="2" width="12" customWidth="1"/>
    <x:col min="3" max="3" width="40" customWidth="1"/>
    <x:col min="4" max="4" width="18" customWidth="1"/>
    <x:col min="5" max="5" width="14" customWidth="1"/>
    <x:col min="6" max="6" width="12" customWidth="1"/>
    <x:col min="7" max="7" width="16" customWidth="1"/>
    <x:col min="8" max="8" width="12" customWidth="1"/>
    <x:col min="9" max="9" width="22" customWidth="1"/>
    <x:col min="10" max="10" width="30" customWidth="1"/>
  </x:cols>
  <x:sheetData>
    <x:row r="1" ht="28" customHeight="1">
      <x:c r="A1" s="5" t="inlineStr">
        <x:is>
          <x:t xml:space="preserve">Action ID</x:t>
        </x:is>
      </x:c>
      <x:c r="B1" s="5" t="inlineStr">
        <x:is>
          <x:t xml:space="preserve">Issue ID</x:t>
        </x:is>
      </x:c>
      <x:c r="C1" s="5" t="inlineStr">
        <x:is>
          <x:t xml:space="preserve">Action / Remediation</x:t>
        </x:is>
      </x:c>
      <x:c r="D1" s="5" t="inlineStr">
        <x:is>
          <x:t xml:space="preserve">Owner</x:t>
        </x:is>
      </x:c>
      <x:c r="E1" s="5" t="inlineStr">
        <x:is>
          <x:t xml:space="preserve">Due Date</x:t>
        </x:is>
      </x:c>
      <x:c r="F1" s="5" t="inlineStr">
        <x:is>
          <x:t xml:space="preserve">Status</x:t>
        </x:is>
      </x:c>
      <x:c r="G1" s="5" t="inlineStr">
        <x:is>
          <x:t xml:space="preserve">Completion Date</x:t>
        </x:is>
      </x:c>
      <x:c r="H1" s="5" t="inlineStr">
        <x:is>
          <x:t xml:space="preserve">Days Overdue</x:t>
        </x:is>
      </x:c>
      <x:c r="I1" s="5" t="inlineStr">
        <x:is>
          <x:t xml:space="preserve">Evidence Link</x:t>
        </x:is>
      </x:c>
      <x:c r="J1" s="5" t="inlineStr">
        <x:is>
          <x:t xml:space="preserve">Notes</x:t>
        </x:is>
      </x:c>
    </x:row>
    <x:row r="2">
      <x:c r="A2" s="7">
        <x:f>IF(C2="","", "ACT-"&amp;TEXT(ROW()-1,"00000"))</x:f>
      </x:c>
      <x:c r="B2" s="7" t="inlineStr">
        <x:is>
          <x:t xml:space="preserve"/>
        </x:is>
      </x:c>
      <x:c r="C2" s="6" t="inlineStr">
        <x:is>
          <x:t xml:space="preserve"/>
        </x:is>
      </x:c>
      <x:c r="D2" s="6" t="inlineStr">
        <x:is>
          <x:t xml:space="preserve"/>
        </x:is>
      </x:c>
      <x:c r="E2" s="8" t="inlineStr">
        <x:is>
          <x:t xml:space="preserve"/>
        </x:is>
      </x:c>
      <x:c r="F2" s="7" t="inlineStr">
        <x:is>
          <x:t xml:space="preserve"/>
        </x:is>
      </x:c>
      <x:c r="G2" s="8" t="inlineStr">
        <x:is>
          <x:t xml:space="preserve"/>
        </x:is>
      </x:c>
      <x:c r="H2" s="7">
        <x:f>IF(OR(E2="",F2="Complete"),"", MAX(0, TODAY()-E2))</x:f>
      </x:c>
      <x:c r="I2" s="6" t="inlineStr">
        <x:is>
          <x:t xml:space="preserve"/>
        </x:is>
      </x:c>
      <x:c r="J2" s="6" t="inlineStr">
        <x:is>
          <x:t xml:space="preserve"/>
        </x:is>
      </x:c>
    </x:row>
    <x:row r="3">
      <x:c r="A3" s="7">
        <x:f>IF(C3="","", "ACT-"&amp;TEXT(ROW()-1,"00000"))</x:f>
      </x:c>
      <x:c r="B3" s="7" t="inlineStr">
        <x:is>
          <x:t xml:space="preserve"/>
        </x:is>
      </x:c>
      <x:c r="C3" s="6" t="inlineStr">
        <x:is>
          <x:t xml:space="preserve"/>
        </x:is>
      </x:c>
      <x:c r="D3" s="6" t="inlineStr">
        <x:is>
          <x:t xml:space="preserve"/>
        </x:is>
      </x:c>
      <x:c r="E3" s="8" t="inlineStr">
        <x:is>
          <x:t xml:space="preserve"/>
        </x:is>
      </x:c>
      <x:c r="F3" s="7" t="inlineStr">
        <x:is>
          <x:t xml:space="preserve"/>
        </x:is>
      </x:c>
      <x:c r="G3" s="8" t="inlineStr">
        <x:is>
          <x:t xml:space="preserve"/>
        </x:is>
      </x:c>
      <x:c r="H3" s="7">
        <x:f>IF(OR(E3="",F3="Complete"),"", MAX(0, TODAY()-E3))</x:f>
      </x:c>
      <x:c r="I3" s="6" t="inlineStr">
        <x:is>
          <x:t xml:space="preserve"/>
        </x:is>
      </x:c>
      <x:c r="J3" s="6" t="inlineStr">
        <x:is>
          <x:t xml:space="preserve"/>
        </x:is>
      </x:c>
    </x:row>
    <x:row r="4">
      <x:c r="A4" s="7">
        <x:f>IF(C4="","", "ACT-"&amp;TEXT(ROW()-1,"00000"))</x:f>
      </x:c>
      <x:c r="B4" s="7" t="inlineStr">
        <x:is>
          <x:t xml:space="preserve"/>
        </x:is>
      </x:c>
      <x:c r="C4" s="6" t="inlineStr">
        <x:is>
          <x:t xml:space="preserve"/>
        </x:is>
      </x:c>
      <x:c r="D4" s="6" t="inlineStr">
        <x:is>
          <x:t xml:space="preserve"/>
        </x:is>
      </x:c>
      <x:c r="E4" s="8" t="inlineStr">
        <x:is>
          <x:t xml:space="preserve"/>
        </x:is>
      </x:c>
      <x:c r="F4" s="7" t="inlineStr">
        <x:is>
          <x:t xml:space="preserve"/>
        </x:is>
      </x:c>
      <x:c r="G4" s="8" t="inlineStr">
        <x:is>
          <x:t xml:space="preserve"/>
        </x:is>
      </x:c>
      <x:c r="H4" s="7">
        <x:f>IF(OR(E4="",F4="Complete"),"", MAX(0, TODAY()-E4))</x:f>
      </x:c>
      <x:c r="I4" s="6" t="inlineStr">
        <x:is>
          <x:t xml:space="preserve"/>
        </x:is>
      </x:c>
      <x:c r="J4" s="6" t="inlineStr">
        <x:is>
          <x:t xml:space="preserve"/>
        </x:is>
      </x:c>
    </x:row>
    <x:row r="5">
      <x:c r="A5" s="7">
        <x:f>IF(C5="","", "ACT-"&amp;TEXT(ROW()-1,"00000"))</x:f>
      </x:c>
      <x:c r="B5" s="7" t="inlineStr">
        <x:is>
          <x:t xml:space="preserve"/>
        </x:is>
      </x:c>
      <x:c r="C5" s="6" t="inlineStr">
        <x:is>
          <x:t xml:space="preserve"/>
        </x:is>
      </x:c>
      <x:c r="D5" s="6" t="inlineStr">
        <x:is>
          <x:t xml:space="preserve"/>
        </x:is>
      </x:c>
      <x:c r="E5" s="8" t="inlineStr">
        <x:is>
          <x:t xml:space="preserve"/>
        </x:is>
      </x:c>
      <x:c r="F5" s="7" t="inlineStr">
        <x:is>
          <x:t xml:space="preserve"/>
        </x:is>
      </x:c>
      <x:c r="G5" s="8" t="inlineStr">
        <x:is>
          <x:t xml:space="preserve"/>
        </x:is>
      </x:c>
      <x:c r="H5" s="7">
        <x:f>IF(OR(E5="",F5="Complete"),"", MAX(0, TODAY()-E5))</x:f>
      </x:c>
      <x:c r="I5" s="6" t="inlineStr">
        <x:is>
          <x:t xml:space="preserve"/>
        </x:is>
      </x:c>
      <x:c r="J5" s="6" t="inlineStr">
        <x:is>
          <x:t xml:space="preserve"/>
        </x:is>
      </x:c>
    </x:row>
    <x:row r="6">
      <x:c r="A6" s="7">
        <x:f>IF(C6="","", "ACT-"&amp;TEXT(ROW()-1,"00000"))</x:f>
      </x:c>
      <x:c r="B6" s="7" t="inlineStr">
        <x:is>
          <x:t xml:space="preserve"/>
        </x:is>
      </x:c>
      <x:c r="C6" s="6" t="inlineStr">
        <x:is>
          <x:t xml:space="preserve"/>
        </x:is>
      </x:c>
      <x:c r="D6" s="6" t="inlineStr">
        <x:is>
          <x:t xml:space="preserve"/>
        </x:is>
      </x:c>
      <x:c r="E6" s="8" t="inlineStr">
        <x:is>
          <x:t xml:space="preserve"/>
        </x:is>
      </x:c>
      <x:c r="F6" s="7" t="inlineStr">
        <x:is>
          <x:t xml:space="preserve"/>
        </x:is>
      </x:c>
      <x:c r="G6" s="8" t="inlineStr">
        <x:is>
          <x:t xml:space="preserve"/>
        </x:is>
      </x:c>
      <x:c r="H6" s="7">
        <x:f>IF(OR(E6="",F6="Complete"),"", MAX(0, TODAY()-E6))</x:f>
      </x:c>
      <x:c r="I6" s="6" t="inlineStr">
        <x:is>
          <x:t xml:space="preserve"/>
        </x:is>
      </x:c>
      <x:c r="J6" s="6" t="inlineStr">
        <x:is>
          <x:t xml:space="preserve"/>
        </x:is>
      </x:c>
    </x:row>
    <x:row r="7">
      <x:c r="A7" s="7">
        <x:f>IF(C7="","", "ACT-"&amp;TEXT(ROW()-1,"00000"))</x:f>
      </x:c>
      <x:c r="B7" s="7" t="inlineStr">
        <x:is>
          <x:t xml:space="preserve"/>
        </x:is>
      </x:c>
      <x:c r="C7" s="6" t="inlineStr">
        <x:is>
          <x:t xml:space="preserve"/>
        </x:is>
      </x:c>
      <x:c r="D7" s="6" t="inlineStr">
        <x:is>
          <x:t xml:space="preserve"/>
        </x:is>
      </x:c>
      <x:c r="E7" s="8" t="inlineStr">
        <x:is>
          <x:t xml:space="preserve"/>
        </x:is>
      </x:c>
      <x:c r="F7" s="7" t="inlineStr">
        <x:is>
          <x:t xml:space="preserve"/>
        </x:is>
      </x:c>
      <x:c r="G7" s="8" t="inlineStr">
        <x:is>
          <x:t xml:space="preserve"/>
        </x:is>
      </x:c>
      <x:c r="H7" s="7">
        <x:f>IF(OR(E7="",F7="Complete"),"", MAX(0, TODAY()-E7))</x:f>
      </x:c>
      <x:c r="I7" s="6" t="inlineStr">
        <x:is>
          <x:t xml:space="preserve"/>
        </x:is>
      </x:c>
      <x:c r="J7" s="6" t="inlineStr">
        <x:is>
          <x:t xml:space="preserve"/>
        </x:is>
      </x:c>
    </x:row>
    <x:row r="8">
      <x:c r="A8" s="7">
        <x:f>IF(C8="","", "ACT-"&amp;TEXT(ROW()-1,"00000"))</x:f>
      </x:c>
      <x:c r="B8" s="7" t="inlineStr">
        <x:is>
          <x:t xml:space="preserve"/>
        </x:is>
      </x:c>
      <x:c r="C8" s="6" t="inlineStr">
        <x:is>
          <x:t xml:space="preserve"/>
        </x:is>
      </x:c>
      <x:c r="D8" s="6" t="inlineStr">
        <x:is>
          <x:t xml:space="preserve"/>
        </x:is>
      </x:c>
      <x:c r="E8" s="8" t="inlineStr">
        <x:is>
          <x:t xml:space="preserve"/>
        </x:is>
      </x:c>
      <x:c r="F8" s="7" t="inlineStr">
        <x:is>
          <x:t xml:space="preserve"/>
        </x:is>
      </x:c>
      <x:c r="G8" s="8" t="inlineStr">
        <x:is>
          <x:t xml:space="preserve"/>
        </x:is>
      </x:c>
      <x:c r="H8" s="7">
        <x:f>IF(OR(E8="",F8="Complete"),"", MAX(0, TODAY()-E8))</x:f>
      </x:c>
      <x:c r="I8" s="6" t="inlineStr">
        <x:is>
          <x:t xml:space="preserve"/>
        </x:is>
      </x:c>
      <x:c r="J8" s="6" t="inlineStr">
        <x:is>
          <x:t xml:space="preserve"/>
        </x:is>
      </x:c>
    </x:row>
    <x:row r="9">
      <x:c r="A9" s="7">
        <x:f>IF(C9="","", "ACT-"&amp;TEXT(ROW()-1,"00000"))</x:f>
      </x:c>
      <x:c r="B9" s="7" t="inlineStr">
        <x:is>
          <x:t xml:space="preserve"/>
        </x:is>
      </x:c>
      <x:c r="C9" s="6" t="inlineStr">
        <x:is>
          <x:t xml:space="preserve"/>
        </x:is>
      </x:c>
      <x:c r="D9" s="6" t="inlineStr">
        <x:is>
          <x:t xml:space="preserve"/>
        </x:is>
      </x:c>
      <x:c r="E9" s="8" t="inlineStr">
        <x:is>
          <x:t xml:space="preserve"/>
        </x:is>
      </x:c>
      <x:c r="F9" s="7" t="inlineStr">
        <x:is>
          <x:t xml:space="preserve"/>
        </x:is>
      </x:c>
      <x:c r="G9" s="8" t="inlineStr">
        <x:is>
          <x:t xml:space="preserve"/>
        </x:is>
      </x:c>
      <x:c r="H9" s="7">
        <x:f>IF(OR(E9="",F9="Complete"),"", MAX(0, TODAY()-E9))</x:f>
      </x:c>
      <x:c r="I9" s="6" t="inlineStr">
        <x:is>
          <x:t xml:space="preserve"/>
        </x:is>
      </x:c>
      <x:c r="J9" s="6" t="inlineStr">
        <x:is>
          <x:t xml:space="preserve"/>
        </x:is>
      </x:c>
    </x:row>
    <x:row r="10">
      <x:c r="A10" s="7">
        <x:f>IF(C10="","", "ACT-"&amp;TEXT(ROW()-1,"00000"))</x:f>
      </x:c>
      <x:c r="B10" s="7" t="inlineStr">
        <x:is>
          <x:t xml:space="preserve"/>
        </x:is>
      </x:c>
      <x:c r="C10" s="6" t="inlineStr">
        <x:is>
          <x:t xml:space="preserve"/>
        </x:is>
      </x:c>
      <x:c r="D10" s="6" t="inlineStr">
        <x:is>
          <x:t xml:space="preserve"/>
        </x:is>
      </x:c>
      <x:c r="E10" s="8" t="inlineStr">
        <x:is>
          <x:t xml:space="preserve"/>
        </x:is>
      </x:c>
      <x:c r="F10" s="7" t="inlineStr">
        <x:is>
          <x:t xml:space="preserve"/>
        </x:is>
      </x:c>
      <x:c r="G10" s="8" t="inlineStr">
        <x:is>
          <x:t xml:space="preserve"/>
        </x:is>
      </x:c>
      <x:c r="H10" s="7">
        <x:f>IF(OR(E10="",F10="Complete"),"", MAX(0, TODAY()-E10))</x:f>
      </x:c>
      <x:c r="I10" s="6" t="inlineStr">
        <x:is>
          <x:t xml:space="preserve"/>
        </x:is>
      </x:c>
      <x:c r="J10" s="6" t="inlineStr">
        <x:is>
          <x:t xml:space="preserve"/>
        </x:is>
      </x:c>
    </x:row>
    <x:row r="11">
      <x:c r="A11" s="7">
        <x:f>IF(C11="","", "ACT-"&amp;TEXT(ROW()-1,"00000"))</x:f>
      </x:c>
      <x:c r="B11" s="7" t="inlineStr">
        <x:is>
          <x:t xml:space="preserve"/>
        </x:is>
      </x:c>
      <x:c r="C11" s="6" t="inlineStr">
        <x:is>
          <x:t xml:space="preserve"/>
        </x:is>
      </x:c>
      <x:c r="D11" s="6" t="inlineStr">
        <x:is>
          <x:t xml:space="preserve"/>
        </x:is>
      </x:c>
      <x:c r="E11" s="8" t="inlineStr">
        <x:is>
          <x:t xml:space="preserve"/>
        </x:is>
      </x:c>
      <x:c r="F11" s="7" t="inlineStr">
        <x:is>
          <x:t xml:space="preserve"/>
        </x:is>
      </x:c>
      <x:c r="G11" s="8" t="inlineStr">
        <x:is>
          <x:t xml:space="preserve"/>
        </x:is>
      </x:c>
      <x:c r="H11" s="7">
        <x:f>IF(OR(E11="",F11="Complete"),"", MAX(0, TODAY()-E11))</x:f>
      </x:c>
      <x:c r="I11" s="6" t="inlineStr">
        <x:is>
          <x:t xml:space="preserve"/>
        </x:is>
      </x:c>
      <x:c r="J11" s="6" t="inlineStr">
        <x:is>
          <x:t xml:space="preserve"/>
        </x:is>
      </x:c>
    </x:row>
    <x:row r="12">
      <x:c r="A12" s="7">
        <x:f>IF(C12="","", "ACT-"&amp;TEXT(ROW()-1,"00000"))</x:f>
      </x:c>
      <x:c r="B12" s="7" t="inlineStr">
        <x:is>
          <x:t xml:space="preserve"/>
        </x:is>
      </x:c>
      <x:c r="C12" s="6" t="inlineStr">
        <x:is>
          <x:t xml:space="preserve"/>
        </x:is>
      </x:c>
      <x:c r="D12" s="6" t="inlineStr">
        <x:is>
          <x:t xml:space="preserve"/>
        </x:is>
      </x:c>
      <x:c r="E12" s="8" t="inlineStr">
        <x:is>
          <x:t xml:space="preserve"/>
        </x:is>
      </x:c>
      <x:c r="F12" s="7" t="inlineStr">
        <x:is>
          <x:t xml:space="preserve"/>
        </x:is>
      </x:c>
      <x:c r="G12" s="8" t="inlineStr">
        <x:is>
          <x:t xml:space="preserve"/>
        </x:is>
      </x:c>
      <x:c r="H12" s="7">
        <x:f>IF(OR(E12="",F12="Complete"),"", MAX(0, TODAY()-E12))</x:f>
      </x:c>
      <x:c r="I12" s="6" t="inlineStr">
        <x:is>
          <x:t xml:space="preserve"/>
        </x:is>
      </x:c>
      <x:c r="J12" s="6" t="inlineStr">
        <x:is>
          <x:t xml:space="preserve"/>
        </x:is>
      </x:c>
    </x:row>
    <x:row r="13">
      <x:c r="A13" s="7">
        <x:f>IF(C13="","", "ACT-"&amp;TEXT(ROW()-1,"00000"))</x:f>
      </x:c>
      <x:c r="B13" s="7" t="inlineStr">
        <x:is>
          <x:t xml:space="preserve"/>
        </x:is>
      </x:c>
      <x:c r="C13" s="6" t="inlineStr">
        <x:is>
          <x:t xml:space="preserve"/>
        </x:is>
      </x:c>
      <x:c r="D13" s="6" t="inlineStr">
        <x:is>
          <x:t xml:space="preserve"/>
        </x:is>
      </x:c>
      <x:c r="E13" s="8" t="inlineStr">
        <x:is>
          <x:t xml:space="preserve"/>
        </x:is>
      </x:c>
      <x:c r="F13" s="7" t="inlineStr">
        <x:is>
          <x:t xml:space="preserve"/>
        </x:is>
      </x:c>
      <x:c r="G13" s="8" t="inlineStr">
        <x:is>
          <x:t xml:space="preserve"/>
        </x:is>
      </x:c>
      <x:c r="H13" s="7">
        <x:f>IF(OR(E13="",F13="Complete"),"", MAX(0, TODAY()-E13))</x:f>
      </x:c>
      <x:c r="I13" s="6" t="inlineStr">
        <x:is>
          <x:t xml:space="preserve"/>
        </x:is>
      </x:c>
      <x:c r="J13" s="6" t="inlineStr">
        <x:is>
          <x:t xml:space="preserve"/>
        </x:is>
      </x:c>
    </x:row>
    <x:row r="14">
      <x:c r="A14" s="7">
        <x:f>IF(C14="","", "ACT-"&amp;TEXT(ROW()-1,"00000"))</x:f>
      </x:c>
      <x:c r="B14" s="7" t="inlineStr">
        <x:is>
          <x:t xml:space="preserve"/>
        </x:is>
      </x:c>
      <x:c r="C14" s="6" t="inlineStr">
        <x:is>
          <x:t xml:space="preserve"/>
        </x:is>
      </x:c>
      <x:c r="D14" s="6" t="inlineStr">
        <x:is>
          <x:t xml:space="preserve"/>
        </x:is>
      </x:c>
      <x:c r="E14" s="8" t="inlineStr">
        <x:is>
          <x:t xml:space="preserve"/>
        </x:is>
      </x:c>
      <x:c r="F14" s="7" t="inlineStr">
        <x:is>
          <x:t xml:space="preserve"/>
        </x:is>
      </x:c>
      <x:c r="G14" s="8" t="inlineStr">
        <x:is>
          <x:t xml:space="preserve"/>
        </x:is>
      </x:c>
      <x:c r="H14" s="7">
        <x:f>IF(OR(E14="",F14="Complete"),"", MAX(0, TODAY()-E14))</x:f>
      </x:c>
      <x:c r="I14" s="6" t="inlineStr">
        <x:is>
          <x:t xml:space="preserve"/>
        </x:is>
      </x:c>
      <x:c r="J14" s="6" t="inlineStr">
        <x:is>
          <x:t xml:space="preserve"/>
        </x:is>
      </x:c>
    </x:row>
    <x:row r="15">
      <x:c r="A15" s="7">
        <x:f>IF(C15="","", "ACT-"&amp;TEXT(ROW()-1,"00000"))</x:f>
      </x:c>
      <x:c r="B15" s="7" t="inlineStr">
        <x:is>
          <x:t xml:space="preserve"/>
        </x:is>
      </x:c>
      <x:c r="C15" s="6" t="inlineStr">
        <x:is>
          <x:t xml:space="preserve"/>
        </x:is>
      </x:c>
      <x:c r="D15" s="6" t="inlineStr">
        <x:is>
          <x:t xml:space="preserve"/>
        </x:is>
      </x:c>
      <x:c r="E15" s="8" t="inlineStr">
        <x:is>
          <x:t xml:space="preserve"/>
        </x:is>
      </x:c>
      <x:c r="F15" s="7" t="inlineStr">
        <x:is>
          <x:t xml:space="preserve"/>
        </x:is>
      </x:c>
      <x:c r="G15" s="8" t="inlineStr">
        <x:is>
          <x:t xml:space="preserve"/>
        </x:is>
      </x:c>
      <x:c r="H15" s="7">
        <x:f>IF(OR(E15="",F15="Complete"),"", MAX(0, TODAY()-E15))</x:f>
      </x:c>
      <x:c r="I15" s="6" t="inlineStr">
        <x:is>
          <x:t xml:space="preserve"/>
        </x:is>
      </x:c>
      <x:c r="J15" s="6" t="inlineStr">
        <x:is>
          <x:t xml:space="preserve"/>
        </x:is>
      </x:c>
    </x:row>
    <x:row r="16">
      <x:c r="A16" s="7">
        <x:f>IF(C16="","", "ACT-"&amp;TEXT(ROW()-1,"00000"))</x:f>
      </x:c>
      <x:c r="B16" s="7" t="inlineStr">
        <x:is>
          <x:t xml:space="preserve"/>
        </x:is>
      </x:c>
      <x:c r="C16" s="6" t="inlineStr">
        <x:is>
          <x:t xml:space="preserve"/>
        </x:is>
      </x:c>
      <x:c r="D16" s="6" t="inlineStr">
        <x:is>
          <x:t xml:space="preserve"/>
        </x:is>
      </x:c>
      <x:c r="E16" s="8" t="inlineStr">
        <x:is>
          <x:t xml:space="preserve"/>
        </x:is>
      </x:c>
      <x:c r="F16" s="7" t="inlineStr">
        <x:is>
          <x:t xml:space="preserve"/>
        </x:is>
      </x:c>
      <x:c r="G16" s="8" t="inlineStr">
        <x:is>
          <x:t xml:space="preserve"/>
        </x:is>
      </x:c>
      <x:c r="H16" s="7">
        <x:f>IF(OR(E16="",F16="Complete"),"", MAX(0, TODAY()-E16))</x:f>
      </x:c>
      <x:c r="I16" s="6" t="inlineStr">
        <x:is>
          <x:t xml:space="preserve"/>
        </x:is>
      </x:c>
      <x:c r="J16" s="6" t="inlineStr">
        <x:is>
          <x:t xml:space="preserve"/>
        </x:is>
      </x:c>
    </x:row>
    <x:row r="17">
      <x:c r="A17" s="7">
        <x:f>IF(C17="","", "ACT-"&amp;TEXT(ROW()-1,"00000"))</x:f>
      </x:c>
      <x:c r="B17" s="7" t="inlineStr">
        <x:is>
          <x:t xml:space="preserve"/>
        </x:is>
      </x:c>
      <x:c r="C17" s="6" t="inlineStr">
        <x:is>
          <x:t xml:space="preserve"/>
        </x:is>
      </x:c>
      <x:c r="D17" s="6" t="inlineStr">
        <x:is>
          <x:t xml:space="preserve"/>
        </x:is>
      </x:c>
      <x:c r="E17" s="8" t="inlineStr">
        <x:is>
          <x:t xml:space="preserve"/>
        </x:is>
      </x:c>
      <x:c r="F17" s="7" t="inlineStr">
        <x:is>
          <x:t xml:space="preserve"/>
        </x:is>
      </x:c>
      <x:c r="G17" s="8" t="inlineStr">
        <x:is>
          <x:t xml:space="preserve"/>
        </x:is>
      </x:c>
      <x:c r="H17" s="7">
        <x:f>IF(OR(E17="",F17="Complete"),"", MAX(0, TODAY()-E17))</x:f>
      </x:c>
      <x:c r="I17" s="6" t="inlineStr">
        <x:is>
          <x:t xml:space="preserve"/>
        </x:is>
      </x:c>
      <x:c r="J17" s="6" t="inlineStr">
        <x:is>
          <x:t xml:space="preserve"/>
        </x:is>
      </x:c>
    </x:row>
    <x:row r="18">
      <x:c r="A18" s="7">
        <x:f>IF(C18="","", "ACT-"&amp;TEXT(ROW()-1,"00000"))</x:f>
      </x:c>
      <x:c r="B18" s="7" t="inlineStr">
        <x:is>
          <x:t xml:space="preserve"/>
        </x:is>
      </x:c>
      <x:c r="C18" s="6" t="inlineStr">
        <x:is>
          <x:t xml:space="preserve"/>
        </x:is>
      </x:c>
      <x:c r="D18" s="6" t="inlineStr">
        <x:is>
          <x:t xml:space="preserve"/>
        </x:is>
      </x:c>
      <x:c r="E18" s="8" t="inlineStr">
        <x:is>
          <x:t xml:space="preserve"/>
        </x:is>
      </x:c>
      <x:c r="F18" s="7" t="inlineStr">
        <x:is>
          <x:t xml:space="preserve"/>
        </x:is>
      </x:c>
      <x:c r="G18" s="8" t="inlineStr">
        <x:is>
          <x:t xml:space="preserve"/>
        </x:is>
      </x:c>
      <x:c r="H18" s="7">
        <x:f>IF(OR(E18="",F18="Complete"),"", MAX(0, TODAY()-E18))</x:f>
      </x:c>
      <x:c r="I18" s="6" t="inlineStr">
        <x:is>
          <x:t xml:space="preserve"/>
        </x:is>
      </x:c>
      <x:c r="J18" s="6" t="inlineStr">
        <x:is>
          <x:t xml:space="preserve"/>
        </x:is>
      </x:c>
    </x:row>
    <x:row r="19">
      <x:c r="A19" s="7">
        <x:f>IF(C19="","", "ACT-"&amp;TEXT(ROW()-1,"00000"))</x:f>
      </x:c>
      <x:c r="B19" s="7" t="inlineStr">
        <x:is>
          <x:t xml:space="preserve"/>
        </x:is>
      </x:c>
      <x:c r="C19" s="6" t="inlineStr">
        <x:is>
          <x:t xml:space="preserve"/>
        </x:is>
      </x:c>
      <x:c r="D19" s="6" t="inlineStr">
        <x:is>
          <x:t xml:space="preserve"/>
        </x:is>
      </x:c>
      <x:c r="E19" s="8" t="inlineStr">
        <x:is>
          <x:t xml:space="preserve"/>
        </x:is>
      </x:c>
      <x:c r="F19" s="7" t="inlineStr">
        <x:is>
          <x:t xml:space="preserve"/>
        </x:is>
      </x:c>
      <x:c r="G19" s="8" t="inlineStr">
        <x:is>
          <x:t xml:space="preserve"/>
        </x:is>
      </x:c>
      <x:c r="H19" s="7">
        <x:f>IF(OR(E19="",F19="Complete"),"", MAX(0, TODAY()-E19))</x:f>
      </x:c>
      <x:c r="I19" s="6" t="inlineStr">
        <x:is>
          <x:t xml:space="preserve"/>
        </x:is>
      </x:c>
      <x:c r="J19" s="6" t="inlineStr">
        <x:is>
          <x:t xml:space="preserve"/>
        </x:is>
      </x:c>
    </x:row>
    <x:row r="20">
      <x:c r="A20" s="7">
        <x:f>IF(C20="","", "ACT-"&amp;TEXT(ROW()-1,"00000"))</x:f>
      </x:c>
      <x:c r="B20" s="7" t="inlineStr">
        <x:is>
          <x:t xml:space="preserve"/>
        </x:is>
      </x:c>
      <x:c r="C20" s="6" t="inlineStr">
        <x:is>
          <x:t xml:space="preserve"/>
        </x:is>
      </x:c>
      <x:c r="D20" s="6" t="inlineStr">
        <x:is>
          <x:t xml:space="preserve"/>
        </x:is>
      </x:c>
      <x:c r="E20" s="8" t="inlineStr">
        <x:is>
          <x:t xml:space="preserve"/>
        </x:is>
      </x:c>
      <x:c r="F20" s="7" t="inlineStr">
        <x:is>
          <x:t xml:space="preserve"/>
        </x:is>
      </x:c>
      <x:c r="G20" s="8" t="inlineStr">
        <x:is>
          <x:t xml:space="preserve"/>
        </x:is>
      </x:c>
      <x:c r="H20" s="7">
        <x:f>IF(OR(E20="",F20="Complete"),"", MAX(0, TODAY()-E20))</x:f>
      </x:c>
      <x:c r="I20" s="6" t="inlineStr">
        <x:is>
          <x:t xml:space="preserve"/>
        </x:is>
      </x:c>
      <x:c r="J20" s="6" t="inlineStr">
        <x:is>
          <x:t xml:space="preserve"/>
        </x:is>
      </x:c>
    </x:row>
    <x:row r="21">
      <x:c r="A21" s="7">
        <x:f>IF(C21="","", "ACT-"&amp;TEXT(ROW()-1,"00000"))</x:f>
      </x:c>
      <x:c r="B21" s="7" t="inlineStr">
        <x:is>
          <x:t xml:space="preserve"/>
        </x:is>
      </x:c>
      <x:c r="C21" s="6" t="inlineStr">
        <x:is>
          <x:t xml:space="preserve"/>
        </x:is>
      </x:c>
      <x:c r="D21" s="6" t="inlineStr">
        <x:is>
          <x:t xml:space="preserve"/>
        </x:is>
      </x:c>
      <x:c r="E21" s="8" t="inlineStr">
        <x:is>
          <x:t xml:space="preserve"/>
        </x:is>
      </x:c>
      <x:c r="F21" s="7" t="inlineStr">
        <x:is>
          <x:t xml:space="preserve"/>
        </x:is>
      </x:c>
      <x:c r="G21" s="8" t="inlineStr">
        <x:is>
          <x:t xml:space="preserve"/>
        </x:is>
      </x:c>
      <x:c r="H21" s="7">
        <x:f>IF(OR(E21="",F21="Complete"),"", MAX(0, TODAY()-E21))</x:f>
      </x:c>
      <x:c r="I21" s="6" t="inlineStr">
        <x:is>
          <x:t xml:space="preserve"/>
        </x:is>
      </x:c>
      <x:c r="J21" s="6" t="inlineStr">
        <x:is>
          <x:t xml:space="preserve"/>
        </x:is>
      </x:c>
    </x:row>
    <x:row r="22">
      <x:c r="A22" s="7">
        <x:f>IF(C22="","", "ACT-"&amp;TEXT(ROW()-1,"00000"))</x:f>
      </x:c>
      <x:c r="B22" s="7" t="inlineStr">
        <x:is>
          <x:t xml:space="preserve"/>
        </x:is>
      </x:c>
      <x:c r="C22" s="6" t="inlineStr">
        <x:is>
          <x:t xml:space="preserve"/>
        </x:is>
      </x:c>
      <x:c r="D22" s="6" t="inlineStr">
        <x:is>
          <x:t xml:space="preserve"/>
        </x:is>
      </x:c>
      <x:c r="E22" s="8" t="inlineStr">
        <x:is>
          <x:t xml:space="preserve"/>
        </x:is>
      </x:c>
      <x:c r="F22" s="7" t="inlineStr">
        <x:is>
          <x:t xml:space="preserve"/>
        </x:is>
      </x:c>
      <x:c r="G22" s="8" t="inlineStr">
        <x:is>
          <x:t xml:space="preserve"/>
        </x:is>
      </x:c>
      <x:c r="H22" s="7">
        <x:f>IF(OR(E22="",F22="Complete"),"", MAX(0, TODAY()-E22))</x:f>
      </x:c>
      <x:c r="I22" s="6" t="inlineStr">
        <x:is>
          <x:t xml:space="preserve"/>
        </x:is>
      </x:c>
      <x:c r="J22" s="6" t="inlineStr">
        <x:is>
          <x:t xml:space="preserve"/>
        </x:is>
      </x:c>
    </x:row>
    <x:row r="23">
      <x:c r="A23" s="7">
        <x:f>IF(C23="","", "ACT-"&amp;TEXT(ROW()-1,"00000"))</x:f>
      </x:c>
      <x:c r="B23" s="7" t="inlineStr">
        <x:is>
          <x:t xml:space="preserve"/>
        </x:is>
      </x:c>
      <x:c r="C23" s="6" t="inlineStr">
        <x:is>
          <x:t xml:space="preserve"/>
        </x:is>
      </x:c>
      <x:c r="D23" s="6" t="inlineStr">
        <x:is>
          <x:t xml:space="preserve"/>
        </x:is>
      </x:c>
      <x:c r="E23" s="8" t="inlineStr">
        <x:is>
          <x:t xml:space="preserve"/>
        </x:is>
      </x:c>
      <x:c r="F23" s="7" t="inlineStr">
        <x:is>
          <x:t xml:space="preserve"/>
        </x:is>
      </x:c>
      <x:c r="G23" s="8" t="inlineStr">
        <x:is>
          <x:t xml:space="preserve"/>
        </x:is>
      </x:c>
      <x:c r="H23" s="7">
        <x:f>IF(OR(E23="",F23="Complete"),"", MAX(0, TODAY()-E23))</x:f>
      </x:c>
      <x:c r="I23" s="6" t="inlineStr">
        <x:is>
          <x:t xml:space="preserve"/>
        </x:is>
      </x:c>
      <x:c r="J23" s="6" t="inlineStr">
        <x:is>
          <x:t xml:space="preserve"/>
        </x:is>
      </x:c>
    </x:row>
    <x:row r="24">
      <x:c r="A24" s="7">
        <x:f>IF(C24="","", "ACT-"&amp;TEXT(ROW()-1,"00000"))</x:f>
      </x:c>
      <x:c r="B24" s="7" t="inlineStr">
        <x:is>
          <x:t xml:space="preserve"/>
        </x:is>
      </x:c>
      <x:c r="C24" s="6" t="inlineStr">
        <x:is>
          <x:t xml:space="preserve"/>
        </x:is>
      </x:c>
      <x:c r="D24" s="6" t="inlineStr">
        <x:is>
          <x:t xml:space="preserve"/>
        </x:is>
      </x:c>
      <x:c r="E24" s="8" t="inlineStr">
        <x:is>
          <x:t xml:space="preserve"/>
        </x:is>
      </x:c>
      <x:c r="F24" s="7" t="inlineStr">
        <x:is>
          <x:t xml:space="preserve"/>
        </x:is>
      </x:c>
      <x:c r="G24" s="8" t="inlineStr">
        <x:is>
          <x:t xml:space="preserve"/>
        </x:is>
      </x:c>
      <x:c r="H24" s="7">
        <x:f>IF(OR(E24="",F24="Complete"),"", MAX(0, TODAY()-E24))</x:f>
      </x:c>
      <x:c r="I24" s="6" t="inlineStr">
        <x:is>
          <x:t xml:space="preserve"/>
        </x:is>
      </x:c>
      <x:c r="J24" s="6" t="inlineStr">
        <x:is>
          <x:t xml:space="preserve"/>
        </x:is>
      </x:c>
    </x:row>
    <x:row r="25">
      <x:c r="A25" s="7">
        <x:f>IF(C25="","", "ACT-"&amp;TEXT(ROW()-1,"00000"))</x:f>
      </x:c>
      <x:c r="B25" s="7" t="inlineStr">
        <x:is>
          <x:t xml:space="preserve"/>
        </x:is>
      </x:c>
      <x:c r="C25" s="6" t="inlineStr">
        <x:is>
          <x:t xml:space="preserve"/>
        </x:is>
      </x:c>
      <x:c r="D25" s="6" t="inlineStr">
        <x:is>
          <x:t xml:space="preserve"/>
        </x:is>
      </x:c>
      <x:c r="E25" s="8" t="inlineStr">
        <x:is>
          <x:t xml:space="preserve"/>
        </x:is>
      </x:c>
      <x:c r="F25" s="7" t="inlineStr">
        <x:is>
          <x:t xml:space="preserve"/>
        </x:is>
      </x:c>
      <x:c r="G25" s="8" t="inlineStr">
        <x:is>
          <x:t xml:space="preserve"/>
        </x:is>
      </x:c>
      <x:c r="H25" s="7">
        <x:f>IF(OR(E25="",F25="Complete"),"", MAX(0, TODAY()-E25))</x:f>
      </x:c>
      <x:c r="I25" s="6" t="inlineStr">
        <x:is>
          <x:t xml:space="preserve"/>
        </x:is>
      </x:c>
      <x:c r="J25" s="6" t="inlineStr">
        <x:is>
          <x:t xml:space="preserve"/>
        </x:is>
      </x:c>
    </x:row>
    <x:row r="26">
      <x:c r="A26" s="7">
        <x:f>IF(C26="","", "ACT-"&amp;TEXT(ROW()-1,"00000"))</x:f>
      </x:c>
      <x:c r="B26" s="7" t="inlineStr">
        <x:is>
          <x:t xml:space="preserve"/>
        </x:is>
      </x:c>
      <x:c r="C26" s="6" t="inlineStr">
        <x:is>
          <x:t xml:space="preserve"/>
        </x:is>
      </x:c>
      <x:c r="D26" s="6" t="inlineStr">
        <x:is>
          <x:t xml:space="preserve"/>
        </x:is>
      </x:c>
      <x:c r="E26" s="8" t="inlineStr">
        <x:is>
          <x:t xml:space="preserve"/>
        </x:is>
      </x:c>
      <x:c r="F26" s="7" t="inlineStr">
        <x:is>
          <x:t xml:space="preserve"/>
        </x:is>
      </x:c>
      <x:c r="G26" s="8" t="inlineStr">
        <x:is>
          <x:t xml:space="preserve"/>
        </x:is>
      </x:c>
      <x:c r="H26" s="7">
        <x:f>IF(OR(E26="",F26="Complete"),"", MAX(0, TODAY()-E26))</x:f>
      </x:c>
      <x:c r="I26" s="6" t="inlineStr">
        <x:is>
          <x:t xml:space="preserve"/>
        </x:is>
      </x:c>
      <x:c r="J26" s="6" t="inlineStr">
        <x:is>
          <x:t xml:space="preserve"/>
        </x:is>
      </x:c>
    </x:row>
    <x:row r="27">
      <x:c r="A27" s="7">
        <x:f>IF(C27="","", "ACT-"&amp;TEXT(ROW()-1,"00000"))</x:f>
      </x:c>
      <x:c r="B27" s="7" t="inlineStr">
        <x:is>
          <x:t xml:space="preserve"/>
        </x:is>
      </x:c>
      <x:c r="C27" s="6" t="inlineStr">
        <x:is>
          <x:t xml:space="preserve"/>
        </x:is>
      </x:c>
      <x:c r="D27" s="6" t="inlineStr">
        <x:is>
          <x:t xml:space="preserve"/>
        </x:is>
      </x:c>
      <x:c r="E27" s="8" t="inlineStr">
        <x:is>
          <x:t xml:space="preserve"/>
        </x:is>
      </x:c>
      <x:c r="F27" s="7" t="inlineStr">
        <x:is>
          <x:t xml:space="preserve"/>
        </x:is>
      </x:c>
      <x:c r="G27" s="8" t="inlineStr">
        <x:is>
          <x:t xml:space="preserve"/>
        </x:is>
      </x:c>
      <x:c r="H27" s="7">
        <x:f>IF(OR(E27="",F27="Complete"),"", MAX(0, TODAY()-E27))</x:f>
      </x:c>
      <x:c r="I27" s="6" t="inlineStr">
        <x:is>
          <x:t xml:space="preserve"/>
        </x:is>
      </x:c>
      <x:c r="J27" s="6" t="inlineStr">
        <x:is>
          <x:t xml:space="preserve"/>
        </x:is>
      </x:c>
    </x:row>
    <x:row r="28">
      <x:c r="A28" s="7">
        <x:f>IF(C28="","", "ACT-"&amp;TEXT(ROW()-1,"00000"))</x:f>
      </x:c>
      <x:c r="B28" s="7" t="inlineStr">
        <x:is>
          <x:t xml:space="preserve"/>
        </x:is>
      </x:c>
      <x:c r="C28" s="6" t="inlineStr">
        <x:is>
          <x:t xml:space="preserve"/>
        </x:is>
      </x:c>
      <x:c r="D28" s="6" t="inlineStr">
        <x:is>
          <x:t xml:space="preserve"/>
        </x:is>
      </x:c>
      <x:c r="E28" s="8" t="inlineStr">
        <x:is>
          <x:t xml:space="preserve"/>
        </x:is>
      </x:c>
      <x:c r="F28" s="7" t="inlineStr">
        <x:is>
          <x:t xml:space="preserve"/>
        </x:is>
      </x:c>
      <x:c r="G28" s="8" t="inlineStr">
        <x:is>
          <x:t xml:space="preserve"/>
        </x:is>
      </x:c>
      <x:c r="H28" s="7">
        <x:f>IF(OR(E28="",F28="Complete"),"", MAX(0, TODAY()-E28))</x:f>
      </x:c>
      <x:c r="I28" s="6" t="inlineStr">
        <x:is>
          <x:t xml:space="preserve"/>
        </x:is>
      </x:c>
      <x:c r="J28" s="6" t="inlineStr">
        <x:is>
          <x:t xml:space="preserve"/>
        </x:is>
      </x:c>
    </x:row>
    <x:row r="29">
      <x:c r="A29" s="7">
        <x:f>IF(C29="","", "ACT-"&amp;TEXT(ROW()-1,"00000"))</x:f>
      </x:c>
      <x:c r="B29" s="7" t="inlineStr">
        <x:is>
          <x:t xml:space="preserve"/>
        </x:is>
      </x:c>
      <x:c r="C29" s="6" t="inlineStr">
        <x:is>
          <x:t xml:space="preserve"/>
        </x:is>
      </x:c>
      <x:c r="D29" s="6" t="inlineStr">
        <x:is>
          <x:t xml:space="preserve"/>
        </x:is>
      </x:c>
      <x:c r="E29" s="8" t="inlineStr">
        <x:is>
          <x:t xml:space="preserve"/>
        </x:is>
      </x:c>
      <x:c r="F29" s="7" t="inlineStr">
        <x:is>
          <x:t xml:space="preserve"/>
        </x:is>
      </x:c>
      <x:c r="G29" s="8" t="inlineStr">
        <x:is>
          <x:t xml:space="preserve"/>
        </x:is>
      </x:c>
      <x:c r="H29" s="7">
        <x:f>IF(OR(E29="",F29="Complete"),"", MAX(0, TODAY()-E29))</x:f>
      </x:c>
      <x:c r="I29" s="6" t="inlineStr">
        <x:is>
          <x:t xml:space="preserve"/>
        </x:is>
      </x:c>
      <x:c r="J29" s="6" t="inlineStr">
        <x:is>
          <x:t xml:space="preserve"/>
        </x:is>
      </x:c>
    </x:row>
    <x:row r="30">
      <x:c r="A30" s="7">
        <x:f>IF(C30="","", "ACT-"&amp;TEXT(ROW()-1,"00000"))</x:f>
      </x:c>
      <x:c r="B30" s="7" t="inlineStr">
        <x:is>
          <x:t xml:space="preserve"/>
        </x:is>
      </x:c>
      <x:c r="C30" s="6" t="inlineStr">
        <x:is>
          <x:t xml:space="preserve"/>
        </x:is>
      </x:c>
      <x:c r="D30" s="6" t="inlineStr">
        <x:is>
          <x:t xml:space="preserve"/>
        </x:is>
      </x:c>
      <x:c r="E30" s="8" t="inlineStr">
        <x:is>
          <x:t xml:space="preserve"/>
        </x:is>
      </x:c>
      <x:c r="F30" s="7" t="inlineStr">
        <x:is>
          <x:t xml:space="preserve"/>
        </x:is>
      </x:c>
      <x:c r="G30" s="8" t="inlineStr">
        <x:is>
          <x:t xml:space="preserve"/>
        </x:is>
      </x:c>
      <x:c r="H30" s="7">
        <x:f>IF(OR(E30="",F30="Complete"),"", MAX(0, TODAY()-E30))</x:f>
      </x:c>
      <x:c r="I30" s="6" t="inlineStr">
        <x:is>
          <x:t xml:space="preserve"/>
        </x:is>
      </x:c>
      <x:c r="J30" s="6" t="inlineStr">
        <x:is>
          <x:t xml:space="preserve"/>
        </x:is>
      </x:c>
    </x:row>
    <x:row r="31">
      <x:c r="A31" s="7">
        <x:f>IF(C31="","", "ACT-"&amp;TEXT(ROW()-1,"00000"))</x:f>
      </x:c>
      <x:c r="B31" s="7" t="inlineStr">
        <x:is>
          <x:t xml:space="preserve"/>
        </x:is>
      </x:c>
      <x:c r="C31" s="6" t="inlineStr">
        <x:is>
          <x:t xml:space="preserve"/>
        </x:is>
      </x:c>
      <x:c r="D31" s="6" t="inlineStr">
        <x:is>
          <x:t xml:space="preserve"/>
        </x:is>
      </x:c>
      <x:c r="E31" s="8" t="inlineStr">
        <x:is>
          <x:t xml:space="preserve"/>
        </x:is>
      </x:c>
      <x:c r="F31" s="7" t="inlineStr">
        <x:is>
          <x:t xml:space="preserve"/>
        </x:is>
      </x:c>
      <x:c r="G31" s="8" t="inlineStr">
        <x:is>
          <x:t xml:space="preserve"/>
        </x:is>
      </x:c>
      <x:c r="H31" s="7">
        <x:f>IF(OR(E31="",F31="Complete"),"", MAX(0, TODAY()-E31))</x:f>
      </x:c>
      <x:c r="I31" s="6" t="inlineStr">
        <x:is>
          <x:t xml:space="preserve"/>
        </x:is>
      </x:c>
      <x:c r="J31" s="6" t="inlineStr">
        <x:is>
          <x:t xml:space="preserve"/>
        </x:is>
      </x:c>
    </x:row>
    <x:row r="32">
      <x:c r="A32" s="7">
        <x:f>IF(C32="","", "ACT-"&amp;TEXT(ROW()-1,"00000"))</x:f>
      </x:c>
      <x:c r="B32" s="7" t="inlineStr">
        <x:is>
          <x:t xml:space="preserve"/>
        </x:is>
      </x:c>
      <x:c r="C32" s="6" t="inlineStr">
        <x:is>
          <x:t xml:space="preserve"/>
        </x:is>
      </x:c>
      <x:c r="D32" s="6" t="inlineStr">
        <x:is>
          <x:t xml:space="preserve"/>
        </x:is>
      </x:c>
      <x:c r="E32" s="8" t="inlineStr">
        <x:is>
          <x:t xml:space="preserve"/>
        </x:is>
      </x:c>
      <x:c r="F32" s="7" t="inlineStr">
        <x:is>
          <x:t xml:space="preserve"/>
        </x:is>
      </x:c>
      <x:c r="G32" s="8" t="inlineStr">
        <x:is>
          <x:t xml:space="preserve"/>
        </x:is>
      </x:c>
      <x:c r="H32" s="7">
        <x:f>IF(OR(E32="",F32="Complete"),"", MAX(0, TODAY()-E32))</x:f>
      </x:c>
      <x:c r="I32" s="6" t="inlineStr">
        <x:is>
          <x:t xml:space="preserve"/>
        </x:is>
      </x:c>
      <x:c r="J32" s="6" t="inlineStr">
        <x:is>
          <x:t xml:space="preserve"/>
        </x:is>
      </x:c>
    </x:row>
    <x:row r="33">
      <x:c r="A33" s="7">
        <x:f>IF(C33="","", "ACT-"&amp;TEXT(ROW()-1,"00000"))</x:f>
      </x:c>
      <x:c r="B33" s="7" t="inlineStr">
        <x:is>
          <x:t xml:space="preserve"/>
        </x:is>
      </x:c>
      <x:c r="C33" s="6" t="inlineStr">
        <x:is>
          <x:t xml:space="preserve"/>
        </x:is>
      </x:c>
      <x:c r="D33" s="6" t="inlineStr">
        <x:is>
          <x:t xml:space="preserve"/>
        </x:is>
      </x:c>
      <x:c r="E33" s="8" t="inlineStr">
        <x:is>
          <x:t xml:space="preserve"/>
        </x:is>
      </x:c>
      <x:c r="F33" s="7" t="inlineStr">
        <x:is>
          <x:t xml:space="preserve"/>
        </x:is>
      </x:c>
      <x:c r="G33" s="8" t="inlineStr">
        <x:is>
          <x:t xml:space="preserve"/>
        </x:is>
      </x:c>
      <x:c r="H33" s="7">
        <x:f>IF(OR(E33="",F33="Complete"),"", MAX(0, TODAY()-E33))</x:f>
      </x:c>
      <x:c r="I33" s="6" t="inlineStr">
        <x:is>
          <x:t xml:space="preserve"/>
        </x:is>
      </x:c>
      <x:c r="J33" s="6" t="inlineStr">
        <x:is>
          <x:t xml:space="preserve"/>
        </x:is>
      </x:c>
    </x:row>
    <x:row r="34">
      <x:c r="A34" s="7">
        <x:f>IF(C34="","", "ACT-"&amp;TEXT(ROW()-1,"00000"))</x:f>
      </x:c>
      <x:c r="B34" s="7" t="inlineStr">
        <x:is>
          <x:t xml:space="preserve"/>
        </x:is>
      </x:c>
      <x:c r="C34" s="6" t="inlineStr">
        <x:is>
          <x:t xml:space="preserve"/>
        </x:is>
      </x:c>
      <x:c r="D34" s="6" t="inlineStr">
        <x:is>
          <x:t xml:space="preserve"/>
        </x:is>
      </x:c>
      <x:c r="E34" s="8" t="inlineStr">
        <x:is>
          <x:t xml:space="preserve"/>
        </x:is>
      </x:c>
      <x:c r="F34" s="7" t="inlineStr">
        <x:is>
          <x:t xml:space="preserve"/>
        </x:is>
      </x:c>
      <x:c r="G34" s="8" t="inlineStr">
        <x:is>
          <x:t xml:space="preserve"/>
        </x:is>
      </x:c>
      <x:c r="H34" s="7">
        <x:f>IF(OR(E34="",F34="Complete"),"", MAX(0, TODAY()-E34))</x:f>
      </x:c>
      <x:c r="I34" s="6" t="inlineStr">
        <x:is>
          <x:t xml:space="preserve"/>
        </x:is>
      </x:c>
      <x:c r="J34" s="6" t="inlineStr">
        <x:is>
          <x:t xml:space="preserve"/>
        </x:is>
      </x:c>
    </x:row>
    <x:row r="35">
      <x:c r="A35" s="7">
        <x:f>IF(C35="","", "ACT-"&amp;TEXT(ROW()-1,"00000"))</x:f>
      </x:c>
      <x:c r="B35" s="7" t="inlineStr">
        <x:is>
          <x:t xml:space="preserve"/>
        </x:is>
      </x:c>
      <x:c r="C35" s="6" t="inlineStr">
        <x:is>
          <x:t xml:space="preserve"/>
        </x:is>
      </x:c>
      <x:c r="D35" s="6" t="inlineStr">
        <x:is>
          <x:t xml:space="preserve"/>
        </x:is>
      </x:c>
      <x:c r="E35" s="8" t="inlineStr">
        <x:is>
          <x:t xml:space="preserve"/>
        </x:is>
      </x:c>
      <x:c r="F35" s="7" t="inlineStr">
        <x:is>
          <x:t xml:space="preserve"/>
        </x:is>
      </x:c>
      <x:c r="G35" s="8" t="inlineStr">
        <x:is>
          <x:t xml:space="preserve"/>
        </x:is>
      </x:c>
      <x:c r="H35" s="7">
        <x:f>IF(OR(E35="",F35="Complete"),"", MAX(0, TODAY()-E35))</x:f>
      </x:c>
      <x:c r="I35" s="6" t="inlineStr">
        <x:is>
          <x:t xml:space="preserve"/>
        </x:is>
      </x:c>
      <x:c r="J35" s="6" t="inlineStr">
        <x:is>
          <x:t xml:space="preserve"/>
        </x:is>
      </x:c>
    </x:row>
    <x:row r="36">
      <x:c r="A36" s="7">
        <x:f>IF(C36="","", "ACT-"&amp;TEXT(ROW()-1,"00000"))</x:f>
      </x:c>
      <x:c r="B36" s="7" t="inlineStr">
        <x:is>
          <x:t xml:space="preserve"/>
        </x:is>
      </x:c>
      <x:c r="C36" s="6" t="inlineStr">
        <x:is>
          <x:t xml:space="preserve"/>
        </x:is>
      </x:c>
      <x:c r="D36" s="6" t="inlineStr">
        <x:is>
          <x:t xml:space="preserve"/>
        </x:is>
      </x:c>
      <x:c r="E36" s="8" t="inlineStr">
        <x:is>
          <x:t xml:space="preserve"/>
        </x:is>
      </x:c>
      <x:c r="F36" s="7" t="inlineStr">
        <x:is>
          <x:t xml:space="preserve"/>
        </x:is>
      </x:c>
      <x:c r="G36" s="8" t="inlineStr">
        <x:is>
          <x:t xml:space="preserve"/>
        </x:is>
      </x:c>
      <x:c r="H36" s="7">
        <x:f>IF(OR(E36="",F36="Complete"),"", MAX(0, TODAY()-E36))</x:f>
      </x:c>
      <x:c r="I36" s="6" t="inlineStr">
        <x:is>
          <x:t xml:space="preserve"/>
        </x:is>
      </x:c>
      <x:c r="J36" s="6" t="inlineStr">
        <x:is>
          <x:t xml:space="preserve"/>
        </x:is>
      </x:c>
    </x:row>
    <x:row r="37">
      <x:c r="A37" s="7">
        <x:f>IF(C37="","", "ACT-"&amp;TEXT(ROW()-1,"00000"))</x:f>
      </x:c>
      <x:c r="B37" s="7" t="inlineStr">
        <x:is>
          <x:t xml:space="preserve"/>
        </x:is>
      </x:c>
      <x:c r="C37" s="6" t="inlineStr">
        <x:is>
          <x:t xml:space="preserve"/>
        </x:is>
      </x:c>
      <x:c r="D37" s="6" t="inlineStr">
        <x:is>
          <x:t xml:space="preserve"/>
        </x:is>
      </x:c>
      <x:c r="E37" s="8" t="inlineStr">
        <x:is>
          <x:t xml:space="preserve"/>
        </x:is>
      </x:c>
      <x:c r="F37" s="7" t="inlineStr">
        <x:is>
          <x:t xml:space="preserve"/>
        </x:is>
      </x:c>
      <x:c r="G37" s="8" t="inlineStr">
        <x:is>
          <x:t xml:space="preserve"/>
        </x:is>
      </x:c>
      <x:c r="H37" s="7">
        <x:f>IF(OR(E37="",F37="Complete"),"", MAX(0, TODAY()-E37))</x:f>
      </x:c>
      <x:c r="I37" s="6" t="inlineStr">
        <x:is>
          <x:t xml:space="preserve"/>
        </x:is>
      </x:c>
      <x:c r="J37" s="6" t="inlineStr">
        <x:is>
          <x:t xml:space="preserve"/>
        </x:is>
      </x:c>
    </x:row>
    <x:row r="38">
      <x:c r="A38" s="7">
        <x:f>IF(C38="","", "ACT-"&amp;TEXT(ROW()-1,"00000"))</x:f>
      </x:c>
      <x:c r="B38" s="7" t="inlineStr">
        <x:is>
          <x:t xml:space="preserve"/>
        </x:is>
      </x:c>
      <x:c r="C38" s="6" t="inlineStr">
        <x:is>
          <x:t xml:space="preserve"/>
        </x:is>
      </x:c>
      <x:c r="D38" s="6" t="inlineStr">
        <x:is>
          <x:t xml:space="preserve"/>
        </x:is>
      </x:c>
      <x:c r="E38" s="8" t="inlineStr">
        <x:is>
          <x:t xml:space="preserve"/>
        </x:is>
      </x:c>
      <x:c r="F38" s="7" t="inlineStr">
        <x:is>
          <x:t xml:space="preserve"/>
        </x:is>
      </x:c>
      <x:c r="G38" s="8" t="inlineStr">
        <x:is>
          <x:t xml:space="preserve"/>
        </x:is>
      </x:c>
      <x:c r="H38" s="7">
        <x:f>IF(OR(E38="",F38="Complete"),"", MAX(0, TODAY()-E38))</x:f>
      </x:c>
      <x:c r="I38" s="6" t="inlineStr">
        <x:is>
          <x:t xml:space="preserve"/>
        </x:is>
      </x:c>
      <x:c r="J38" s="6" t="inlineStr">
        <x:is>
          <x:t xml:space="preserve"/>
        </x:is>
      </x:c>
    </x:row>
    <x:row r="39">
      <x:c r="A39" s="7">
        <x:f>IF(C39="","", "ACT-"&amp;TEXT(ROW()-1,"00000"))</x:f>
      </x:c>
      <x:c r="B39" s="7" t="inlineStr">
        <x:is>
          <x:t xml:space="preserve"/>
        </x:is>
      </x:c>
      <x:c r="C39" s="6" t="inlineStr">
        <x:is>
          <x:t xml:space="preserve"/>
        </x:is>
      </x:c>
      <x:c r="D39" s="6" t="inlineStr">
        <x:is>
          <x:t xml:space="preserve"/>
        </x:is>
      </x:c>
      <x:c r="E39" s="8" t="inlineStr">
        <x:is>
          <x:t xml:space="preserve"/>
        </x:is>
      </x:c>
      <x:c r="F39" s="7" t="inlineStr">
        <x:is>
          <x:t xml:space="preserve"/>
        </x:is>
      </x:c>
      <x:c r="G39" s="8" t="inlineStr">
        <x:is>
          <x:t xml:space="preserve"/>
        </x:is>
      </x:c>
      <x:c r="H39" s="7">
        <x:f>IF(OR(E39="",F39="Complete"),"", MAX(0, TODAY()-E39))</x:f>
      </x:c>
      <x:c r="I39" s="6" t="inlineStr">
        <x:is>
          <x:t xml:space="preserve"/>
        </x:is>
      </x:c>
      <x:c r="J39" s="6" t="inlineStr">
        <x:is>
          <x:t xml:space="preserve"/>
        </x:is>
      </x:c>
    </x:row>
    <x:row r="40">
      <x:c r="A40" s="7">
        <x:f>IF(C40="","", "ACT-"&amp;TEXT(ROW()-1,"00000"))</x:f>
      </x:c>
      <x:c r="B40" s="7" t="inlineStr">
        <x:is>
          <x:t xml:space="preserve"/>
        </x:is>
      </x:c>
      <x:c r="C40" s="6" t="inlineStr">
        <x:is>
          <x:t xml:space="preserve"/>
        </x:is>
      </x:c>
      <x:c r="D40" s="6" t="inlineStr">
        <x:is>
          <x:t xml:space="preserve"/>
        </x:is>
      </x:c>
      <x:c r="E40" s="8" t="inlineStr">
        <x:is>
          <x:t xml:space="preserve"/>
        </x:is>
      </x:c>
      <x:c r="F40" s="7" t="inlineStr">
        <x:is>
          <x:t xml:space="preserve"/>
        </x:is>
      </x:c>
      <x:c r="G40" s="8" t="inlineStr">
        <x:is>
          <x:t xml:space="preserve"/>
        </x:is>
      </x:c>
      <x:c r="H40" s="7">
        <x:f>IF(OR(E40="",F40="Complete"),"", MAX(0, TODAY()-E40))</x:f>
      </x:c>
      <x:c r="I40" s="6" t="inlineStr">
        <x:is>
          <x:t xml:space="preserve"/>
        </x:is>
      </x:c>
      <x:c r="J40" s="6" t="inlineStr">
        <x:is>
          <x:t xml:space="preserve"/>
        </x:is>
      </x:c>
    </x:row>
    <x:row r="41">
      <x:c r="A41" s="7">
        <x:f>IF(C41="","", "ACT-"&amp;TEXT(ROW()-1,"00000"))</x:f>
      </x:c>
      <x:c r="B41" s="7" t="inlineStr">
        <x:is>
          <x:t xml:space="preserve"/>
        </x:is>
      </x:c>
      <x:c r="C41" s="6" t="inlineStr">
        <x:is>
          <x:t xml:space="preserve"/>
        </x:is>
      </x:c>
      <x:c r="D41" s="6" t="inlineStr">
        <x:is>
          <x:t xml:space="preserve"/>
        </x:is>
      </x:c>
      <x:c r="E41" s="8" t="inlineStr">
        <x:is>
          <x:t xml:space="preserve"/>
        </x:is>
      </x:c>
      <x:c r="F41" s="7" t="inlineStr">
        <x:is>
          <x:t xml:space="preserve"/>
        </x:is>
      </x:c>
      <x:c r="G41" s="8" t="inlineStr">
        <x:is>
          <x:t xml:space="preserve"/>
        </x:is>
      </x:c>
      <x:c r="H41" s="7">
        <x:f>IF(OR(E41="",F41="Complete"),"", MAX(0, TODAY()-E41))</x:f>
      </x:c>
      <x:c r="I41" s="6" t="inlineStr">
        <x:is>
          <x:t xml:space="preserve"/>
        </x:is>
      </x:c>
      <x:c r="J41" s="6" t="inlineStr">
        <x:is>
          <x:t xml:space="preserve"/>
        </x:is>
      </x:c>
    </x:row>
    <x:row r="42">
      <x:c r="A42" s="7">
        <x:f>IF(C42="","", "ACT-"&amp;TEXT(ROW()-1,"00000"))</x:f>
      </x:c>
      <x:c r="B42" s="7" t="inlineStr">
        <x:is>
          <x:t xml:space="preserve"/>
        </x:is>
      </x:c>
      <x:c r="C42" s="6" t="inlineStr">
        <x:is>
          <x:t xml:space="preserve"/>
        </x:is>
      </x:c>
      <x:c r="D42" s="6" t="inlineStr">
        <x:is>
          <x:t xml:space="preserve"/>
        </x:is>
      </x:c>
      <x:c r="E42" s="8" t="inlineStr">
        <x:is>
          <x:t xml:space="preserve"/>
        </x:is>
      </x:c>
      <x:c r="F42" s="7" t="inlineStr">
        <x:is>
          <x:t xml:space="preserve"/>
        </x:is>
      </x:c>
      <x:c r="G42" s="8" t="inlineStr">
        <x:is>
          <x:t xml:space="preserve"/>
        </x:is>
      </x:c>
      <x:c r="H42" s="7">
        <x:f>IF(OR(E42="",F42="Complete"),"", MAX(0, TODAY()-E42))</x:f>
      </x:c>
      <x:c r="I42" s="6" t="inlineStr">
        <x:is>
          <x:t xml:space="preserve"/>
        </x:is>
      </x:c>
      <x:c r="J42" s="6" t="inlineStr">
        <x:is>
          <x:t xml:space="preserve"/>
        </x:is>
      </x:c>
    </x:row>
    <x:row r="43">
      <x:c r="A43" s="7">
        <x:f>IF(C43="","", "ACT-"&amp;TEXT(ROW()-1,"00000"))</x:f>
      </x:c>
      <x:c r="B43" s="7" t="inlineStr">
        <x:is>
          <x:t xml:space="preserve"/>
        </x:is>
      </x:c>
      <x:c r="C43" s="6" t="inlineStr">
        <x:is>
          <x:t xml:space="preserve"/>
        </x:is>
      </x:c>
      <x:c r="D43" s="6" t="inlineStr">
        <x:is>
          <x:t xml:space="preserve"/>
        </x:is>
      </x:c>
      <x:c r="E43" s="8" t="inlineStr">
        <x:is>
          <x:t xml:space="preserve"/>
        </x:is>
      </x:c>
      <x:c r="F43" s="7" t="inlineStr">
        <x:is>
          <x:t xml:space="preserve"/>
        </x:is>
      </x:c>
      <x:c r="G43" s="8" t="inlineStr">
        <x:is>
          <x:t xml:space="preserve"/>
        </x:is>
      </x:c>
      <x:c r="H43" s="7">
        <x:f>IF(OR(E43="",F43="Complete"),"", MAX(0, TODAY()-E43))</x:f>
      </x:c>
      <x:c r="I43" s="6" t="inlineStr">
        <x:is>
          <x:t xml:space="preserve"/>
        </x:is>
      </x:c>
      <x:c r="J43" s="6" t="inlineStr">
        <x:is>
          <x:t xml:space="preserve"/>
        </x:is>
      </x:c>
    </x:row>
    <x:row r="44">
      <x:c r="A44" s="7">
        <x:f>IF(C44="","", "ACT-"&amp;TEXT(ROW()-1,"00000"))</x:f>
      </x:c>
      <x:c r="B44" s="7" t="inlineStr">
        <x:is>
          <x:t xml:space="preserve"/>
        </x:is>
      </x:c>
      <x:c r="C44" s="6" t="inlineStr">
        <x:is>
          <x:t xml:space="preserve"/>
        </x:is>
      </x:c>
      <x:c r="D44" s="6" t="inlineStr">
        <x:is>
          <x:t xml:space="preserve"/>
        </x:is>
      </x:c>
      <x:c r="E44" s="8" t="inlineStr">
        <x:is>
          <x:t xml:space="preserve"/>
        </x:is>
      </x:c>
      <x:c r="F44" s="7" t="inlineStr">
        <x:is>
          <x:t xml:space="preserve"/>
        </x:is>
      </x:c>
      <x:c r="G44" s="8" t="inlineStr">
        <x:is>
          <x:t xml:space="preserve"/>
        </x:is>
      </x:c>
      <x:c r="H44" s="7">
        <x:f>IF(OR(E44="",F44="Complete"),"", MAX(0, TODAY()-E44))</x:f>
      </x:c>
      <x:c r="I44" s="6" t="inlineStr">
        <x:is>
          <x:t xml:space="preserve"/>
        </x:is>
      </x:c>
      <x:c r="J44" s="6" t="inlineStr">
        <x:is>
          <x:t xml:space="preserve"/>
        </x:is>
      </x:c>
    </x:row>
    <x:row r="45">
      <x:c r="A45" s="7">
        <x:f>IF(C45="","", "ACT-"&amp;TEXT(ROW()-1,"00000"))</x:f>
      </x:c>
      <x:c r="B45" s="7" t="inlineStr">
        <x:is>
          <x:t xml:space="preserve"/>
        </x:is>
      </x:c>
      <x:c r="C45" s="6" t="inlineStr">
        <x:is>
          <x:t xml:space="preserve"/>
        </x:is>
      </x:c>
      <x:c r="D45" s="6" t="inlineStr">
        <x:is>
          <x:t xml:space="preserve"/>
        </x:is>
      </x:c>
      <x:c r="E45" s="8" t="inlineStr">
        <x:is>
          <x:t xml:space="preserve"/>
        </x:is>
      </x:c>
      <x:c r="F45" s="7" t="inlineStr">
        <x:is>
          <x:t xml:space="preserve"/>
        </x:is>
      </x:c>
      <x:c r="G45" s="8" t="inlineStr">
        <x:is>
          <x:t xml:space="preserve"/>
        </x:is>
      </x:c>
      <x:c r="H45" s="7">
        <x:f>IF(OR(E45="",F45="Complete"),"", MAX(0, TODAY()-E45))</x:f>
      </x:c>
      <x:c r="I45" s="6" t="inlineStr">
        <x:is>
          <x:t xml:space="preserve"/>
        </x:is>
      </x:c>
      <x:c r="J45" s="6" t="inlineStr">
        <x:is>
          <x:t xml:space="preserve"/>
        </x:is>
      </x:c>
    </x:row>
    <x:row r="46">
      <x:c r="A46" s="7">
        <x:f>IF(C46="","", "ACT-"&amp;TEXT(ROW()-1,"00000"))</x:f>
      </x:c>
      <x:c r="B46" s="7" t="inlineStr">
        <x:is>
          <x:t xml:space="preserve"/>
        </x:is>
      </x:c>
      <x:c r="C46" s="6" t="inlineStr">
        <x:is>
          <x:t xml:space="preserve"/>
        </x:is>
      </x:c>
      <x:c r="D46" s="6" t="inlineStr">
        <x:is>
          <x:t xml:space="preserve"/>
        </x:is>
      </x:c>
      <x:c r="E46" s="8" t="inlineStr">
        <x:is>
          <x:t xml:space="preserve"/>
        </x:is>
      </x:c>
      <x:c r="F46" s="7" t="inlineStr">
        <x:is>
          <x:t xml:space="preserve"/>
        </x:is>
      </x:c>
      <x:c r="G46" s="8" t="inlineStr">
        <x:is>
          <x:t xml:space="preserve"/>
        </x:is>
      </x:c>
      <x:c r="H46" s="7">
        <x:f>IF(OR(E46="",F46="Complete"),"", MAX(0, TODAY()-E46))</x:f>
      </x:c>
      <x:c r="I46" s="6" t="inlineStr">
        <x:is>
          <x:t xml:space="preserve"/>
        </x:is>
      </x:c>
      <x:c r="J46" s="6" t="inlineStr">
        <x:is>
          <x:t xml:space="preserve"/>
        </x:is>
      </x:c>
    </x:row>
    <x:row r="47">
      <x:c r="A47" s="7">
        <x:f>IF(C47="","", "ACT-"&amp;TEXT(ROW()-1,"00000"))</x:f>
      </x:c>
      <x:c r="B47" s="7" t="inlineStr">
        <x:is>
          <x:t xml:space="preserve"/>
        </x:is>
      </x:c>
      <x:c r="C47" s="6" t="inlineStr">
        <x:is>
          <x:t xml:space="preserve"/>
        </x:is>
      </x:c>
      <x:c r="D47" s="6" t="inlineStr">
        <x:is>
          <x:t xml:space="preserve"/>
        </x:is>
      </x:c>
      <x:c r="E47" s="8" t="inlineStr">
        <x:is>
          <x:t xml:space="preserve"/>
        </x:is>
      </x:c>
      <x:c r="F47" s="7" t="inlineStr">
        <x:is>
          <x:t xml:space="preserve"/>
        </x:is>
      </x:c>
      <x:c r="G47" s="8" t="inlineStr">
        <x:is>
          <x:t xml:space="preserve"/>
        </x:is>
      </x:c>
      <x:c r="H47" s="7">
        <x:f>IF(OR(E47="",F47="Complete"),"", MAX(0, TODAY()-E47))</x:f>
      </x:c>
      <x:c r="I47" s="6" t="inlineStr">
        <x:is>
          <x:t xml:space="preserve"/>
        </x:is>
      </x:c>
      <x:c r="J47" s="6" t="inlineStr">
        <x:is>
          <x:t xml:space="preserve"/>
        </x:is>
      </x:c>
    </x:row>
    <x:row r="48">
      <x:c r="A48" s="7">
        <x:f>IF(C48="","", "ACT-"&amp;TEXT(ROW()-1,"00000"))</x:f>
      </x:c>
      <x:c r="B48" s="7" t="inlineStr">
        <x:is>
          <x:t xml:space="preserve"/>
        </x:is>
      </x:c>
      <x:c r="C48" s="6" t="inlineStr">
        <x:is>
          <x:t xml:space="preserve"/>
        </x:is>
      </x:c>
      <x:c r="D48" s="6" t="inlineStr">
        <x:is>
          <x:t xml:space="preserve"/>
        </x:is>
      </x:c>
      <x:c r="E48" s="8" t="inlineStr">
        <x:is>
          <x:t xml:space="preserve"/>
        </x:is>
      </x:c>
      <x:c r="F48" s="7" t="inlineStr">
        <x:is>
          <x:t xml:space="preserve"/>
        </x:is>
      </x:c>
      <x:c r="G48" s="8" t="inlineStr">
        <x:is>
          <x:t xml:space="preserve"/>
        </x:is>
      </x:c>
      <x:c r="H48" s="7">
        <x:f>IF(OR(E48="",F48="Complete"),"", MAX(0, TODAY()-E48))</x:f>
      </x:c>
      <x:c r="I48" s="6" t="inlineStr">
        <x:is>
          <x:t xml:space="preserve"/>
        </x:is>
      </x:c>
      <x:c r="J48" s="6" t="inlineStr">
        <x:is>
          <x:t xml:space="preserve"/>
        </x:is>
      </x:c>
    </x:row>
    <x:row r="49">
      <x:c r="A49" s="7">
        <x:f>IF(C49="","", "ACT-"&amp;TEXT(ROW()-1,"00000"))</x:f>
      </x:c>
      <x:c r="B49" s="7" t="inlineStr">
        <x:is>
          <x:t xml:space="preserve"/>
        </x:is>
      </x:c>
      <x:c r="C49" s="6" t="inlineStr">
        <x:is>
          <x:t xml:space="preserve"/>
        </x:is>
      </x:c>
      <x:c r="D49" s="6" t="inlineStr">
        <x:is>
          <x:t xml:space="preserve"/>
        </x:is>
      </x:c>
      <x:c r="E49" s="8" t="inlineStr">
        <x:is>
          <x:t xml:space="preserve"/>
        </x:is>
      </x:c>
      <x:c r="F49" s="7" t="inlineStr">
        <x:is>
          <x:t xml:space="preserve"/>
        </x:is>
      </x:c>
      <x:c r="G49" s="8" t="inlineStr">
        <x:is>
          <x:t xml:space="preserve"/>
        </x:is>
      </x:c>
      <x:c r="H49" s="7">
        <x:f>IF(OR(E49="",F49="Complete"),"", MAX(0, TODAY()-E49))</x:f>
      </x:c>
      <x:c r="I49" s="6" t="inlineStr">
        <x:is>
          <x:t xml:space="preserve"/>
        </x:is>
      </x:c>
      <x:c r="J49" s="6" t="inlineStr">
        <x:is>
          <x:t xml:space="preserve"/>
        </x:is>
      </x:c>
    </x:row>
    <x:row r="50">
      <x:c r="A50" s="7">
        <x:f>IF(C50="","", "ACT-"&amp;TEXT(ROW()-1,"00000"))</x:f>
      </x:c>
      <x:c r="B50" s="7" t="inlineStr">
        <x:is>
          <x:t xml:space="preserve"/>
        </x:is>
      </x:c>
      <x:c r="C50" s="6" t="inlineStr">
        <x:is>
          <x:t xml:space="preserve"/>
        </x:is>
      </x:c>
      <x:c r="D50" s="6" t="inlineStr">
        <x:is>
          <x:t xml:space="preserve"/>
        </x:is>
      </x:c>
      <x:c r="E50" s="8" t="inlineStr">
        <x:is>
          <x:t xml:space="preserve"/>
        </x:is>
      </x:c>
      <x:c r="F50" s="7" t="inlineStr">
        <x:is>
          <x:t xml:space="preserve"/>
        </x:is>
      </x:c>
      <x:c r="G50" s="8" t="inlineStr">
        <x:is>
          <x:t xml:space="preserve"/>
        </x:is>
      </x:c>
      <x:c r="H50" s="7">
        <x:f>IF(OR(E50="",F50="Complete"),"", MAX(0, TODAY()-E50))</x:f>
      </x:c>
      <x:c r="I50" s="6" t="inlineStr">
        <x:is>
          <x:t xml:space="preserve"/>
        </x:is>
      </x:c>
      <x:c r="J50" s="6" t="inlineStr">
        <x:is>
          <x:t xml:space="preserve"/>
        </x:is>
      </x:c>
    </x:row>
    <x:row r="51">
      <x:c r="A51" s="7">
        <x:f>IF(C51="","", "ACT-"&amp;TEXT(ROW()-1,"00000"))</x:f>
      </x:c>
      <x:c r="B51" s="7" t="inlineStr">
        <x:is>
          <x:t xml:space="preserve"/>
        </x:is>
      </x:c>
      <x:c r="C51" s="6" t="inlineStr">
        <x:is>
          <x:t xml:space="preserve"/>
        </x:is>
      </x:c>
      <x:c r="D51" s="6" t="inlineStr">
        <x:is>
          <x:t xml:space="preserve"/>
        </x:is>
      </x:c>
      <x:c r="E51" s="8" t="inlineStr">
        <x:is>
          <x:t xml:space="preserve"/>
        </x:is>
      </x:c>
      <x:c r="F51" s="7" t="inlineStr">
        <x:is>
          <x:t xml:space="preserve"/>
        </x:is>
      </x:c>
      <x:c r="G51" s="8" t="inlineStr">
        <x:is>
          <x:t xml:space="preserve"/>
        </x:is>
      </x:c>
      <x:c r="H51" s="7">
        <x:f>IF(OR(E51="",F51="Complete"),"", MAX(0, TODAY()-E51))</x:f>
      </x:c>
      <x:c r="I51" s="6" t="inlineStr">
        <x:is>
          <x:t xml:space="preserve"/>
        </x:is>
      </x:c>
      <x:c r="J51" s="6" t="inlineStr">
        <x:is>
          <x:t xml:space="preserve"/>
        </x:is>
      </x:c>
    </x:row>
    <x:row r="52">
      <x:c r="A52" s="7">
        <x:f>IF(C52="","", "ACT-"&amp;TEXT(ROW()-1,"00000"))</x:f>
      </x:c>
      <x:c r="B52" s="7" t="inlineStr">
        <x:is>
          <x:t xml:space="preserve"/>
        </x:is>
      </x:c>
      <x:c r="C52" s="6" t="inlineStr">
        <x:is>
          <x:t xml:space="preserve"/>
        </x:is>
      </x:c>
      <x:c r="D52" s="6" t="inlineStr">
        <x:is>
          <x:t xml:space="preserve"/>
        </x:is>
      </x:c>
      <x:c r="E52" s="8" t="inlineStr">
        <x:is>
          <x:t xml:space="preserve"/>
        </x:is>
      </x:c>
      <x:c r="F52" s="7" t="inlineStr">
        <x:is>
          <x:t xml:space="preserve"/>
        </x:is>
      </x:c>
      <x:c r="G52" s="8" t="inlineStr">
        <x:is>
          <x:t xml:space="preserve"/>
        </x:is>
      </x:c>
      <x:c r="H52" s="7">
        <x:f>IF(OR(E52="",F52="Complete"),"", MAX(0, TODAY()-E52))</x:f>
      </x:c>
      <x:c r="I52" s="6" t="inlineStr">
        <x:is>
          <x:t xml:space="preserve"/>
        </x:is>
      </x:c>
      <x:c r="J52" s="6" t="inlineStr">
        <x:is>
          <x:t xml:space="preserve"/>
        </x:is>
      </x:c>
    </x:row>
    <x:row r="53">
      <x:c r="A53" s="7">
        <x:f>IF(C53="","", "ACT-"&amp;TEXT(ROW()-1,"00000"))</x:f>
      </x:c>
      <x:c r="B53" s="7" t="inlineStr">
        <x:is>
          <x:t xml:space="preserve"/>
        </x:is>
      </x:c>
      <x:c r="C53" s="6" t="inlineStr">
        <x:is>
          <x:t xml:space="preserve"/>
        </x:is>
      </x:c>
      <x:c r="D53" s="6" t="inlineStr">
        <x:is>
          <x:t xml:space="preserve"/>
        </x:is>
      </x:c>
      <x:c r="E53" s="8" t="inlineStr">
        <x:is>
          <x:t xml:space="preserve"/>
        </x:is>
      </x:c>
      <x:c r="F53" s="7" t="inlineStr">
        <x:is>
          <x:t xml:space="preserve"/>
        </x:is>
      </x:c>
      <x:c r="G53" s="8" t="inlineStr">
        <x:is>
          <x:t xml:space="preserve"/>
        </x:is>
      </x:c>
      <x:c r="H53" s="7">
        <x:f>IF(OR(E53="",F53="Complete"),"", MAX(0, TODAY()-E53))</x:f>
      </x:c>
      <x:c r="I53" s="6" t="inlineStr">
        <x:is>
          <x:t xml:space="preserve"/>
        </x:is>
      </x:c>
      <x:c r="J53" s="6" t="inlineStr">
        <x:is>
          <x:t xml:space="preserve"/>
        </x:is>
      </x:c>
    </x:row>
    <x:row r="54">
      <x:c r="A54" s="7">
        <x:f>IF(C54="","", "ACT-"&amp;TEXT(ROW()-1,"00000"))</x:f>
      </x:c>
      <x:c r="B54" s="7" t="inlineStr">
        <x:is>
          <x:t xml:space="preserve"/>
        </x:is>
      </x:c>
      <x:c r="C54" s="6" t="inlineStr">
        <x:is>
          <x:t xml:space="preserve"/>
        </x:is>
      </x:c>
      <x:c r="D54" s="6" t="inlineStr">
        <x:is>
          <x:t xml:space="preserve"/>
        </x:is>
      </x:c>
      <x:c r="E54" s="8" t="inlineStr">
        <x:is>
          <x:t xml:space="preserve"/>
        </x:is>
      </x:c>
      <x:c r="F54" s="7" t="inlineStr">
        <x:is>
          <x:t xml:space="preserve"/>
        </x:is>
      </x:c>
      <x:c r="G54" s="8" t="inlineStr">
        <x:is>
          <x:t xml:space="preserve"/>
        </x:is>
      </x:c>
      <x:c r="H54" s="7">
        <x:f>IF(OR(E54="",F54="Complete"),"", MAX(0, TODAY()-E54))</x:f>
      </x:c>
      <x:c r="I54" s="6" t="inlineStr">
        <x:is>
          <x:t xml:space="preserve"/>
        </x:is>
      </x:c>
      <x:c r="J54" s="6" t="inlineStr">
        <x:is>
          <x:t xml:space="preserve"/>
        </x:is>
      </x:c>
    </x:row>
    <x:row r="55">
      <x:c r="A55" s="7">
        <x:f>IF(C55="","", "ACT-"&amp;TEXT(ROW()-1,"00000"))</x:f>
      </x:c>
      <x:c r="B55" s="7" t="inlineStr">
        <x:is>
          <x:t xml:space="preserve"/>
        </x:is>
      </x:c>
      <x:c r="C55" s="6" t="inlineStr">
        <x:is>
          <x:t xml:space="preserve"/>
        </x:is>
      </x:c>
      <x:c r="D55" s="6" t="inlineStr">
        <x:is>
          <x:t xml:space="preserve"/>
        </x:is>
      </x:c>
      <x:c r="E55" s="8" t="inlineStr">
        <x:is>
          <x:t xml:space="preserve"/>
        </x:is>
      </x:c>
      <x:c r="F55" s="7" t="inlineStr">
        <x:is>
          <x:t xml:space="preserve"/>
        </x:is>
      </x:c>
      <x:c r="G55" s="8" t="inlineStr">
        <x:is>
          <x:t xml:space="preserve"/>
        </x:is>
      </x:c>
      <x:c r="H55" s="7">
        <x:f>IF(OR(E55="",F55="Complete"),"", MAX(0, TODAY()-E55))</x:f>
      </x:c>
      <x:c r="I55" s="6" t="inlineStr">
        <x:is>
          <x:t xml:space="preserve"/>
        </x:is>
      </x:c>
      <x:c r="J55" s="6" t="inlineStr">
        <x:is>
          <x:t xml:space="preserve"/>
        </x:is>
      </x:c>
    </x:row>
    <x:row r="56">
      <x:c r="A56" s="7">
        <x:f>IF(C56="","", "ACT-"&amp;TEXT(ROW()-1,"00000"))</x:f>
      </x:c>
      <x:c r="B56" s="7" t="inlineStr">
        <x:is>
          <x:t xml:space="preserve"/>
        </x:is>
      </x:c>
      <x:c r="C56" s="6" t="inlineStr">
        <x:is>
          <x:t xml:space="preserve"/>
        </x:is>
      </x:c>
      <x:c r="D56" s="6" t="inlineStr">
        <x:is>
          <x:t xml:space="preserve"/>
        </x:is>
      </x:c>
      <x:c r="E56" s="8" t="inlineStr">
        <x:is>
          <x:t xml:space="preserve"/>
        </x:is>
      </x:c>
      <x:c r="F56" s="7" t="inlineStr">
        <x:is>
          <x:t xml:space="preserve"/>
        </x:is>
      </x:c>
      <x:c r="G56" s="8" t="inlineStr">
        <x:is>
          <x:t xml:space="preserve"/>
        </x:is>
      </x:c>
      <x:c r="H56" s="7">
        <x:f>IF(OR(E56="",F56="Complete"),"", MAX(0, TODAY()-E56))</x:f>
      </x:c>
      <x:c r="I56" s="6" t="inlineStr">
        <x:is>
          <x:t xml:space="preserve"/>
        </x:is>
      </x:c>
      <x:c r="J56" s="6" t="inlineStr">
        <x:is>
          <x:t xml:space="preserve"/>
        </x:is>
      </x:c>
    </x:row>
    <x:row r="57">
      <x:c r="A57" s="7">
        <x:f>IF(C57="","", "ACT-"&amp;TEXT(ROW()-1,"00000"))</x:f>
      </x:c>
      <x:c r="B57" s="7" t="inlineStr">
        <x:is>
          <x:t xml:space="preserve"/>
        </x:is>
      </x:c>
      <x:c r="C57" s="6" t="inlineStr">
        <x:is>
          <x:t xml:space="preserve"/>
        </x:is>
      </x:c>
      <x:c r="D57" s="6" t="inlineStr">
        <x:is>
          <x:t xml:space="preserve"/>
        </x:is>
      </x:c>
      <x:c r="E57" s="8" t="inlineStr">
        <x:is>
          <x:t xml:space="preserve"/>
        </x:is>
      </x:c>
      <x:c r="F57" s="7" t="inlineStr">
        <x:is>
          <x:t xml:space="preserve"/>
        </x:is>
      </x:c>
      <x:c r="G57" s="8" t="inlineStr">
        <x:is>
          <x:t xml:space="preserve"/>
        </x:is>
      </x:c>
      <x:c r="H57" s="7">
        <x:f>IF(OR(E57="",F57="Complete"),"", MAX(0, TODAY()-E57))</x:f>
      </x:c>
      <x:c r="I57" s="6" t="inlineStr">
        <x:is>
          <x:t xml:space="preserve"/>
        </x:is>
      </x:c>
      <x:c r="J57" s="6" t="inlineStr">
        <x:is>
          <x:t xml:space="preserve"/>
        </x:is>
      </x:c>
    </x:row>
    <x:row r="58">
      <x:c r="A58" s="7">
        <x:f>IF(C58="","", "ACT-"&amp;TEXT(ROW()-1,"00000"))</x:f>
      </x:c>
      <x:c r="B58" s="7" t="inlineStr">
        <x:is>
          <x:t xml:space="preserve"/>
        </x:is>
      </x:c>
      <x:c r="C58" s="6" t="inlineStr">
        <x:is>
          <x:t xml:space="preserve"/>
        </x:is>
      </x:c>
      <x:c r="D58" s="6" t="inlineStr">
        <x:is>
          <x:t xml:space="preserve"/>
        </x:is>
      </x:c>
      <x:c r="E58" s="8" t="inlineStr">
        <x:is>
          <x:t xml:space="preserve"/>
        </x:is>
      </x:c>
      <x:c r="F58" s="7" t="inlineStr">
        <x:is>
          <x:t xml:space="preserve"/>
        </x:is>
      </x:c>
      <x:c r="G58" s="8" t="inlineStr">
        <x:is>
          <x:t xml:space="preserve"/>
        </x:is>
      </x:c>
      <x:c r="H58" s="7">
        <x:f>IF(OR(E58="",F58="Complete"),"", MAX(0, TODAY()-E58))</x:f>
      </x:c>
      <x:c r="I58" s="6" t="inlineStr">
        <x:is>
          <x:t xml:space="preserve"/>
        </x:is>
      </x:c>
      <x:c r="J58" s="6" t="inlineStr">
        <x:is>
          <x:t xml:space="preserve"/>
        </x:is>
      </x:c>
    </x:row>
    <x:row r="59">
      <x:c r="A59" s="7">
        <x:f>IF(C59="","", "ACT-"&amp;TEXT(ROW()-1,"00000"))</x:f>
      </x:c>
      <x:c r="B59" s="7" t="inlineStr">
        <x:is>
          <x:t xml:space="preserve"/>
        </x:is>
      </x:c>
      <x:c r="C59" s="6" t="inlineStr">
        <x:is>
          <x:t xml:space="preserve"/>
        </x:is>
      </x:c>
      <x:c r="D59" s="6" t="inlineStr">
        <x:is>
          <x:t xml:space="preserve"/>
        </x:is>
      </x:c>
      <x:c r="E59" s="8" t="inlineStr">
        <x:is>
          <x:t xml:space="preserve"/>
        </x:is>
      </x:c>
      <x:c r="F59" s="7" t="inlineStr">
        <x:is>
          <x:t xml:space="preserve"/>
        </x:is>
      </x:c>
      <x:c r="G59" s="8" t="inlineStr">
        <x:is>
          <x:t xml:space="preserve"/>
        </x:is>
      </x:c>
      <x:c r="H59" s="7">
        <x:f>IF(OR(E59="",F59="Complete"),"", MAX(0, TODAY()-E59))</x:f>
      </x:c>
      <x:c r="I59" s="6" t="inlineStr">
        <x:is>
          <x:t xml:space="preserve"/>
        </x:is>
      </x:c>
      <x:c r="J59" s="6" t="inlineStr">
        <x:is>
          <x:t xml:space="preserve"/>
        </x:is>
      </x:c>
    </x:row>
    <x:row r="60">
      <x:c r="A60" s="7">
        <x:f>IF(C60="","", "ACT-"&amp;TEXT(ROW()-1,"00000"))</x:f>
      </x:c>
      <x:c r="B60" s="7" t="inlineStr">
        <x:is>
          <x:t xml:space="preserve"/>
        </x:is>
      </x:c>
      <x:c r="C60" s="6" t="inlineStr">
        <x:is>
          <x:t xml:space="preserve"/>
        </x:is>
      </x:c>
      <x:c r="D60" s="6" t="inlineStr">
        <x:is>
          <x:t xml:space="preserve"/>
        </x:is>
      </x:c>
      <x:c r="E60" s="8" t="inlineStr">
        <x:is>
          <x:t xml:space="preserve"/>
        </x:is>
      </x:c>
      <x:c r="F60" s="7" t="inlineStr">
        <x:is>
          <x:t xml:space="preserve"/>
        </x:is>
      </x:c>
      <x:c r="G60" s="8" t="inlineStr">
        <x:is>
          <x:t xml:space="preserve"/>
        </x:is>
      </x:c>
      <x:c r="H60" s="7">
        <x:f>IF(OR(E60="",F60="Complete"),"", MAX(0, TODAY()-E60))</x:f>
      </x:c>
      <x:c r="I60" s="6" t="inlineStr">
        <x:is>
          <x:t xml:space="preserve"/>
        </x:is>
      </x:c>
      <x:c r="J60" s="6" t="inlineStr">
        <x:is>
          <x:t xml:space="preserve"/>
        </x:is>
      </x:c>
    </x:row>
    <x:row r="61">
      <x:c r="A61" s="7">
        <x:f>IF(C61="","", "ACT-"&amp;TEXT(ROW()-1,"00000"))</x:f>
      </x:c>
      <x:c r="B61" s="7" t="inlineStr">
        <x:is>
          <x:t xml:space="preserve"/>
        </x:is>
      </x:c>
      <x:c r="C61" s="6" t="inlineStr">
        <x:is>
          <x:t xml:space="preserve"/>
        </x:is>
      </x:c>
      <x:c r="D61" s="6" t="inlineStr">
        <x:is>
          <x:t xml:space="preserve"/>
        </x:is>
      </x:c>
      <x:c r="E61" s="8" t="inlineStr">
        <x:is>
          <x:t xml:space="preserve"/>
        </x:is>
      </x:c>
      <x:c r="F61" s="7" t="inlineStr">
        <x:is>
          <x:t xml:space="preserve"/>
        </x:is>
      </x:c>
      <x:c r="G61" s="8" t="inlineStr">
        <x:is>
          <x:t xml:space="preserve"/>
        </x:is>
      </x:c>
      <x:c r="H61" s="7">
        <x:f>IF(OR(E61="",F61="Complete"),"", MAX(0, TODAY()-E61))</x:f>
      </x:c>
      <x:c r="I61" s="6" t="inlineStr">
        <x:is>
          <x:t xml:space="preserve"/>
        </x:is>
      </x:c>
      <x:c r="J61" s="6" t="inlineStr">
        <x:is>
          <x:t xml:space="preserve"/>
        </x:is>
      </x:c>
    </x:row>
    <x:row r="62">
      <x:c r="A62" s="7">
        <x:f>IF(C62="","", "ACT-"&amp;TEXT(ROW()-1,"00000"))</x:f>
      </x:c>
      <x:c r="B62" s="7" t="inlineStr">
        <x:is>
          <x:t xml:space="preserve"/>
        </x:is>
      </x:c>
      <x:c r="C62" s="6" t="inlineStr">
        <x:is>
          <x:t xml:space="preserve"/>
        </x:is>
      </x:c>
      <x:c r="D62" s="6" t="inlineStr">
        <x:is>
          <x:t xml:space="preserve"/>
        </x:is>
      </x:c>
      <x:c r="E62" s="8" t="inlineStr">
        <x:is>
          <x:t xml:space="preserve"/>
        </x:is>
      </x:c>
      <x:c r="F62" s="7" t="inlineStr">
        <x:is>
          <x:t xml:space="preserve"/>
        </x:is>
      </x:c>
      <x:c r="G62" s="8" t="inlineStr">
        <x:is>
          <x:t xml:space="preserve"/>
        </x:is>
      </x:c>
      <x:c r="H62" s="7">
        <x:f>IF(OR(E62="",F62="Complete"),"", MAX(0, TODAY()-E62))</x:f>
      </x:c>
      <x:c r="I62" s="6" t="inlineStr">
        <x:is>
          <x:t xml:space="preserve"/>
        </x:is>
      </x:c>
      <x:c r="J62" s="6" t="inlineStr">
        <x:is>
          <x:t xml:space="preserve"/>
        </x:is>
      </x:c>
    </x:row>
    <x:row r="63">
      <x:c r="A63" s="7">
        <x:f>IF(C63="","", "ACT-"&amp;TEXT(ROW()-1,"00000"))</x:f>
      </x:c>
      <x:c r="B63" s="7" t="inlineStr">
        <x:is>
          <x:t xml:space="preserve"/>
        </x:is>
      </x:c>
      <x:c r="C63" s="6" t="inlineStr">
        <x:is>
          <x:t xml:space="preserve"/>
        </x:is>
      </x:c>
      <x:c r="D63" s="6" t="inlineStr">
        <x:is>
          <x:t xml:space="preserve"/>
        </x:is>
      </x:c>
      <x:c r="E63" s="8" t="inlineStr">
        <x:is>
          <x:t xml:space="preserve"/>
        </x:is>
      </x:c>
      <x:c r="F63" s="7" t="inlineStr">
        <x:is>
          <x:t xml:space="preserve"/>
        </x:is>
      </x:c>
      <x:c r="G63" s="8" t="inlineStr">
        <x:is>
          <x:t xml:space="preserve"/>
        </x:is>
      </x:c>
      <x:c r="H63" s="7">
        <x:f>IF(OR(E63="",F63="Complete"),"", MAX(0, TODAY()-E63))</x:f>
      </x:c>
      <x:c r="I63" s="6" t="inlineStr">
        <x:is>
          <x:t xml:space="preserve"/>
        </x:is>
      </x:c>
      <x:c r="J63" s="6" t="inlineStr">
        <x:is>
          <x:t xml:space="preserve"/>
        </x:is>
      </x:c>
    </x:row>
    <x:row r="64">
      <x:c r="A64" s="7">
        <x:f>IF(C64="","", "ACT-"&amp;TEXT(ROW()-1,"00000"))</x:f>
      </x:c>
      <x:c r="B64" s="7" t="inlineStr">
        <x:is>
          <x:t xml:space="preserve"/>
        </x:is>
      </x:c>
      <x:c r="C64" s="6" t="inlineStr">
        <x:is>
          <x:t xml:space="preserve"/>
        </x:is>
      </x:c>
      <x:c r="D64" s="6" t="inlineStr">
        <x:is>
          <x:t xml:space="preserve"/>
        </x:is>
      </x:c>
      <x:c r="E64" s="8" t="inlineStr">
        <x:is>
          <x:t xml:space="preserve"/>
        </x:is>
      </x:c>
      <x:c r="F64" s="7" t="inlineStr">
        <x:is>
          <x:t xml:space="preserve"/>
        </x:is>
      </x:c>
      <x:c r="G64" s="8" t="inlineStr">
        <x:is>
          <x:t xml:space="preserve"/>
        </x:is>
      </x:c>
      <x:c r="H64" s="7">
        <x:f>IF(OR(E64="",F64="Complete"),"", MAX(0, TODAY()-E64))</x:f>
      </x:c>
      <x:c r="I64" s="6" t="inlineStr">
        <x:is>
          <x:t xml:space="preserve"/>
        </x:is>
      </x:c>
      <x:c r="J64" s="6" t="inlineStr">
        <x:is>
          <x:t xml:space="preserve"/>
        </x:is>
      </x:c>
    </x:row>
    <x:row r="65">
      <x:c r="A65" s="7">
        <x:f>IF(C65="","", "ACT-"&amp;TEXT(ROW()-1,"00000"))</x:f>
      </x:c>
      <x:c r="B65" s="7" t="inlineStr">
        <x:is>
          <x:t xml:space="preserve"/>
        </x:is>
      </x:c>
      <x:c r="C65" s="6" t="inlineStr">
        <x:is>
          <x:t xml:space="preserve"/>
        </x:is>
      </x:c>
      <x:c r="D65" s="6" t="inlineStr">
        <x:is>
          <x:t xml:space="preserve"/>
        </x:is>
      </x:c>
      <x:c r="E65" s="8" t="inlineStr">
        <x:is>
          <x:t xml:space="preserve"/>
        </x:is>
      </x:c>
      <x:c r="F65" s="7" t="inlineStr">
        <x:is>
          <x:t xml:space="preserve"/>
        </x:is>
      </x:c>
      <x:c r="G65" s="8" t="inlineStr">
        <x:is>
          <x:t xml:space="preserve"/>
        </x:is>
      </x:c>
      <x:c r="H65" s="7">
        <x:f>IF(OR(E65="",F65="Complete"),"", MAX(0, TODAY()-E65))</x:f>
      </x:c>
      <x:c r="I65" s="6" t="inlineStr">
        <x:is>
          <x:t xml:space="preserve"/>
        </x:is>
      </x:c>
      <x:c r="J65" s="6" t="inlineStr">
        <x:is>
          <x:t xml:space="preserve"/>
        </x:is>
      </x:c>
    </x:row>
    <x:row r="66">
      <x:c r="A66" s="7">
        <x:f>IF(C66="","", "ACT-"&amp;TEXT(ROW()-1,"00000"))</x:f>
      </x:c>
      <x:c r="B66" s="7" t="inlineStr">
        <x:is>
          <x:t xml:space="preserve"/>
        </x:is>
      </x:c>
      <x:c r="C66" s="6" t="inlineStr">
        <x:is>
          <x:t xml:space="preserve"/>
        </x:is>
      </x:c>
      <x:c r="D66" s="6" t="inlineStr">
        <x:is>
          <x:t xml:space="preserve"/>
        </x:is>
      </x:c>
      <x:c r="E66" s="8" t="inlineStr">
        <x:is>
          <x:t xml:space="preserve"/>
        </x:is>
      </x:c>
      <x:c r="F66" s="7" t="inlineStr">
        <x:is>
          <x:t xml:space="preserve"/>
        </x:is>
      </x:c>
      <x:c r="G66" s="8" t="inlineStr">
        <x:is>
          <x:t xml:space="preserve"/>
        </x:is>
      </x:c>
      <x:c r="H66" s="7">
        <x:f>IF(OR(E66="",F66="Complete"),"", MAX(0, TODAY()-E66))</x:f>
      </x:c>
      <x:c r="I66" s="6" t="inlineStr">
        <x:is>
          <x:t xml:space="preserve"/>
        </x:is>
      </x:c>
      <x:c r="J66" s="6" t="inlineStr">
        <x:is>
          <x:t xml:space="preserve"/>
        </x:is>
      </x:c>
    </x:row>
    <x:row r="67">
      <x:c r="A67" s="7">
        <x:f>IF(C67="","", "ACT-"&amp;TEXT(ROW()-1,"00000"))</x:f>
      </x:c>
      <x:c r="B67" s="7" t="inlineStr">
        <x:is>
          <x:t xml:space="preserve"/>
        </x:is>
      </x:c>
      <x:c r="C67" s="6" t="inlineStr">
        <x:is>
          <x:t xml:space="preserve"/>
        </x:is>
      </x:c>
      <x:c r="D67" s="6" t="inlineStr">
        <x:is>
          <x:t xml:space="preserve"/>
        </x:is>
      </x:c>
      <x:c r="E67" s="8" t="inlineStr">
        <x:is>
          <x:t xml:space="preserve"/>
        </x:is>
      </x:c>
      <x:c r="F67" s="7" t="inlineStr">
        <x:is>
          <x:t xml:space="preserve"/>
        </x:is>
      </x:c>
      <x:c r="G67" s="8" t="inlineStr">
        <x:is>
          <x:t xml:space="preserve"/>
        </x:is>
      </x:c>
      <x:c r="H67" s="7">
        <x:f>IF(OR(E67="",F67="Complete"),"", MAX(0, TODAY()-E67))</x:f>
      </x:c>
      <x:c r="I67" s="6" t="inlineStr">
        <x:is>
          <x:t xml:space="preserve"/>
        </x:is>
      </x:c>
      <x:c r="J67" s="6" t="inlineStr">
        <x:is>
          <x:t xml:space="preserve"/>
        </x:is>
      </x:c>
    </x:row>
    <x:row r="68">
      <x:c r="A68" s="7">
        <x:f>IF(C68="","", "ACT-"&amp;TEXT(ROW()-1,"00000"))</x:f>
      </x:c>
      <x:c r="B68" s="7" t="inlineStr">
        <x:is>
          <x:t xml:space="preserve"/>
        </x:is>
      </x:c>
      <x:c r="C68" s="6" t="inlineStr">
        <x:is>
          <x:t xml:space="preserve"/>
        </x:is>
      </x:c>
      <x:c r="D68" s="6" t="inlineStr">
        <x:is>
          <x:t xml:space="preserve"/>
        </x:is>
      </x:c>
      <x:c r="E68" s="8" t="inlineStr">
        <x:is>
          <x:t xml:space="preserve"/>
        </x:is>
      </x:c>
      <x:c r="F68" s="7" t="inlineStr">
        <x:is>
          <x:t xml:space="preserve"/>
        </x:is>
      </x:c>
      <x:c r="G68" s="8" t="inlineStr">
        <x:is>
          <x:t xml:space="preserve"/>
        </x:is>
      </x:c>
      <x:c r="H68" s="7">
        <x:f>IF(OR(E68="",F68="Complete"),"", MAX(0, TODAY()-E68))</x:f>
      </x:c>
      <x:c r="I68" s="6" t="inlineStr">
        <x:is>
          <x:t xml:space="preserve"/>
        </x:is>
      </x:c>
      <x:c r="J68" s="6" t="inlineStr">
        <x:is>
          <x:t xml:space="preserve"/>
        </x:is>
      </x:c>
    </x:row>
    <x:row r="69">
      <x:c r="A69" s="7">
        <x:f>IF(C69="","", "ACT-"&amp;TEXT(ROW()-1,"00000"))</x:f>
      </x:c>
      <x:c r="B69" s="7" t="inlineStr">
        <x:is>
          <x:t xml:space="preserve"/>
        </x:is>
      </x:c>
      <x:c r="C69" s="6" t="inlineStr">
        <x:is>
          <x:t xml:space="preserve"/>
        </x:is>
      </x:c>
      <x:c r="D69" s="6" t="inlineStr">
        <x:is>
          <x:t xml:space="preserve"/>
        </x:is>
      </x:c>
      <x:c r="E69" s="8" t="inlineStr">
        <x:is>
          <x:t xml:space="preserve"/>
        </x:is>
      </x:c>
      <x:c r="F69" s="7" t="inlineStr">
        <x:is>
          <x:t xml:space="preserve"/>
        </x:is>
      </x:c>
      <x:c r="G69" s="8" t="inlineStr">
        <x:is>
          <x:t xml:space="preserve"/>
        </x:is>
      </x:c>
      <x:c r="H69" s="7">
        <x:f>IF(OR(E69="",F69="Complete"),"", MAX(0, TODAY()-E69))</x:f>
      </x:c>
      <x:c r="I69" s="6" t="inlineStr">
        <x:is>
          <x:t xml:space="preserve"/>
        </x:is>
      </x:c>
      <x:c r="J69" s="6" t="inlineStr">
        <x:is>
          <x:t xml:space="preserve"/>
        </x:is>
      </x:c>
    </x:row>
    <x:row r="70">
      <x:c r="A70" s="7">
        <x:f>IF(C70="","", "ACT-"&amp;TEXT(ROW()-1,"00000"))</x:f>
      </x:c>
      <x:c r="B70" s="7" t="inlineStr">
        <x:is>
          <x:t xml:space="preserve"/>
        </x:is>
      </x:c>
      <x:c r="C70" s="6" t="inlineStr">
        <x:is>
          <x:t xml:space="preserve"/>
        </x:is>
      </x:c>
      <x:c r="D70" s="6" t="inlineStr">
        <x:is>
          <x:t xml:space="preserve"/>
        </x:is>
      </x:c>
      <x:c r="E70" s="8" t="inlineStr">
        <x:is>
          <x:t xml:space="preserve"/>
        </x:is>
      </x:c>
      <x:c r="F70" s="7" t="inlineStr">
        <x:is>
          <x:t xml:space="preserve"/>
        </x:is>
      </x:c>
      <x:c r="G70" s="8" t="inlineStr">
        <x:is>
          <x:t xml:space="preserve"/>
        </x:is>
      </x:c>
      <x:c r="H70" s="7">
        <x:f>IF(OR(E70="",F70="Complete"),"", MAX(0, TODAY()-E70))</x:f>
      </x:c>
      <x:c r="I70" s="6" t="inlineStr">
        <x:is>
          <x:t xml:space="preserve"/>
        </x:is>
      </x:c>
      <x:c r="J70" s="6" t="inlineStr">
        <x:is>
          <x:t xml:space="preserve"/>
        </x:is>
      </x:c>
    </x:row>
    <x:row r="71">
      <x:c r="A71" s="7">
        <x:f>IF(C71="","", "ACT-"&amp;TEXT(ROW()-1,"00000"))</x:f>
      </x:c>
      <x:c r="B71" s="7" t="inlineStr">
        <x:is>
          <x:t xml:space="preserve"/>
        </x:is>
      </x:c>
      <x:c r="C71" s="6" t="inlineStr">
        <x:is>
          <x:t xml:space="preserve"/>
        </x:is>
      </x:c>
      <x:c r="D71" s="6" t="inlineStr">
        <x:is>
          <x:t xml:space="preserve"/>
        </x:is>
      </x:c>
      <x:c r="E71" s="8" t="inlineStr">
        <x:is>
          <x:t xml:space="preserve"/>
        </x:is>
      </x:c>
      <x:c r="F71" s="7" t="inlineStr">
        <x:is>
          <x:t xml:space="preserve"/>
        </x:is>
      </x:c>
      <x:c r="G71" s="8" t="inlineStr">
        <x:is>
          <x:t xml:space="preserve"/>
        </x:is>
      </x:c>
      <x:c r="H71" s="7">
        <x:f>IF(OR(E71="",F71="Complete"),"", MAX(0, TODAY()-E71))</x:f>
      </x:c>
      <x:c r="I71" s="6" t="inlineStr">
        <x:is>
          <x:t xml:space="preserve"/>
        </x:is>
      </x:c>
      <x:c r="J71" s="6" t="inlineStr">
        <x:is>
          <x:t xml:space="preserve"/>
        </x:is>
      </x:c>
    </x:row>
    <x:row r="72">
      <x:c r="A72" s="7">
        <x:f>IF(C72="","", "ACT-"&amp;TEXT(ROW()-1,"00000"))</x:f>
      </x:c>
      <x:c r="B72" s="7" t="inlineStr">
        <x:is>
          <x:t xml:space="preserve"/>
        </x:is>
      </x:c>
      <x:c r="C72" s="6" t="inlineStr">
        <x:is>
          <x:t xml:space="preserve"/>
        </x:is>
      </x:c>
      <x:c r="D72" s="6" t="inlineStr">
        <x:is>
          <x:t xml:space="preserve"/>
        </x:is>
      </x:c>
      <x:c r="E72" s="8" t="inlineStr">
        <x:is>
          <x:t xml:space="preserve"/>
        </x:is>
      </x:c>
      <x:c r="F72" s="7" t="inlineStr">
        <x:is>
          <x:t xml:space="preserve"/>
        </x:is>
      </x:c>
      <x:c r="G72" s="8" t="inlineStr">
        <x:is>
          <x:t xml:space="preserve"/>
        </x:is>
      </x:c>
      <x:c r="H72" s="7">
        <x:f>IF(OR(E72="",F72="Complete"),"", MAX(0, TODAY()-E72))</x:f>
      </x:c>
      <x:c r="I72" s="6" t="inlineStr">
        <x:is>
          <x:t xml:space="preserve"/>
        </x:is>
      </x:c>
      <x:c r="J72" s="6" t="inlineStr">
        <x:is>
          <x:t xml:space="preserve"/>
        </x:is>
      </x:c>
    </x:row>
    <x:row r="73">
      <x:c r="A73" s="7">
        <x:f>IF(C73="","", "ACT-"&amp;TEXT(ROW()-1,"00000"))</x:f>
      </x:c>
      <x:c r="B73" s="7" t="inlineStr">
        <x:is>
          <x:t xml:space="preserve"/>
        </x:is>
      </x:c>
      <x:c r="C73" s="6" t="inlineStr">
        <x:is>
          <x:t xml:space="preserve"/>
        </x:is>
      </x:c>
      <x:c r="D73" s="6" t="inlineStr">
        <x:is>
          <x:t xml:space="preserve"/>
        </x:is>
      </x:c>
      <x:c r="E73" s="8" t="inlineStr">
        <x:is>
          <x:t xml:space="preserve"/>
        </x:is>
      </x:c>
      <x:c r="F73" s="7" t="inlineStr">
        <x:is>
          <x:t xml:space="preserve"/>
        </x:is>
      </x:c>
      <x:c r="G73" s="8" t="inlineStr">
        <x:is>
          <x:t xml:space="preserve"/>
        </x:is>
      </x:c>
      <x:c r="H73" s="7">
        <x:f>IF(OR(E73="",F73="Complete"),"", MAX(0, TODAY()-E73))</x:f>
      </x:c>
      <x:c r="I73" s="6" t="inlineStr">
        <x:is>
          <x:t xml:space="preserve"/>
        </x:is>
      </x:c>
      <x:c r="J73" s="6" t="inlineStr">
        <x:is>
          <x:t xml:space="preserve"/>
        </x:is>
      </x:c>
    </x:row>
    <x:row r="74">
      <x:c r="A74" s="7">
        <x:f>IF(C74="","", "ACT-"&amp;TEXT(ROW()-1,"00000"))</x:f>
      </x:c>
      <x:c r="B74" s="7" t="inlineStr">
        <x:is>
          <x:t xml:space="preserve"/>
        </x:is>
      </x:c>
      <x:c r="C74" s="6" t="inlineStr">
        <x:is>
          <x:t xml:space="preserve"/>
        </x:is>
      </x:c>
      <x:c r="D74" s="6" t="inlineStr">
        <x:is>
          <x:t xml:space="preserve"/>
        </x:is>
      </x:c>
      <x:c r="E74" s="8" t="inlineStr">
        <x:is>
          <x:t xml:space="preserve"/>
        </x:is>
      </x:c>
      <x:c r="F74" s="7" t="inlineStr">
        <x:is>
          <x:t xml:space="preserve"/>
        </x:is>
      </x:c>
      <x:c r="G74" s="8" t="inlineStr">
        <x:is>
          <x:t xml:space="preserve"/>
        </x:is>
      </x:c>
      <x:c r="H74" s="7">
        <x:f>IF(OR(E74="",F74="Complete"),"", MAX(0, TODAY()-E74))</x:f>
      </x:c>
      <x:c r="I74" s="6" t="inlineStr">
        <x:is>
          <x:t xml:space="preserve"/>
        </x:is>
      </x:c>
      <x:c r="J74" s="6" t="inlineStr">
        <x:is>
          <x:t xml:space="preserve"/>
        </x:is>
      </x:c>
    </x:row>
    <x:row r="75">
      <x:c r="A75" s="7">
        <x:f>IF(C75="","", "ACT-"&amp;TEXT(ROW()-1,"00000"))</x:f>
      </x:c>
      <x:c r="B75" s="7" t="inlineStr">
        <x:is>
          <x:t xml:space="preserve"/>
        </x:is>
      </x:c>
      <x:c r="C75" s="6" t="inlineStr">
        <x:is>
          <x:t xml:space="preserve"/>
        </x:is>
      </x:c>
      <x:c r="D75" s="6" t="inlineStr">
        <x:is>
          <x:t xml:space="preserve"/>
        </x:is>
      </x:c>
      <x:c r="E75" s="8" t="inlineStr">
        <x:is>
          <x:t xml:space="preserve"/>
        </x:is>
      </x:c>
      <x:c r="F75" s="7" t="inlineStr">
        <x:is>
          <x:t xml:space="preserve"/>
        </x:is>
      </x:c>
      <x:c r="G75" s="8" t="inlineStr">
        <x:is>
          <x:t xml:space="preserve"/>
        </x:is>
      </x:c>
      <x:c r="H75" s="7">
        <x:f>IF(OR(E75="",F75="Complete"),"", MAX(0, TODAY()-E75))</x:f>
      </x:c>
      <x:c r="I75" s="6" t="inlineStr">
        <x:is>
          <x:t xml:space="preserve"/>
        </x:is>
      </x:c>
      <x:c r="J75" s="6" t="inlineStr">
        <x:is>
          <x:t xml:space="preserve"/>
        </x:is>
      </x:c>
    </x:row>
    <x:row r="76">
      <x:c r="A76" s="7">
        <x:f>IF(C76="","", "ACT-"&amp;TEXT(ROW()-1,"00000"))</x:f>
      </x:c>
      <x:c r="B76" s="7" t="inlineStr">
        <x:is>
          <x:t xml:space="preserve"/>
        </x:is>
      </x:c>
      <x:c r="C76" s="6" t="inlineStr">
        <x:is>
          <x:t xml:space="preserve"/>
        </x:is>
      </x:c>
      <x:c r="D76" s="6" t="inlineStr">
        <x:is>
          <x:t xml:space="preserve"/>
        </x:is>
      </x:c>
      <x:c r="E76" s="8" t="inlineStr">
        <x:is>
          <x:t xml:space="preserve"/>
        </x:is>
      </x:c>
      <x:c r="F76" s="7" t="inlineStr">
        <x:is>
          <x:t xml:space="preserve"/>
        </x:is>
      </x:c>
      <x:c r="G76" s="8" t="inlineStr">
        <x:is>
          <x:t xml:space="preserve"/>
        </x:is>
      </x:c>
      <x:c r="H76" s="7">
        <x:f>IF(OR(E76="",F76="Complete"),"", MAX(0, TODAY()-E76))</x:f>
      </x:c>
      <x:c r="I76" s="6" t="inlineStr">
        <x:is>
          <x:t xml:space="preserve"/>
        </x:is>
      </x:c>
      <x:c r="J76" s="6" t="inlineStr">
        <x:is>
          <x:t xml:space="preserve"/>
        </x:is>
      </x:c>
    </x:row>
    <x:row r="77">
      <x:c r="A77" s="7">
        <x:f>IF(C77="","", "ACT-"&amp;TEXT(ROW()-1,"00000"))</x:f>
      </x:c>
      <x:c r="B77" s="7" t="inlineStr">
        <x:is>
          <x:t xml:space="preserve"/>
        </x:is>
      </x:c>
      <x:c r="C77" s="6" t="inlineStr">
        <x:is>
          <x:t xml:space="preserve"/>
        </x:is>
      </x:c>
      <x:c r="D77" s="6" t="inlineStr">
        <x:is>
          <x:t xml:space="preserve"/>
        </x:is>
      </x:c>
      <x:c r="E77" s="8" t="inlineStr">
        <x:is>
          <x:t xml:space="preserve"/>
        </x:is>
      </x:c>
      <x:c r="F77" s="7" t="inlineStr">
        <x:is>
          <x:t xml:space="preserve"/>
        </x:is>
      </x:c>
      <x:c r="G77" s="8" t="inlineStr">
        <x:is>
          <x:t xml:space="preserve"/>
        </x:is>
      </x:c>
      <x:c r="H77" s="7">
        <x:f>IF(OR(E77="",F77="Complete"),"", MAX(0, TODAY()-E77))</x:f>
      </x:c>
      <x:c r="I77" s="6" t="inlineStr">
        <x:is>
          <x:t xml:space="preserve"/>
        </x:is>
      </x:c>
      <x:c r="J77" s="6" t="inlineStr">
        <x:is>
          <x:t xml:space="preserve"/>
        </x:is>
      </x:c>
    </x:row>
    <x:row r="78">
      <x:c r="A78" s="7">
        <x:f>IF(C78="","", "ACT-"&amp;TEXT(ROW()-1,"00000"))</x:f>
      </x:c>
      <x:c r="B78" s="7" t="inlineStr">
        <x:is>
          <x:t xml:space="preserve"/>
        </x:is>
      </x:c>
      <x:c r="C78" s="6" t="inlineStr">
        <x:is>
          <x:t xml:space="preserve"/>
        </x:is>
      </x:c>
      <x:c r="D78" s="6" t="inlineStr">
        <x:is>
          <x:t xml:space="preserve"/>
        </x:is>
      </x:c>
      <x:c r="E78" s="8" t="inlineStr">
        <x:is>
          <x:t xml:space="preserve"/>
        </x:is>
      </x:c>
      <x:c r="F78" s="7" t="inlineStr">
        <x:is>
          <x:t xml:space="preserve"/>
        </x:is>
      </x:c>
      <x:c r="G78" s="8" t="inlineStr">
        <x:is>
          <x:t xml:space="preserve"/>
        </x:is>
      </x:c>
      <x:c r="H78" s="7">
        <x:f>IF(OR(E78="",F78="Complete"),"", MAX(0, TODAY()-E78))</x:f>
      </x:c>
      <x:c r="I78" s="6" t="inlineStr">
        <x:is>
          <x:t xml:space="preserve"/>
        </x:is>
      </x:c>
      <x:c r="J78" s="6" t="inlineStr">
        <x:is>
          <x:t xml:space="preserve"/>
        </x:is>
      </x:c>
    </x:row>
    <x:row r="79">
      <x:c r="A79" s="7">
        <x:f>IF(C79="","", "ACT-"&amp;TEXT(ROW()-1,"00000"))</x:f>
      </x:c>
      <x:c r="B79" s="7" t="inlineStr">
        <x:is>
          <x:t xml:space="preserve"/>
        </x:is>
      </x:c>
      <x:c r="C79" s="6" t="inlineStr">
        <x:is>
          <x:t xml:space="preserve"/>
        </x:is>
      </x:c>
      <x:c r="D79" s="6" t="inlineStr">
        <x:is>
          <x:t xml:space="preserve"/>
        </x:is>
      </x:c>
      <x:c r="E79" s="8" t="inlineStr">
        <x:is>
          <x:t xml:space="preserve"/>
        </x:is>
      </x:c>
      <x:c r="F79" s="7" t="inlineStr">
        <x:is>
          <x:t xml:space="preserve"/>
        </x:is>
      </x:c>
      <x:c r="G79" s="8" t="inlineStr">
        <x:is>
          <x:t xml:space="preserve"/>
        </x:is>
      </x:c>
      <x:c r="H79" s="7">
        <x:f>IF(OR(E79="",F79="Complete"),"", MAX(0, TODAY()-E79))</x:f>
      </x:c>
      <x:c r="I79" s="6" t="inlineStr">
        <x:is>
          <x:t xml:space="preserve"/>
        </x:is>
      </x:c>
      <x:c r="J79" s="6" t="inlineStr">
        <x:is>
          <x:t xml:space="preserve"/>
        </x:is>
      </x:c>
    </x:row>
    <x:row r="80">
      <x:c r="A80" s="7">
        <x:f>IF(C80="","", "ACT-"&amp;TEXT(ROW()-1,"00000"))</x:f>
      </x:c>
      <x:c r="B80" s="7" t="inlineStr">
        <x:is>
          <x:t xml:space="preserve"/>
        </x:is>
      </x:c>
      <x:c r="C80" s="6" t="inlineStr">
        <x:is>
          <x:t xml:space="preserve"/>
        </x:is>
      </x:c>
      <x:c r="D80" s="6" t="inlineStr">
        <x:is>
          <x:t xml:space="preserve"/>
        </x:is>
      </x:c>
      <x:c r="E80" s="8" t="inlineStr">
        <x:is>
          <x:t xml:space="preserve"/>
        </x:is>
      </x:c>
      <x:c r="F80" s="7" t="inlineStr">
        <x:is>
          <x:t xml:space="preserve"/>
        </x:is>
      </x:c>
      <x:c r="G80" s="8" t="inlineStr">
        <x:is>
          <x:t xml:space="preserve"/>
        </x:is>
      </x:c>
      <x:c r="H80" s="7">
        <x:f>IF(OR(E80="",F80="Complete"),"", MAX(0, TODAY()-E80))</x:f>
      </x:c>
      <x:c r="I80" s="6" t="inlineStr">
        <x:is>
          <x:t xml:space="preserve"/>
        </x:is>
      </x:c>
      <x:c r="J80" s="6" t="inlineStr">
        <x:is>
          <x:t xml:space="preserve"/>
        </x:is>
      </x:c>
    </x:row>
    <x:row r="81">
      <x:c r="A81" s="7">
        <x:f>IF(C81="","", "ACT-"&amp;TEXT(ROW()-1,"00000"))</x:f>
      </x:c>
      <x:c r="B81" s="7" t="inlineStr">
        <x:is>
          <x:t xml:space="preserve"/>
        </x:is>
      </x:c>
      <x:c r="C81" s="6" t="inlineStr">
        <x:is>
          <x:t xml:space="preserve"/>
        </x:is>
      </x:c>
      <x:c r="D81" s="6" t="inlineStr">
        <x:is>
          <x:t xml:space="preserve"/>
        </x:is>
      </x:c>
      <x:c r="E81" s="8" t="inlineStr">
        <x:is>
          <x:t xml:space="preserve"/>
        </x:is>
      </x:c>
      <x:c r="F81" s="7" t="inlineStr">
        <x:is>
          <x:t xml:space="preserve"/>
        </x:is>
      </x:c>
      <x:c r="G81" s="8" t="inlineStr">
        <x:is>
          <x:t xml:space="preserve"/>
        </x:is>
      </x:c>
      <x:c r="H81" s="7">
        <x:f>IF(OR(E81="",F81="Complete"),"", MAX(0, TODAY()-E81))</x:f>
      </x:c>
      <x:c r="I81" s="6" t="inlineStr">
        <x:is>
          <x:t xml:space="preserve"/>
        </x:is>
      </x:c>
      <x:c r="J81" s="6" t="inlineStr">
        <x:is>
          <x:t xml:space="preserve"/>
        </x:is>
      </x:c>
    </x:row>
    <x:row r="82">
      <x:c r="A82" s="7">
        <x:f>IF(C82="","", "ACT-"&amp;TEXT(ROW()-1,"00000"))</x:f>
      </x:c>
      <x:c r="B82" s="7" t="inlineStr">
        <x:is>
          <x:t xml:space="preserve"/>
        </x:is>
      </x:c>
      <x:c r="C82" s="6" t="inlineStr">
        <x:is>
          <x:t xml:space="preserve"/>
        </x:is>
      </x:c>
      <x:c r="D82" s="6" t="inlineStr">
        <x:is>
          <x:t xml:space="preserve"/>
        </x:is>
      </x:c>
      <x:c r="E82" s="8" t="inlineStr">
        <x:is>
          <x:t xml:space="preserve"/>
        </x:is>
      </x:c>
      <x:c r="F82" s="7" t="inlineStr">
        <x:is>
          <x:t xml:space="preserve"/>
        </x:is>
      </x:c>
      <x:c r="G82" s="8" t="inlineStr">
        <x:is>
          <x:t xml:space="preserve"/>
        </x:is>
      </x:c>
      <x:c r="H82" s="7">
        <x:f>IF(OR(E82="",F82="Complete"),"", MAX(0, TODAY()-E82))</x:f>
      </x:c>
      <x:c r="I82" s="6" t="inlineStr">
        <x:is>
          <x:t xml:space="preserve"/>
        </x:is>
      </x:c>
      <x:c r="J82" s="6" t="inlineStr">
        <x:is>
          <x:t xml:space="preserve"/>
        </x:is>
      </x:c>
    </x:row>
    <x:row r="83">
      <x:c r="A83" s="7">
        <x:f>IF(C83="","", "ACT-"&amp;TEXT(ROW()-1,"00000"))</x:f>
      </x:c>
      <x:c r="B83" s="7" t="inlineStr">
        <x:is>
          <x:t xml:space="preserve"/>
        </x:is>
      </x:c>
      <x:c r="C83" s="6" t="inlineStr">
        <x:is>
          <x:t xml:space="preserve"/>
        </x:is>
      </x:c>
      <x:c r="D83" s="6" t="inlineStr">
        <x:is>
          <x:t xml:space="preserve"/>
        </x:is>
      </x:c>
      <x:c r="E83" s="8" t="inlineStr">
        <x:is>
          <x:t xml:space="preserve"/>
        </x:is>
      </x:c>
      <x:c r="F83" s="7" t="inlineStr">
        <x:is>
          <x:t xml:space="preserve"/>
        </x:is>
      </x:c>
      <x:c r="G83" s="8" t="inlineStr">
        <x:is>
          <x:t xml:space="preserve"/>
        </x:is>
      </x:c>
      <x:c r="H83" s="7">
        <x:f>IF(OR(E83="",F83="Complete"),"", MAX(0, TODAY()-E83))</x:f>
      </x:c>
      <x:c r="I83" s="6" t="inlineStr">
        <x:is>
          <x:t xml:space="preserve"/>
        </x:is>
      </x:c>
      <x:c r="J83" s="6" t="inlineStr">
        <x:is>
          <x:t xml:space="preserve"/>
        </x:is>
      </x:c>
    </x:row>
    <x:row r="84">
      <x:c r="A84" s="7">
        <x:f>IF(C84="","", "ACT-"&amp;TEXT(ROW()-1,"00000"))</x:f>
      </x:c>
      <x:c r="B84" s="7" t="inlineStr">
        <x:is>
          <x:t xml:space="preserve"/>
        </x:is>
      </x:c>
      <x:c r="C84" s="6" t="inlineStr">
        <x:is>
          <x:t xml:space="preserve"/>
        </x:is>
      </x:c>
      <x:c r="D84" s="6" t="inlineStr">
        <x:is>
          <x:t xml:space="preserve"/>
        </x:is>
      </x:c>
      <x:c r="E84" s="8" t="inlineStr">
        <x:is>
          <x:t xml:space="preserve"/>
        </x:is>
      </x:c>
      <x:c r="F84" s="7" t="inlineStr">
        <x:is>
          <x:t xml:space="preserve"/>
        </x:is>
      </x:c>
      <x:c r="G84" s="8" t="inlineStr">
        <x:is>
          <x:t xml:space="preserve"/>
        </x:is>
      </x:c>
      <x:c r="H84" s="7">
        <x:f>IF(OR(E84="",F84="Complete"),"", MAX(0, TODAY()-E84))</x:f>
      </x:c>
      <x:c r="I84" s="6" t="inlineStr">
        <x:is>
          <x:t xml:space="preserve"/>
        </x:is>
      </x:c>
      <x:c r="J84" s="6" t="inlineStr">
        <x:is>
          <x:t xml:space="preserve"/>
        </x:is>
      </x:c>
    </x:row>
    <x:row r="85">
      <x:c r="A85" s="7">
        <x:f>IF(C85="","", "ACT-"&amp;TEXT(ROW()-1,"00000"))</x:f>
      </x:c>
      <x:c r="B85" s="7" t="inlineStr">
        <x:is>
          <x:t xml:space="preserve"/>
        </x:is>
      </x:c>
      <x:c r="C85" s="6" t="inlineStr">
        <x:is>
          <x:t xml:space="preserve"/>
        </x:is>
      </x:c>
      <x:c r="D85" s="6" t="inlineStr">
        <x:is>
          <x:t xml:space="preserve"/>
        </x:is>
      </x:c>
      <x:c r="E85" s="8" t="inlineStr">
        <x:is>
          <x:t xml:space="preserve"/>
        </x:is>
      </x:c>
      <x:c r="F85" s="7" t="inlineStr">
        <x:is>
          <x:t xml:space="preserve"/>
        </x:is>
      </x:c>
      <x:c r="G85" s="8" t="inlineStr">
        <x:is>
          <x:t xml:space="preserve"/>
        </x:is>
      </x:c>
      <x:c r="H85" s="7">
        <x:f>IF(OR(E85="",F85="Complete"),"", MAX(0, TODAY()-E85))</x:f>
      </x:c>
      <x:c r="I85" s="6" t="inlineStr">
        <x:is>
          <x:t xml:space="preserve"/>
        </x:is>
      </x:c>
      <x:c r="J85" s="6" t="inlineStr">
        <x:is>
          <x:t xml:space="preserve"/>
        </x:is>
      </x:c>
    </x:row>
    <x:row r="86">
      <x:c r="A86" s="7">
        <x:f>IF(C86="","", "ACT-"&amp;TEXT(ROW()-1,"00000"))</x:f>
      </x:c>
      <x:c r="B86" s="7" t="inlineStr">
        <x:is>
          <x:t xml:space="preserve"/>
        </x:is>
      </x:c>
      <x:c r="C86" s="6" t="inlineStr">
        <x:is>
          <x:t xml:space="preserve"/>
        </x:is>
      </x:c>
      <x:c r="D86" s="6" t="inlineStr">
        <x:is>
          <x:t xml:space="preserve"/>
        </x:is>
      </x:c>
      <x:c r="E86" s="8" t="inlineStr">
        <x:is>
          <x:t xml:space="preserve"/>
        </x:is>
      </x:c>
      <x:c r="F86" s="7" t="inlineStr">
        <x:is>
          <x:t xml:space="preserve"/>
        </x:is>
      </x:c>
      <x:c r="G86" s="8" t="inlineStr">
        <x:is>
          <x:t xml:space="preserve"/>
        </x:is>
      </x:c>
      <x:c r="H86" s="7">
        <x:f>IF(OR(E86="",F86="Complete"),"", MAX(0, TODAY()-E86))</x:f>
      </x:c>
      <x:c r="I86" s="6" t="inlineStr">
        <x:is>
          <x:t xml:space="preserve"/>
        </x:is>
      </x:c>
      <x:c r="J86" s="6" t="inlineStr">
        <x:is>
          <x:t xml:space="preserve"/>
        </x:is>
      </x:c>
    </x:row>
    <x:row r="87">
      <x:c r="A87" s="7">
        <x:f>IF(C87="","", "ACT-"&amp;TEXT(ROW()-1,"00000"))</x:f>
      </x:c>
      <x:c r="B87" s="7" t="inlineStr">
        <x:is>
          <x:t xml:space="preserve"/>
        </x:is>
      </x:c>
      <x:c r="C87" s="6" t="inlineStr">
        <x:is>
          <x:t xml:space="preserve"/>
        </x:is>
      </x:c>
      <x:c r="D87" s="6" t="inlineStr">
        <x:is>
          <x:t xml:space="preserve"/>
        </x:is>
      </x:c>
      <x:c r="E87" s="8" t="inlineStr">
        <x:is>
          <x:t xml:space="preserve"/>
        </x:is>
      </x:c>
      <x:c r="F87" s="7" t="inlineStr">
        <x:is>
          <x:t xml:space="preserve"/>
        </x:is>
      </x:c>
      <x:c r="G87" s="8" t="inlineStr">
        <x:is>
          <x:t xml:space="preserve"/>
        </x:is>
      </x:c>
      <x:c r="H87" s="7">
        <x:f>IF(OR(E87="",F87="Complete"),"", MAX(0, TODAY()-E87))</x:f>
      </x:c>
      <x:c r="I87" s="6" t="inlineStr">
        <x:is>
          <x:t xml:space="preserve"/>
        </x:is>
      </x:c>
      <x:c r="J87" s="6" t="inlineStr">
        <x:is>
          <x:t xml:space="preserve"/>
        </x:is>
      </x:c>
    </x:row>
    <x:row r="88">
      <x:c r="A88" s="7">
        <x:f>IF(C88="","", "ACT-"&amp;TEXT(ROW()-1,"00000"))</x:f>
      </x:c>
      <x:c r="B88" s="7" t="inlineStr">
        <x:is>
          <x:t xml:space="preserve"/>
        </x:is>
      </x:c>
      <x:c r="C88" s="6" t="inlineStr">
        <x:is>
          <x:t xml:space="preserve"/>
        </x:is>
      </x:c>
      <x:c r="D88" s="6" t="inlineStr">
        <x:is>
          <x:t xml:space="preserve"/>
        </x:is>
      </x:c>
      <x:c r="E88" s="8" t="inlineStr">
        <x:is>
          <x:t xml:space="preserve"/>
        </x:is>
      </x:c>
      <x:c r="F88" s="7" t="inlineStr">
        <x:is>
          <x:t xml:space="preserve"/>
        </x:is>
      </x:c>
      <x:c r="G88" s="8" t="inlineStr">
        <x:is>
          <x:t xml:space="preserve"/>
        </x:is>
      </x:c>
      <x:c r="H88" s="7">
        <x:f>IF(OR(E88="",F88="Complete"),"", MAX(0, TODAY()-E88))</x:f>
      </x:c>
      <x:c r="I88" s="6" t="inlineStr">
        <x:is>
          <x:t xml:space="preserve"/>
        </x:is>
      </x:c>
      <x:c r="J88" s="6" t="inlineStr">
        <x:is>
          <x:t xml:space="preserve"/>
        </x:is>
      </x:c>
    </x:row>
    <x:row r="89">
      <x:c r="A89" s="7">
        <x:f>IF(C89="","", "ACT-"&amp;TEXT(ROW()-1,"00000"))</x:f>
      </x:c>
      <x:c r="B89" s="7" t="inlineStr">
        <x:is>
          <x:t xml:space="preserve"/>
        </x:is>
      </x:c>
      <x:c r="C89" s="6" t="inlineStr">
        <x:is>
          <x:t xml:space="preserve"/>
        </x:is>
      </x:c>
      <x:c r="D89" s="6" t="inlineStr">
        <x:is>
          <x:t xml:space="preserve"/>
        </x:is>
      </x:c>
      <x:c r="E89" s="8" t="inlineStr">
        <x:is>
          <x:t xml:space="preserve"/>
        </x:is>
      </x:c>
      <x:c r="F89" s="7" t="inlineStr">
        <x:is>
          <x:t xml:space="preserve"/>
        </x:is>
      </x:c>
      <x:c r="G89" s="8" t="inlineStr">
        <x:is>
          <x:t xml:space="preserve"/>
        </x:is>
      </x:c>
      <x:c r="H89" s="7">
        <x:f>IF(OR(E89="",F89="Complete"),"", MAX(0, TODAY()-E89))</x:f>
      </x:c>
      <x:c r="I89" s="6" t="inlineStr">
        <x:is>
          <x:t xml:space="preserve"/>
        </x:is>
      </x:c>
      <x:c r="J89" s="6" t="inlineStr">
        <x:is>
          <x:t xml:space="preserve"/>
        </x:is>
      </x:c>
    </x:row>
    <x:row r="90">
      <x:c r="A90" s="7">
        <x:f>IF(C90="","", "ACT-"&amp;TEXT(ROW()-1,"00000"))</x:f>
      </x:c>
      <x:c r="B90" s="7" t="inlineStr">
        <x:is>
          <x:t xml:space="preserve"/>
        </x:is>
      </x:c>
      <x:c r="C90" s="6" t="inlineStr">
        <x:is>
          <x:t xml:space="preserve"/>
        </x:is>
      </x:c>
      <x:c r="D90" s="6" t="inlineStr">
        <x:is>
          <x:t xml:space="preserve"/>
        </x:is>
      </x:c>
      <x:c r="E90" s="8" t="inlineStr">
        <x:is>
          <x:t xml:space="preserve"/>
        </x:is>
      </x:c>
      <x:c r="F90" s="7" t="inlineStr">
        <x:is>
          <x:t xml:space="preserve"/>
        </x:is>
      </x:c>
      <x:c r="G90" s="8" t="inlineStr">
        <x:is>
          <x:t xml:space="preserve"/>
        </x:is>
      </x:c>
      <x:c r="H90" s="7">
        <x:f>IF(OR(E90="",F90="Complete"),"", MAX(0, TODAY()-E90))</x:f>
      </x:c>
      <x:c r="I90" s="6" t="inlineStr">
        <x:is>
          <x:t xml:space="preserve"/>
        </x:is>
      </x:c>
      <x:c r="J90" s="6" t="inlineStr">
        <x:is>
          <x:t xml:space="preserve"/>
        </x:is>
      </x:c>
    </x:row>
    <x:row r="91">
      <x:c r="A91" s="7">
        <x:f>IF(C91="","", "ACT-"&amp;TEXT(ROW()-1,"00000"))</x:f>
      </x:c>
      <x:c r="B91" s="7" t="inlineStr">
        <x:is>
          <x:t xml:space="preserve"/>
        </x:is>
      </x:c>
      <x:c r="C91" s="6" t="inlineStr">
        <x:is>
          <x:t xml:space="preserve"/>
        </x:is>
      </x:c>
      <x:c r="D91" s="6" t="inlineStr">
        <x:is>
          <x:t xml:space="preserve"/>
        </x:is>
      </x:c>
      <x:c r="E91" s="8" t="inlineStr">
        <x:is>
          <x:t xml:space="preserve"/>
        </x:is>
      </x:c>
      <x:c r="F91" s="7" t="inlineStr">
        <x:is>
          <x:t xml:space="preserve"/>
        </x:is>
      </x:c>
      <x:c r="G91" s="8" t="inlineStr">
        <x:is>
          <x:t xml:space="preserve"/>
        </x:is>
      </x:c>
      <x:c r="H91" s="7">
        <x:f>IF(OR(E91="",F91="Complete"),"", MAX(0, TODAY()-E91))</x:f>
      </x:c>
      <x:c r="I91" s="6" t="inlineStr">
        <x:is>
          <x:t xml:space="preserve"/>
        </x:is>
      </x:c>
      <x:c r="J91" s="6" t="inlineStr">
        <x:is>
          <x:t xml:space="preserve"/>
        </x:is>
      </x:c>
    </x:row>
    <x:row r="92">
      <x:c r="A92" s="7">
        <x:f>IF(C92="","", "ACT-"&amp;TEXT(ROW()-1,"00000"))</x:f>
      </x:c>
      <x:c r="B92" s="7" t="inlineStr">
        <x:is>
          <x:t xml:space="preserve"/>
        </x:is>
      </x:c>
      <x:c r="C92" s="6" t="inlineStr">
        <x:is>
          <x:t xml:space="preserve"/>
        </x:is>
      </x:c>
      <x:c r="D92" s="6" t="inlineStr">
        <x:is>
          <x:t xml:space="preserve"/>
        </x:is>
      </x:c>
      <x:c r="E92" s="8" t="inlineStr">
        <x:is>
          <x:t xml:space="preserve"/>
        </x:is>
      </x:c>
      <x:c r="F92" s="7" t="inlineStr">
        <x:is>
          <x:t xml:space="preserve"/>
        </x:is>
      </x:c>
      <x:c r="G92" s="8" t="inlineStr">
        <x:is>
          <x:t xml:space="preserve"/>
        </x:is>
      </x:c>
      <x:c r="H92" s="7">
        <x:f>IF(OR(E92="",F92="Complete"),"", MAX(0, TODAY()-E92))</x:f>
      </x:c>
      <x:c r="I92" s="6" t="inlineStr">
        <x:is>
          <x:t xml:space="preserve"/>
        </x:is>
      </x:c>
      <x:c r="J92" s="6" t="inlineStr">
        <x:is>
          <x:t xml:space="preserve"/>
        </x:is>
      </x:c>
    </x:row>
    <x:row r="93">
      <x:c r="A93" s="7">
        <x:f>IF(C93="","", "ACT-"&amp;TEXT(ROW()-1,"00000"))</x:f>
      </x:c>
      <x:c r="B93" s="7" t="inlineStr">
        <x:is>
          <x:t xml:space="preserve"/>
        </x:is>
      </x:c>
      <x:c r="C93" s="6" t="inlineStr">
        <x:is>
          <x:t xml:space="preserve"/>
        </x:is>
      </x:c>
      <x:c r="D93" s="6" t="inlineStr">
        <x:is>
          <x:t xml:space="preserve"/>
        </x:is>
      </x:c>
      <x:c r="E93" s="8" t="inlineStr">
        <x:is>
          <x:t xml:space="preserve"/>
        </x:is>
      </x:c>
      <x:c r="F93" s="7" t="inlineStr">
        <x:is>
          <x:t xml:space="preserve"/>
        </x:is>
      </x:c>
      <x:c r="G93" s="8" t="inlineStr">
        <x:is>
          <x:t xml:space="preserve"/>
        </x:is>
      </x:c>
      <x:c r="H93" s="7">
        <x:f>IF(OR(E93="",F93="Complete"),"", MAX(0, TODAY()-E93))</x:f>
      </x:c>
      <x:c r="I93" s="6" t="inlineStr">
        <x:is>
          <x:t xml:space="preserve"/>
        </x:is>
      </x:c>
      <x:c r="J93" s="6" t="inlineStr">
        <x:is>
          <x:t xml:space="preserve"/>
        </x:is>
      </x:c>
    </x:row>
    <x:row r="94">
      <x:c r="A94" s="7">
        <x:f>IF(C94="","", "ACT-"&amp;TEXT(ROW()-1,"00000"))</x:f>
      </x:c>
      <x:c r="B94" s="7" t="inlineStr">
        <x:is>
          <x:t xml:space="preserve"/>
        </x:is>
      </x:c>
      <x:c r="C94" s="6" t="inlineStr">
        <x:is>
          <x:t xml:space="preserve"/>
        </x:is>
      </x:c>
      <x:c r="D94" s="6" t="inlineStr">
        <x:is>
          <x:t xml:space="preserve"/>
        </x:is>
      </x:c>
      <x:c r="E94" s="8" t="inlineStr">
        <x:is>
          <x:t xml:space="preserve"/>
        </x:is>
      </x:c>
      <x:c r="F94" s="7" t="inlineStr">
        <x:is>
          <x:t xml:space="preserve"/>
        </x:is>
      </x:c>
      <x:c r="G94" s="8" t="inlineStr">
        <x:is>
          <x:t xml:space="preserve"/>
        </x:is>
      </x:c>
      <x:c r="H94" s="7">
        <x:f>IF(OR(E94="",F94="Complete"),"", MAX(0, TODAY()-E94))</x:f>
      </x:c>
      <x:c r="I94" s="6" t="inlineStr">
        <x:is>
          <x:t xml:space="preserve"/>
        </x:is>
      </x:c>
      <x:c r="J94" s="6" t="inlineStr">
        <x:is>
          <x:t xml:space="preserve"/>
        </x:is>
      </x:c>
    </x:row>
    <x:row r="95">
      <x:c r="A95" s="7">
        <x:f>IF(C95="","", "ACT-"&amp;TEXT(ROW()-1,"00000"))</x:f>
      </x:c>
      <x:c r="B95" s="7" t="inlineStr">
        <x:is>
          <x:t xml:space="preserve"/>
        </x:is>
      </x:c>
      <x:c r="C95" s="6" t="inlineStr">
        <x:is>
          <x:t xml:space="preserve"/>
        </x:is>
      </x:c>
      <x:c r="D95" s="6" t="inlineStr">
        <x:is>
          <x:t xml:space="preserve"/>
        </x:is>
      </x:c>
      <x:c r="E95" s="8" t="inlineStr">
        <x:is>
          <x:t xml:space="preserve"/>
        </x:is>
      </x:c>
      <x:c r="F95" s="7" t="inlineStr">
        <x:is>
          <x:t xml:space="preserve"/>
        </x:is>
      </x:c>
      <x:c r="G95" s="8" t="inlineStr">
        <x:is>
          <x:t xml:space="preserve"/>
        </x:is>
      </x:c>
      <x:c r="H95" s="7">
        <x:f>IF(OR(E95="",F95="Complete"),"", MAX(0, TODAY()-E95))</x:f>
      </x:c>
      <x:c r="I95" s="6" t="inlineStr">
        <x:is>
          <x:t xml:space="preserve"/>
        </x:is>
      </x:c>
      <x:c r="J95" s="6" t="inlineStr">
        <x:is>
          <x:t xml:space="preserve"/>
        </x:is>
      </x:c>
    </x:row>
    <x:row r="96">
      <x:c r="A96" s="7">
        <x:f>IF(C96="","", "ACT-"&amp;TEXT(ROW()-1,"00000"))</x:f>
      </x:c>
      <x:c r="B96" s="7" t="inlineStr">
        <x:is>
          <x:t xml:space="preserve"/>
        </x:is>
      </x:c>
      <x:c r="C96" s="6" t="inlineStr">
        <x:is>
          <x:t xml:space="preserve"/>
        </x:is>
      </x:c>
      <x:c r="D96" s="6" t="inlineStr">
        <x:is>
          <x:t xml:space="preserve"/>
        </x:is>
      </x:c>
      <x:c r="E96" s="8" t="inlineStr">
        <x:is>
          <x:t xml:space="preserve"/>
        </x:is>
      </x:c>
      <x:c r="F96" s="7" t="inlineStr">
        <x:is>
          <x:t xml:space="preserve"/>
        </x:is>
      </x:c>
      <x:c r="G96" s="8" t="inlineStr">
        <x:is>
          <x:t xml:space="preserve"/>
        </x:is>
      </x:c>
      <x:c r="H96" s="7">
        <x:f>IF(OR(E96="",F96="Complete"),"", MAX(0, TODAY()-E96))</x:f>
      </x:c>
      <x:c r="I96" s="6" t="inlineStr">
        <x:is>
          <x:t xml:space="preserve"/>
        </x:is>
      </x:c>
      <x:c r="J96" s="6" t="inlineStr">
        <x:is>
          <x:t xml:space="preserve"/>
        </x:is>
      </x:c>
    </x:row>
    <x:row r="97">
      <x:c r="A97" s="7">
        <x:f>IF(C97="","", "ACT-"&amp;TEXT(ROW()-1,"00000"))</x:f>
      </x:c>
      <x:c r="B97" s="7" t="inlineStr">
        <x:is>
          <x:t xml:space="preserve"/>
        </x:is>
      </x:c>
      <x:c r="C97" s="6" t="inlineStr">
        <x:is>
          <x:t xml:space="preserve"/>
        </x:is>
      </x:c>
      <x:c r="D97" s="6" t="inlineStr">
        <x:is>
          <x:t xml:space="preserve"/>
        </x:is>
      </x:c>
      <x:c r="E97" s="8" t="inlineStr">
        <x:is>
          <x:t xml:space="preserve"/>
        </x:is>
      </x:c>
      <x:c r="F97" s="7" t="inlineStr">
        <x:is>
          <x:t xml:space="preserve"/>
        </x:is>
      </x:c>
      <x:c r="G97" s="8" t="inlineStr">
        <x:is>
          <x:t xml:space="preserve"/>
        </x:is>
      </x:c>
      <x:c r="H97" s="7">
        <x:f>IF(OR(E97="",F97="Complete"),"", MAX(0, TODAY()-E97))</x:f>
      </x:c>
      <x:c r="I97" s="6" t="inlineStr">
        <x:is>
          <x:t xml:space="preserve"/>
        </x:is>
      </x:c>
      <x:c r="J97" s="6" t="inlineStr">
        <x:is>
          <x:t xml:space="preserve"/>
        </x:is>
      </x:c>
    </x:row>
    <x:row r="98">
      <x:c r="A98" s="7">
        <x:f>IF(C98="","", "ACT-"&amp;TEXT(ROW()-1,"00000"))</x:f>
      </x:c>
      <x:c r="B98" s="7" t="inlineStr">
        <x:is>
          <x:t xml:space="preserve"/>
        </x:is>
      </x:c>
      <x:c r="C98" s="6" t="inlineStr">
        <x:is>
          <x:t xml:space="preserve"/>
        </x:is>
      </x:c>
      <x:c r="D98" s="6" t="inlineStr">
        <x:is>
          <x:t xml:space="preserve"/>
        </x:is>
      </x:c>
      <x:c r="E98" s="8" t="inlineStr">
        <x:is>
          <x:t xml:space="preserve"/>
        </x:is>
      </x:c>
      <x:c r="F98" s="7" t="inlineStr">
        <x:is>
          <x:t xml:space="preserve"/>
        </x:is>
      </x:c>
      <x:c r="G98" s="8" t="inlineStr">
        <x:is>
          <x:t xml:space="preserve"/>
        </x:is>
      </x:c>
      <x:c r="H98" s="7">
        <x:f>IF(OR(E98="",F98="Complete"),"", MAX(0, TODAY()-E98))</x:f>
      </x:c>
      <x:c r="I98" s="6" t="inlineStr">
        <x:is>
          <x:t xml:space="preserve"/>
        </x:is>
      </x:c>
      <x:c r="J98" s="6" t="inlineStr">
        <x:is>
          <x:t xml:space="preserve"/>
        </x:is>
      </x:c>
    </x:row>
    <x:row r="99">
      <x:c r="A99" s="7">
        <x:f>IF(C99="","", "ACT-"&amp;TEXT(ROW()-1,"00000"))</x:f>
      </x:c>
      <x:c r="B99" s="7" t="inlineStr">
        <x:is>
          <x:t xml:space="preserve"/>
        </x:is>
      </x:c>
      <x:c r="C99" s="6" t="inlineStr">
        <x:is>
          <x:t xml:space="preserve"/>
        </x:is>
      </x:c>
      <x:c r="D99" s="6" t="inlineStr">
        <x:is>
          <x:t xml:space="preserve"/>
        </x:is>
      </x:c>
      <x:c r="E99" s="8" t="inlineStr">
        <x:is>
          <x:t xml:space="preserve"/>
        </x:is>
      </x:c>
      <x:c r="F99" s="7" t="inlineStr">
        <x:is>
          <x:t xml:space="preserve"/>
        </x:is>
      </x:c>
      <x:c r="G99" s="8" t="inlineStr">
        <x:is>
          <x:t xml:space="preserve"/>
        </x:is>
      </x:c>
      <x:c r="H99" s="7">
        <x:f>IF(OR(E99="",F99="Complete"),"", MAX(0, TODAY()-E99))</x:f>
      </x:c>
      <x:c r="I99" s="6" t="inlineStr">
        <x:is>
          <x:t xml:space="preserve"/>
        </x:is>
      </x:c>
      <x:c r="J99" s="6" t="inlineStr">
        <x:is>
          <x:t xml:space="preserve"/>
        </x:is>
      </x:c>
    </x:row>
    <x:row r="100">
      <x:c r="A100" s="7">
        <x:f>IF(C100="","", "ACT-"&amp;TEXT(ROW()-1,"00000"))</x:f>
      </x:c>
      <x:c r="B100" s="7" t="inlineStr">
        <x:is>
          <x:t xml:space="preserve"/>
        </x:is>
      </x:c>
      <x:c r="C100" s="6" t="inlineStr">
        <x:is>
          <x:t xml:space="preserve"/>
        </x:is>
      </x:c>
      <x:c r="D100" s="6" t="inlineStr">
        <x:is>
          <x:t xml:space="preserve"/>
        </x:is>
      </x:c>
      <x:c r="E100" s="8" t="inlineStr">
        <x:is>
          <x:t xml:space="preserve"/>
        </x:is>
      </x:c>
      <x:c r="F100" s="7" t="inlineStr">
        <x:is>
          <x:t xml:space="preserve"/>
        </x:is>
      </x:c>
      <x:c r="G100" s="8" t="inlineStr">
        <x:is>
          <x:t xml:space="preserve"/>
        </x:is>
      </x:c>
      <x:c r="H100" s="7">
        <x:f>IF(OR(E100="",F100="Complete"),"", MAX(0, TODAY()-E100))</x:f>
      </x:c>
      <x:c r="I100" s="6" t="inlineStr">
        <x:is>
          <x:t xml:space="preserve"/>
        </x:is>
      </x:c>
      <x:c r="J100" s="6" t="inlineStr">
        <x:is>
          <x:t xml:space="preserve"/>
        </x:is>
      </x:c>
    </x:row>
    <x:row r="101">
      <x:c r="A101" s="7">
        <x:f>IF(C101="","", "ACT-"&amp;TEXT(ROW()-1,"00000"))</x:f>
      </x:c>
      <x:c r="B101" s="7" t="inlineStr">
        <x:is>
          <x:t xml:space="preserve"/>
        </x:is>
      </x:c>
      <x:c r="C101" s="6" t="inlineStr">
        <x:is>
          <x:t xml:space="preserve"/>
        </x:is>
      </x:c>
      <x:c r="D101" s="6" t="inlineStr">
        <x:is>
          <x:t xml:space="preserve"/>
        </x:is>
      </x:c>
      <x:c r="E101" s="8" t="inlineStr">
        <x:is>
          <x:t xml:space="preserve"/>
        </x:is>
      </x:c>
      <x:c r="F101" s="7" t="inlineStr">
        <x:is>
          <x:t xml:space="preserve"/>
        </x:is>
      </x:c>
      <x:c r="G101" s="8" t="inlineStr">
        <x:is>
          <x:t xml:space="preserve"/>
        </x:is>
      </x:c>
      <x:c r="H101" s="7">
        <x:f>IF(OR(E101="",F101="Complete"),"", MAX(0, TODAY()-E101))</x:f>
      </x:c>
      <x:c r="I101" s="6" t="inlineStr">
        <x:is>
          <x:t xml:space="preserve"/>
        </x:is>
      </x:c>
      <x:c r="J101" s="6" t="inlineStr">
        <x:is>
          <x:t xml:space="preserve"/>
        </x:is>
      </x:c>
    </x:row>
    <x:row r="102">
      <x:c r="A102" s="7">
        <x:f>IF(C102="","", "ACT-"&amp;TEXT(ROW()-1,"00000"))</x:f>
      </x:c>
      <x:c r="B102" s="7" t="inlineStr">
        <x:is>
          <x:t xml:space="preserve"/>
        </x:is>
      </x:c>
      <x:c r="C102" s="6" t="inlineStr">
        <x:is>
          <x:t xml:space="preserve"/>
        </x:is>
      </x:c>
      <x:c r="D102" s="6" t="inlineStr">
        <x:is>
          <x:t xml:space="preserve"/>
        </x:is>
      </x:c>
      <x:c r="E102" s="8" t="inlineStr">
        <x:is>
          <x:t xml:space="preserve"/>
        </x:is>
      </x:c>
      <x:c r="F102" s="7" t="inlineStr">
        <x:is>
          <x:t xml:space="preserve"/>
        </x:is>
      </x:c>
      <x:c r="G102" s="8" t="inlineStr">
        <x:is>
          <x:t xml:space="preserve"/>
        </x:is>
      </x:c>
      <x:c r="H102" s="7">
        <x:f>IF(OR(E102="",F102="Complete"),"", MAX(0, TODAY()-E102))</x:f>
      </x:c>
      <x:c r="I102" s="6" t="inlineStr">
        <x:is>
          <x:t xml:space="preserve"/>
        </x:is>
      </x:c>
      <x:c r="J102" s="6" t="inlineStr">
        <x:is>
          <x:t xml:space="preserve"/>
        </x:is>
      </x:c>
    </x:row>
    <x:row r="103">
      <x:c r="A103" s="7">
        <x:f>IF(C103="","", "ACT-"&amp;TEXT(ROW()-1,"00000"))</x:f>
      </x:c>
      <x:c r="B103" s="7" t="inlineStr">
        <x:is>
          <x:t xml:space="preserve"/>
        </x:is>
      </x:c>
      <x:c r="C103" s="6" t="inlineStr">
        <x:is>
          <x:t xml:space="preserve"/>
        </x:is>
      </x:c>
      <x:c r="D103" s="6" t="inlineStr">
        <x:is>
          <x:t xml:space="preserve"/>
        </x:is>
      </x:c>
      <x:c r="E103" s="8" t="inlineStr">
        <x:is>
          <x:t xml:space="preserve"/>
        </x:is>
      </x:c>
      <x:c r="F103" s="7" t="inlineStr">
        <x:is>
          <x:t xml:space="preserve"/>
        </x:is>
      </x:c>
      <x:c r="G103" s="8" t="inlineStr">
        <x:is>
          <x:t xml:space="preserve"/>
        </x:is>
      </x:c>
      <x:c r="H103" s="7">
        <x:f>IF(OR(E103="",F103="Complete"),"", MAX(0, TODAY()-E103))</x:f>
      </x:c>
      <x:c r="I103" s="6" t="inlineStr">
        <x:is>
          <x:t xml:space="preserve"/>
        </x:is>
      </x:c>
      <x:c r="J103" s="6" t="inlineStr">
        <x:is>
          <x:t xml:space="preserve"/>
        </x:is>
      </x:c>
    </x:row>
    <x:row r="104">
      <x:c r="A104" s="7">
        <x:f>IF(C104="","", "ACT-"&amp;TEXT(ROW()-1,"00000"))</x:f>
      </x:c>
      <x:c r="B104" s="7" t="inlineStr">
        <x:is>
          <x:t xml:space="preserve"/>
        </x:is>
      </x:c>
      <x:c r="C104" s="6" t="inlineStr">
        <x:is>
          <x:t xml:space="preserve"/>
        </x:is>
      </x:c>
      <x:c r="D104" s="6" t="inlineStr">
        <x:is>
          <x:t xml:space="preserve"/>
        </x:is>
      </x:c>
      <x:c r="E104" s="8" t="inlineStr">
        <x:is>
          <x:t xml:space="preserve"/>
        </x:is>
      </x:c>
      <x:c r="F104" s="7" t="inlineStr">
        <x:is>
          <x:t xml:space="preserve"/>
        </x:is>
      </x:c>
      <x:c r="G104" s="8" t="inlineStr">
        <x:is>
          <x:t xml:space="preserve"/>
        </x:is>
      </x:c>
      <x:c r="H104" s="7">
        <x:f>IF(OR(E104="",F104="Complete"),"", MAX(0, TODAY()-E104))</x:f>
      </x:c>
      <x:c r="I104" s="6" t="inlineStr">
        <x:is>
          <x:t xml:space="preserve"/>
        </x:is>
      </x:c>
      <x:c r="J104" s="6" t="inlineStr">
        <x:is>
          <x:t xml:space="preserve"/>
        </x:is>
      </x:c>
    </x:row>
    <x:row r="105">
      <x:c r="A105" s="7">
        <x:f>IF(C105="","", "ACT-"&amp;TEXT(ROW()-1,"00000"))</x:f>
      </x:c>
      <x:c r="B105" s="7" t="inlineStr">
        <x:is>
          <x:t xml:space="preserve"/>
        </x:is>
      </x:c>
      <x:c r="C105" s="6" t="inlineStr">
        <x:is>
          <x:t xml:space="preserve"/>
        </x:is>
      </x:c>
      <x:c r="D105" s="6" t="inlineStr">
        <x:is>
          <x:t xml:space="preserve"/>
        </x:is>
      </x:c>
      <x:c r="E105" s="8" t="inlineStr">
        <x:is>
          <x:t xml:space="preserve"/>
        </x:is>
      </x:c>
      <x:c r="F105" s="7" t="inlineStr">
        <x:is>
          <x:t xml:space="preserve"/>
        </x:is>
      </x:c>
      <x:c r="G105" s="8" t="inlineStr">
        <x:is>
          <x:t xml:space="preserve"/>
        </x:is>
      </x:c>
      <x:c r="H105" s="7">
        <x:f>IF(OR(E105="",F105="Complete"),"", MAX(0, TODAY()-E105))</x:f>
      </x:c>
      <x:c r="I105" s="6" t="inlineStr">
        <x:is>
          <x:t xml:space="preserve"/>
        </x:is>
      </x:c>
      <x:c r="J105" s="6" t="inlineStr">
        <x:is>
          <x:t xml:space="preserve"/>
        </x:is>
      </x:c>
    </x:row>
    <x:row r="106">
      <x:c r="A106" s="7">
        <x:f>IF(C106="","", "ACT-"&amp;TEXT(ROW()-1,"00000"))</x:f>
      </x:c>
      <x:c r="B106" s="7" t="inlineStr">
        <x:is>
          <x:t xml:space="preserve"/>
        </x:is>
      </x:c>
      <x:c r="C106" s="6" t="inlineStr">
        <x:is>
          <x:t xml:space="preserve"/>
        </x:is>
      </x:c>
      <x:c r="D106" s="6" t="inlineStr">
        <x:is>
          <x:t xml:space="preserve"/>
        </x:is>
      </x:c>
      <x:c r="E106" s="8" t="inlineStr">
        <x:is>
          <x:t xml:space="preserve"/>
        </x:is>
      </x:c>
      <x:c r="F106" s="7" t="inlineStr">
        <x:is>
          <x:t xml:space="preserve"/>
        </x:is>
      </x:c>
      <x:c r="G106" s="8" t="inlineStr">
        <x:is>
          <x:t xml:space="preserve"/>
        </x:is>
      </x:c>
      <x:c r="H106" s="7">
        <x:f>IF(OR(E106="",F106="Complete"),"", MAX(0, TODAY()-E106))</x:f>
      </x:c>
      <x:c r="I106" s="6" t="inlineStr">
        <x:is>
          <x:t xml:space="preserve"/>
        </x:is>
      </x:c>
      <x:c r="J106" s="6" t="inlineStr">
        <x:is>
          <x:t xml:space="preserve"/>
        </x:is>
      </x:c>
    </x:row>
    <x:row r="107">
      <x:c r="A107" s="7">
        <x:f>IF(C107="","", "ACT-"&amp;TEXT(ROW()-1,"00000"))</x:f>
      </x:c>
      <x:c r="B107" s="7" t="inlineStr">
        <x:is>
          <x:t xml:space="preserve"/>
        </x:is>
      </x:c>
      <x:c r="C107" s="6" t="inlineStr">
        <x:is>
          <x:t xml:space="preserve"/>
        </x:is>
      </x:c>
      <x:c r="D107" s="6" t="inlineStr">
        <x:is>
          <x:t xml:space="preserve"/>
        </x:is>
      </x:c>
      <x:c r="E107" s="8" t="inlineStr">
        <x:is>
          <x:t xml:space="preserve"/>
        </x:is>
      </x:c>
      <x:c r="F107" s="7" t="inlineStr">
        <x:is>
          <x:t xml:space="preserve"/>
        </x:is>
      </x:c>
      <x:c r="G107" s="8" t="inlineStr">
        <x:is>
          <x:t xml:space="preserve"/>
        </x:is>
      </x:c>
      <x:c r="H107" s="7">
        <x:f>IF(OR(E107="",F107="Complete"),"", MAX(0, TODAY()-E107))</x:f>
      </x:c>
      <x:c r="I107" s="6" t="inlineStr">
        <x:is>
          <x:t xml:space="preserve"/>
        </x:is>
      </x:c>
      <x:c r="J107" s="6" t="inlineStr">
        <x:is>
          <x:t xml:space="preserve"/>
        </x:is>
      </x:c>
    </x:row>
    <x:row r="108">
      <x:c r="A108" s="7">
        <x:f>IF(C108="","", "ACT-"&amp;TEXT(ROW()-1,"00000"))</x:f>
      </x:c>
      <x:c r="B108" s="7" t="inlineStr">
        <x:is>
          <x:t xml:space="preserve"/>
        </x:is>
      </x:c>
      <x:c r="C108" s="6" t="inlineStr">
        <x:is>
          <x:t xml:space="preserve"/>
        </x:is>
      </x:c>
      <x:c r="D108" s="6" t="inlineStr">
        <x:is>
          <x:t xml:space="preserve"/>
        </x:is>
      </x:c>
      <x:c r="E108" s="8" t="inlineStr">
        <x:is>
          <x:t xml:space="preserve"/>
        </x:is>
      </x:c>
      <x:c r="F108" s="7" t="inlineStr">
        <x:is>
          <x:t xml:space="preserve"/>
        </x:is>
      </x:c>
      <x:c r="G108" s="8" t="inlineStr">
        <x:is>
          <x:t xml:space="preserve"/>
        </x:is>
      </x:c>
      <x:c r="H108" s="7">
        <x:f>IF(OR(E108="",F108="Complete"),"", MAX(0, TODAY()-E108))</x:f>
      </x:c>
      <x:c r="I108" s="6" t="inlineStr">
        <x:is>
          <x:t xml:space="preserve"/>
        </x:is>
      </x:c>
      <x:c r="J108" s="6" t="inlineStr">
        <x:is>
          <x:t xml:space="preserve"/>
        </x:is>
      </x:c>
    </x:row>
    <x:row r="109">
      <x:c r="A109" s="7">
        <x:f>IF(C109="","", "ACT-"&amp;TEXT(ROW()-1,"00000"))</x:f>
      </x:c>
      <x:c r="B109" s="7" t="inlineStr">
        <x:is>
          <x:t xml:space="preserve"/>
        </x:is>
      </x:c>
      <x:c r="C109" s="6" t="inlineStr">
        <x:is>
          <x:t xml:space="preserve"/>
        </x:is>
      </x:c>
      <x:c r="D109" s="6" t="inlineStr">
        <x:is>
          <x:t xml:space="preserve"/>
        </x:is>
      </x:c>
      <x:c r="E109" s="8" t="inlineStr">
        <x:is>
          <x:t xml:space="preserve"/>
        </x:is>
      </x:c>
      <x:c r="F109" s="7" t="inlineStr">
        <x:is>
          <x:t xml:space="preserve"/>
        </x:is>
      </x:c>
      <x:c r="G109" s="8" t="inlineStr">
        <x:is>
          <x:t xml:space="preserve"/>
        </x:is>
      </x:c>
      <x:c r="H109" s="7">
        <x:f>IF(OR(E109="",F109="Complete"),"", MAX(0, TODAY()-E109))</x:f>
      </x:c>
      <x:c r="I109" s="6" t="inlineStr">
        <x:is>
          <x:t xml:space="preserve"/>
        </x:is>
      </x:c>
      <x:c r="J109" s="6" t="inlineStr">
        <x:is>
          <x:t xml:space="preserve"/>
        </x:is>
      </x:c>
    </x:row>
    <x:row r="110">
      <x:c r="A110" s="7">
        <x:f>IF(C110="","", "ACT-"&amp;TEXT(ROW()-1,"00000"))</x:f>
      </x:c>
      <x:c r="B110" s="7" t="inlineStr">
        <x:is>
          <x:t xml:space="preserve"/>
        </x:is>
      </x:c>
      <x:c r="C110" s="6" t="inlineStr">
        <x:is>
          <x:t xml:space="preserve"/>
        </x:is>
      </x:c>
      <x:c r="D110" s="6" t="inlineStr">
        <x:is>
          <x:t xml:space="preserve"/>
        </x:is>
      </x:c>
      <x:c r="E110" s="8" t="inlineStr">
        <x:is>
          <x:t xml:space="preserve"/>
        </x:is>
      </x:c>
      <x:c r="F110" s="7" t="inlineStr">
        <x:is>
          <x:t xml:space="preserve"/>
        </x:is>
      </x:c>
      <x:c r="G110" s="8" t="inlineStr">
        <x:is>
          <x:t xml:space="preserve"/>
        </x:is>
      </x:c>
      <x:c r="H110" s="7">
        <x:f>IF(OR(E110="",F110="Complete"),"", MAX(0, TODAY()-E110))</x:f>
      </x:c>
      <x:c r="I110" s="6" t="inlineStr">
        <x:is>
          <x:t xml:space="preserve"/>
        </x:is>
      </x:c>
      <x:c r="J110" s="6" t="inlineStr">
        <x:is>
          <x:t xml:space="preserve"/>
        </x:is>
      </x:c>
    </x:row>
    <x:row r="111">
      <x:c r="A111" s="7">
        <x:f>IF(C111="","", "ACT-"&amp;TEXT(ROW()-1,"00000"))</x:f>
      </x:c>
      <x:c r="B111" s="7" t="inlineStr">
        <x:is>
          <x:t xml:space="preserve"/>
        </x:is>
      </x:c>
      <x:c r="C111" s="6" t="inlineStr">
        <x:is>
          <x:t xml:space="preserve"/>
        </x:is>
      </x:c>
      <x:c r="D111" s="6" t="inlineStr">
        <x:is>
          <x:t xml:space="preserve"/>
        </x:is>
      </x:c>
      <x:c r="E111" s="8" t="inlineStr">
        <x:is>
          <x:t xml:space="preserve"/>
        </x:is>
      </x:c>
      <x:c r="F111" s="7" t="inlineStr">
        <x:is>
          <x:t xml:space="preserve"/>
        </x:is>
      </x:c>
      <x:c r="G111" s="8" t="inlineStr">
        <x:is>
          <x:t xml:space="preserve"/>
        </x:is>
      </x:c>
      <x:c r="H111" s="7">
        <x:f>IF(OR(E111="",F111="Complete"),"", MAX(0, TODAY()-E111))</x:f>
      </x:c>
      <x:c r="I111" s="6" t="inlineStr">
        <x:is>
          <x:t xml:space="preserve"/>
        </x:is>
      </x:c>
      <x:c r="J111" s="6" t="inlineStr">
        <x:is>
          <x:t xml:space="preserve"/>
        </x:is>
      </x:c>
    </x:row>
    <x:row r="112">
      <x:c r="A112" s="7">
        <x:f>IF(C112="","", "ACT-"&amp;TEXT(ROW()-1,"00000"))</x:f>
      </x:c>
      <x:c r="B112" s="7" t="inlineStr">
        <x:is>
          <x:t xml:space="preserve"/>
        </x:is>
      </x:c>
      <x:c r="C112" s="6" t="inlineStr">
        <x:is>
          <x:t xml:space="preserve"/>
        </x:is>
      </x:c>
      <x:c r="D112" s="6" t="inlineStr">
        <x:is>
          <x:t xml:space="preserve"/>
        </x:is>
      </x:c>
      <x:c r="E112" s="8" t="inlineStr">
        <x:is>
          <x:t xml:space="preserve"/>
        </x:is>
      </x:c>
      <x:c r="F112" s="7" t="inlineStr">
        <x:is>
          <x:t xml:space="preserve"/>
        </x:is>
      </x:c>
      <x:c r="G112" s="8" t="inlineStr">
        <x:is>
          <x:t xml:space="preserve"/>
        </x:is>
      </x:c>
      <x:c r="H112" s="7">
        <x:f>IF(OR(E112="",F112="Complete"),"", MAX(0, TODAY()-E112))</x:f>
      </x:c>
      <x:c r="I112" s="6" t="inlineStr">
        <x:is>
          <x:t xml:space="preserve"/>
        </x:is>
      </x:c>
      <x:c r="J112" s="6" t="inlineStr">
        <x:is>
          <x:t xml:space="preserve"/>
        </x:is>
      </x:c>
    </x:row>
    <x:row r="113">
      <x:c r="A113" s="7">
        <x:f>IF(C113="","", "ACT-"&amp;TEXT(ROW()-1,"00000"))</x:f>
      </x:c>
      <x:c r="B113" s="7" t="inlineStr">
        <x:is>
          <x:t xml:space="preserve"/>
        </x:is>
      </x:c>
      <x:c r="C113" s="6" t="inlineStr">
        <x:is>
          <x:t xml:space="preserve"/>
        </x:is>
      </x:c>
      <x:c r="D113" s="6" t="inlineStr">
        <x:is>
          <x:t xml:space="preserve"/>
        </x:is>
      </x:c>
      <x:c r="E113" s="8" t="inlineStr">
        <x:is>
          <x:t xml:space="preserve"/>
        </x:is>
      </x:c>
      <x:c r="F113" s="7" t="inlineStr">
        <x:is>
          <x:t xml:space="preserve"/>
        </x:is>
      </x:c>
      <x:c r="G113" s="8" t="inlineStr">
        <x:is>
          <x:t xml:space="preserve"/>
        </x:is>
      </x:c>
      <x:c r="H113" s="7">
        <x:f>IF(OR(E113="",F113="Complete"),"", MAX(0, TODAY()-E113))</x:f>
      </x:c>
      <x:c r="I113" s="6" t="inlineStr">
        <x:is>
          <x:t xml:space="preserve"/>
        </x:is>
      </x:c>
      <x:c r="J113" s="6" t="inlineStr">
        <x:is>
          <x:t xml:space="preserve"/>
        </x:is>
      </x:c>
    </x:row>
    <x:row r="114">
      <x:c r="A114" s="7">
        <x:f>IF(C114="","", "ACT-"&amp;TEXT(ROW()-1,"00000"))</x:f>
      </x:c>
      <x:c r="B114" s="7" t="inlineStr">
        <x:is>
          <x:t xml:space="preserve"/>
        </x:is>
      </x:c>
      <x:c r="C114" s="6" t="inlineStr">
        <x:is>
          <x:t xml:space="preserve"/>
        </x:is>
      </x:c>
      <x:c r="D114" s="6" t="inlineStr">
        <x:is>
          <x:t xml:space="preserve"/>
        </x:is>
      </x:c>
      <x:c r="E114" s="8" t="inlineStr">
        <x:is>
          <x:t xml:space="preserve"/>
        </x:is>
      </x:c>
      <x:c r="F114" s="7" t="inlineStr">
        <x:is>
          <x:t xml:space="preserve"/>
        </x:is>
      </x:c>
      <x:c r="G114" s="8" t="inlineStr">
        <x:is>
          <x:t xml:space="preserve"/>
        </x:is>
      </x:c>
      <x:c r="H114" s="7">
        <x:f>IF(OR(E114="",F114="Complete"),"", MAX(0, TODAY()-E114))</x:f>
      </x:c>
      <x:c r="I114" s="6" t="inlineStr">
        <x:is>
          <x:t xml:space="preserve"/>
        </x:is>
      </x:c>
      <x:c r="J114" s="6" t="inlineStr">
        <x:is>
          <x:t xml:space="preserve"/>
        </x:is>
      </x:c>
    </x:row>
    <x:row r="115">
      <x:c r="A115" s="7">
        <x:f>IF(C115="","", "ACT-"&amp;TEXT(ROW()-1,"00000"))</x:f>
      </x:c>
      <x:c r="B115" s="7" t="inlineStr">
        <x:is>
          <x:t xml:space="preserve"/>
        </x:is>
      </x:c>
      <x:c r="C115" s="6" t="inlineStr">
        <x:is>
          <x:t xml:space="preserve"/>
        </x:is>
      </x:c>
      <x:c r="D115" s="6" t="inlineStr">
        <x:is>
          <x:t xml:space="preserve"/>
        </x:is>
      </x:c>
      <x:c r="E115" s="8" t="inlineStr">
        <x:is>
          <x:t xml:space="preserve"/>
        </x:is>
      </x:c>
      <x:c r="F115" s="7" t="inlineStr">
        <x:is>
          <x:t xml:space="preserve"/>
        </x:is>
      </x:c>
      <x:c r="G115" s="8" t="inlineStr">
        <x:is>
          <x:t xml:space="preserve"/>
        </x:is>
      </x:c>
      <x:c r="H115" s="7">
        <x:f>IF(OR(E115="",F115="Complete"),"", MAX(0, TODAY()-E115))</x:f>
      </x:c>
      <x:c r="I115" s="6" t="inlineStr">
        <x:is>
          <x:t xml:space="preserve"/>
        </x:is>
      </x:c>
      <x:c r="J115" s="6" t="inlineStr">
        <x:is>
          <x:t xml:space="preserve"/>
        </x:is>
      </x:c>
    </x:row>
    <x:row r="116">
      <x:c r="A116" s="7">
        <x:f>IF(C116="","", "ACT-"&amp;TEXT(ROW()-1,"00000"))</x:f>
      </x:c>
      <x:c r="B116" s="7" t="inlineStr">
        <x:is>
          <x:t xml:space="preserve"/>
        </x:is>
      </x:c>
      <x:c r="C116" s="6" t="inlineStr">
        <x:is>
          <x:t xml:space="preserve"/>
        </x:is>
      </x:c>
      <x:c r="D116" s="6" t="inlineStr">
        <x:is>
          <x:t xml:space="preserve"/>
        </x:is>
      </x:c>
      <x:c r="E116" s="8" t="inlineStr">
        <x:is>
          <x:t xml:space="preserve"/>
        </x:is>
      </x:c>
      <x:c r="F116" s="7" t="inlineStr">
        <x:is>
          <x:t xml:space="preserve"/>
        </x:is>
      </x:c>
      <x:c r="G116" s="8" t="inlineStr">
        <x:is>
          <x:t xml:space="preserve"/>
        </x:is>
      </x:c>
      <x:c r="H116" s="7">
        <x:f>IF(OR(E116="",F116="Complete"),"", MAX(0, TODAY()-E116))</x:f>
      </x:c>
      <x:c r="I116" s="6" t="inlineStr">
        <x:is>
          <x:t xml:space="preserve"/>
        </x:is>
      </x:c>
      <x:c r="J116" s="6" t="inlineStr">
        <x:is>
          <x:t xml:space="preserve"/>
        </x:is>
      </x:c>
    </x:row>
    <x:row r="117">
      <x:c r="A117" s="7">
        <x:f>IF(C117="","", "ACT-"&amp;TEXT(ROW()-1,"00000"))</x:f>
      </x:c>
      <x:c r="B117" s="7" t="inlineStr">
        <x:is>
          <x:t xml:space="preserve"/>
        </x:is>
      </x:c>
      <x:c r="C117" s="6" t="inlineStr">
        <x:is>
          <x:t xml:space="preserve"/>
        </x:is>
      </x:c>
      <x:c r="D117" s="6" t="inlineStr">
        <x:is>
          <x:t xml:space="preserve"/>
        </x:is>
      </x:c>
      <x:c r="E117" s="8" t="inlineStr">
        <x:is>
          <x:t xml:space="preserve"/>
        </x:is>
      </x:c>
      <x:c r="F117" s="7" t="inlineStr">
        <x:is>
          <x:t xml:space="preserve"/>
        </x:is>
      </x:c>
      <x:c r="G117" s="8" t="inlineStr">
        <x:is>
          <x:t xml:space="preserve"/>
        </x:is>
      </x:c>
      <x:c r="H117" s="7">
        <x:f>IF(OR(E117="",F117="Complete"),"", MAX(0, TODAY()-E117))</x:f>
      </x:c>
      <x:c r="I117" s="6" t="inlineStr">
        <x:is>
          <x:t xml:space="preserve"/>
        </x:is>
      </x:c>
      <x:c r="J117" s="6" t="inlineStr">
        <x:is>
          <x:t xml:space="preserve"/>
        </x:is>
      </x:c>
    </x:row>
    <x:row r="118">
      <x:c r="A118" s="7">
        <x:f>IF(C118="","", "ACT-"&amp;TEXT(ROW()-1,"00000"))</x:f>
      </x:c>
      <x:c r="B118" s="7" t="inlineStr">
        <x:is>
          <x:t xml:space="preserve"/>
        </x:is>
      </x:c>
      <x:c r="C118" s="6" t="inlineStr">
        <x:is>
          <x:t xml:space="preserve"/>
        </x:is>
      </x:c>
      <x:c r="D118" s="6" t="inlineStr">
        <x:is>
          <x:t xml:space="preserve"/>
        </x:is>
      </x:c>
      <x:c r="E118" s="8" t="inlineStr">
        <x:is>
          <x:t xml:space="preserve"/>
        </x:is>
      </x:c>
      <x:c r="F118" s="7" t="inlineStr">
        <x:is>
          <x:t xml:space="preserve"/>
        </x:is>
      </x:c>
      <x:c r="G118" s="8" t="inlineStr">
        <x:is>
          <x:t xml:space="preserve"/>
        </x:is>
      </x:c>
      <x:c r="H118" s="7">
        <x:f>IF(OR(E118="",F118="Complete"),"", MAX(0, TODAY()-E118))</x:f>
      </x:c>
      <x:c r="I118" s="6" t="inlineStr">
        <x:is>
          <x:t xml:space="preserve"/>
        </x:is>
      </x:c>
      <x:c r="J118" s="6" t="inlineStr">
        <x:is>
          <x:t xml:space="preserve"/>
        </x:is>
      </x:c>
    </x:row>
    <x:row r="119">
      <x:c r="A119" s="7">
        <x:f>IF(C119="","", "ACT-"&amp;TEXT(ROW()-1,"00000"))</x:f>
      </x:c>
      <x:c r="B119" s="7" t="inlineStr">
        <x:is>
          <x:t xml:space="preserve"/>
        </x:is>
      </x:c>
      <x:c r="C119" s="6" t="inlineStr">
        <x:is>
          <x:t xml:space="preserve"/>
        </x:is>
      </x:c>
      <x:c r="D119" s="6" t="inlineStr">
        <x:is>
          <x:t xml:space="preserve"/>
        </x:is>
      </x:c>
      <x:c r="E119" s="8" t="inlineStr">
        <x:is>
          <x:t xml:space="preserve"/>
        </x:is>
      </x:c>
      <x:c r="F119" s="7" t="inlineStr">
        <x:is>
          <x:t xml:space="preserve"/>
        </x:is>
      </x:c>
      <x:c r="G119" s="8" t="inlineStr">
        <x:is>
          <x:t xml:space="preserve"/>
        </x:is>
      </x:c>
      <x:c r="H119" s="7">
        <x:f>IF(OR(E119="",F119="Complete"),"", MAX(0, TODAY()-E119))</x:f>
      </x:c>
      <x:c r="I119" s="6" t="inlineStr">
        <x:is>
          <x:t xml:space="preserve"/>
        </x:is>
      </x:c>
      <x:c r="J119" s="6" t="inlineStr">
        <x:is>
          <x:t xml:space="preserve"/>
        </x:is>
      </x:c>
    </x:row>
    <x:row r="120">
      <x:c r="A120" s="7">
        <x:f>IF(C120="","", "ACT-"&amp;TEXT(ROW()-1,"00000"))</x:f>
      </x:c>
      <x:c r="B120" s="7" t="inlineStr">
        <x:is>
          <x:t xml:space="preserve"/>
        </x:is>
      </x:c>
      <x:c r="C120" s="6" t="inlineStr">
        <x:is>
          <x:t xml:space="preserve"/>
        </x:is>
      </x:c>
      <x:c r="D120" s="6" t="inlineStr">
        <x:is>
          <x:t xml:space="preserve"/>
        </x:is>
      </x:c>
      <x:c r="E120" s="8" t="inlineStr">
        <x:is>
          <x:t xml:space="preserve"/>
        </x:is>
      </x:c>
      <x:c r="F120" s="7" t="inlineStr">
        <x:is>
          <x:t xml:space="preserve"/>
        </x:is>
      </x:c>
      <x:c r="G120" s="8" t="inlineStr">
        <x:is>
          <x:t xml:space="preserve"/>
        </x:is>
      </x:c>
      <x:c r="H120" s="7">
        <x:f>IF(OR(E120="",F120="Complete"),"", MAX(0, TODAY()-E120))</x:f>
      </x:c>
      <x:c r="I120" s="6" t="inlineStr">
        <x:is>
          <x:t xml:space="preserve"/>
        </x:is>
      </x:c>
      <x:c r="J120" s="6" t="inlineStr">
        <x:is>
          <x:t xml:space="preserve"/>
        </x:is>
      </x:c>
    </x:row>
    <x:row r="121">
      <x:c r="A121" s="7">
        <x:f>IF(C121="","", "ACT-"&amp;TEXT(ROW()-1,"00000"))</x:f>
      </x:c>
      <x:c r="B121" s="7" t="inlineStr">
        <x:is>
          <x:t xml:space="preserve"/>
        </x:is>
      </x:c>
      <x:c r="C121" s="6" t="inlineStr">
        <x:is>
          <x:t xml:space="preserve"/>
        </x:is>
      </x:c>
      <x:c r="D121" s="6" t="inlineStr">
        <x:is>
          <x:t xml:space="preserve"/>
        </x:is>
      </x:c>
      <x:c r="E121" s="8" t="inlineStr">
        <x:is>
          <x:t xml:space="preserve"/>
        </x:is>
      </x:c>
      <x:c r="F121" s="7" t="inlineStr">
        <x:is>
          <x:t xml:space="preserve"/>
        </x:is>
      </x:c>
      <x:c r="G121" s="8" t="inlineStr">
        <x:is>
          <x:t xml:space="preserve"/>
        </x:is>
      </x:c>
      <x:c r="H121" s="7">
        <x:f>IF(OR(E121="",F121="Complete"),"", MAX(0, TODAY()-E121))</x:f>
      </x:c>
      <x:c r="I121" s="6" t="inlineStr">
        <x:is>
          <x:t xml:space="preserve"/>
        </x:is>
      </x:c>
      <x:c r="J121" s="6" t="inlineStr">
        <x:is>
          <x:t xml:space="preserve"/>
        </x:is>
      </x:c>
    </x:row>
    <x:row r="122">
      <x:c r="A122" s="7">
        <x:f>IF(C122="","", "ACT-"&amp;TEXT(ROW()-1,"00000"))</x:f>
      </x:c>
      <x:c r="B122" s="7" t="inlineStr">
        <x:is>
          <x:t xml:space="preserve"/>
        </x:is>
      </x:c>
      <x:c r="C122" s="6" t="inlineStr">
        <x:is>
          <x:t xml:space="preserve"/>
        </x:is>
      </x:c>
      <x:c r="D122" s="6" t="inlineStr">
        <x:is>
          <x:t xml:space="preserve"/>
        </x:is>
      </x:c>
      <x:c r="E122" s="8" t="inlineStr">
        <x:is>
          <x:t xml:space="preserve"/>
        </x:is>
      </x:c>
      <x:c r="F122" s="7" t="inlineStr">
        <x:is>
          <x:t xml:space="preserve"/>
        </x:is>
      </x:c>
      <x:c r="G122" s="8" t="inlineStr">
        <x:is>
          <x:t xml:space="preserve"/>
        </x:is>
      </x:c>
      <x:c r="H122" s="7">
        <x:f>IF(OR(E122="",F122="Complete"),"", MAX(0, TODAY()-E122))</x:f>
      </x:c>
      <x:c r="I122" s="6" t="inlineStr">
        <x:is>
          <x:t xml:space="preserve"/>
        </x:is>
      </x:c>
      <x:c r="J122" s="6" t="inlineStr">
        <x:is>
          <x:t xml:space="preserve"/>
        </x:is>
      </x:c>
    </x:row>
    <x:row r="123">
      <x:c r="A123" s="7">
        <x:f>IF(C123="","", "ACT-"&amp;TEXT(ROW()-1,"00000"))</x:f>
      </x:c>
      <x:c r="B123" s="7" t="inlineStr">
        <x:is>
          <x:t xml:space="preserve"/>
        </x:is>
      </x:c>
      <x:c r="C123" s="6" t="inlineStr">
        <x:is>
          <x:t xml:space="preserve"/>
        </x:is>
      </x:c>
      <x:c r="D123" s="6" t="inlineStr">
        <x:is>
          <x:t xml:space="preserve"/>
        </x:is>
      </x:c>
      <x:c r="E123" s="8" t="inlineStr">
        <x:is>
          <x:t xml:space="preserve"/>
        </x:is>
      </x:c>
      <x:c r="F123" s="7" t="inlineStr">
        <x:is>
          <x:t xml:space="preserve"/>
        </x:is>
      </x:c>
      <x:c r="G123" s="8" t="inlineStr">
        <x:is>
          <x:t xml:space="preserve"/>
        </x:is>
      </x:c>
      <x:c r="H123" s="7">
        <x:f>IF(OR(E123="",F123="Complete"),"", MAX(0, TODAY()-E123))</x:f>
      </x:c>
      <x:c r="I123" s="6" t="inlineStr">
        <x:is>
          <x:t xml:space="preserve"/>
        </x:is>
      </x:c>
      <x:c r="J123" s="6" t="inlineStr">
        <x:is>
          <x:t xml:space="preserve"/>
        </x:is>
      </x:c>
    </x:row>
    <x:row r="124">
      <x:c r="A124" s="7">
        <x:f>IF(C124="","", "ACT-"&amp;TEXT(ROW()-1,"00000"))</x:f>
      </x:c>
      <x:c r="B124" s="7" t="inlineStr">
        <x:is>
          <x:t xml:space="preserve"/>
        </x:is>
      </x:c>
      <x:c r="C124" s="6" t="inlineStr">
        <x:is>
          <x:t xml:space="preserve"/>
        </x:is>
      </x:c>
      <x:c r="D124" s="6" t="inlineStr">
        <x:is>
          <x:t xml:space="preserve"/>
        </x:is>
      </x:c>
      <x:c r="E124" s="8" t="inlineStr">
        <x:is>
          <x:t xml:space="preserve"/>
        </x:is>
      </x:c>
      <x:c r="F124" s="7" t="inlineStr">
        <x:is>
          <x:t xml:space="preserve"/>
        </x:is>
      </x:c>
      <x:c r="G124" s="8" t="inlineStr">
        <x:is>
          <x:t xml:space="preserve"/>
        </x:is>
      </x:c>
      <x:c r="H124" s="7">
        <x:f>IF(OR(E124="",F124="Complete"),"", MAX(0, TODAY()-E124))</x:f>
      </x:c>
      <x:c r="I124" s="6" t="inlineStr">
        <x:is>
          <x:t xml:space="preserve"/>
        </x:is>
      </x:c>
      <x:c r="J124" s="6" t="inlineStr">
        <x:is>
          <x:t xml:space="preserve"/>
        </x:is>
      </x:c>
    </x:row>
    <x:row r="125">
      <x:c r="A125" s="7">
        <x:f>IF(C125="","", "ACT-"&amp;TEXT(ROW()-1,"00000"))</x:f>
      </x:c>
      <x:c r="B125" s="7" t="inlineStr">
        <x:is>
          <x:t xml:space="preserve"/>
        </x:is>
      </x:c>
      <x:c r="C125" s="6" t="inlineStr">
        <x:is>
          <x:t xml:space="preserve"/>
        </x:is>
      </x:c>
      <x:c r="D125" s="6" t="inlineStr">
        <x:is>
          <x:t xml:space="preserve"/>
        </x:is>
      </x:c>
      <x:c r="E125" s="8" t="inlineStr">
        <x:is>
          <x:t xml:space="preserve"/>
        </x:is>
      </x:c>
      <x:c r="F125" s="7" t="inlineStr">
        <x:is>
          <x:t xml:space="preserve"/>
        </x:is>
      </x:c>
      <x:c r="G125" s="8" t="inlineStr">
        <x:is>
          <x:t xml:space="preserve"/>
        </x:is>
      </x:c>
      <x:c r="H125" s="7">
        <x:f>IF(OR(E125="",F125="Complete"),"", MAX(0, TODAY()-E125))</x:f>
      </x:c>
      <x:c r="I125" s="6" t="inlineStr">
        <x:is>
          <x:t xml:space="preserve"/>
        </x:is>
      </x:c>
      <x:c r="J125" s="6" t="inlineStr">
        <x:is>
          <x:t xml:space="preserve"/>
        </x:is>
      </x:c>
    </x:row>
    <x:row r="126">
      <x:c r="A126" s="7">
        <x:f>IF(C126="","", "ACT-"&amp;TEXT(ROW()-1,"00000"))</x:f>
      </x:c>
      <x:c r="B126" s="7" t="inlineStr">
        <x:is>
          <x:t xml:space="preserve"/>
        </x:is>
      </x:c>
      <x:c r="C126" s="6" t="inlineStr">
        <x:is>
          <x:t xml:space="preserve"/>
        </x:is>
      </x:c>
      <x:c r="D126" s="6" t="inlineStr">
        <x:is>
          <x:t xml:space="preserve"/>
        </x:is>
      </x:c>
      <x:c r="E126" s="8" t="inlineStr">
        <x:is>
          <x:t xml:space="preserve"/>
        </x:is>
      </x:c>
      <x:c r="F126" s="7" t="inlineStr">
        <x:is>
          <x:t xml:space="preserve"/>
        </x:is>
      </x:c>
      <x:c r="G126" s="8" t="inlineStr">
        <x:is>
          <x:t xml:space="preserve"/>
        </x:is>
      </x:c>
      <x:c r="H126" s="7">
        <x:f>IF(OR(E126="",F126="Complete"),"", MAX(0, TODAY()-E126))</x:f>
      </x:c>
      <x:c r="I126" s="6" t="inlineStr">
        <x:is>
          <x:t xml:space="preserve"/>
        </x:is>
      </x:c>
      <x:c r="J126" s="6" t="inlineStr">
        <x:is>
          <x:t xml:space="preserve"/>
        </x:is>
      </x:c>
    </x:row>
    <x:row r="127">
      <x:c r="A127" s="7">
        <x:f>IF(C127="","", "ACT-"&amp;TEXT(ROW()-1,"00000"))</x:f>
      </x:c>
      <x:c r="B127" s="7" t="inlineStr">
        <x:is>
          <x:t xml:space="preserve"/>
        </x:is>
      </x:c>
      <x:c r="C127" s="6" t="inlineStr">
        <x:is>
          <x:t xml:space="preserve"/>
        </x:is>
      </x:c>
      <x:c r="D127" s="6" t="inlineStr">
        <x:is>
          <x:t xml:space="preserve"/>
        </x:is>
      </x:c>
      <x:c r="E127" s="8" t="inlineStr">
        <x:is>
          <x:t xml:space="preserve"/>
        </x:is>
      </x:c>
      <x:c r="F127" s="7" t="inlineStr">
        <x:is>
          <x:t xml:space="preserve"/>
        </x:is>
      </x:c>
      <x:c r="G127" s="8" t="inlineStr">
        <x:is>
          <x:t xml:space="preserve"/>
        </x:is>
      </x:c>
      <x:c r="H127" s="7">
        <x:f>IF(OR(E127="",F127="Complete"),"", MAX(0, TODAY()-E127))</x:f>
      </x:c>
      <x:c r="I127" s="6" t="inlineStr">
        <x:is>
          <x:t xml:space="preserve"/>
        </x:is>
      </x:c>
      <x:c r="J127" s="6" t="inlineStr">
        <x:is>
          <x:t xml:space="preserve"/>
        </x:is>
      </x:c>
    </x:row>
    <x:row r="128">
      <x:c r="A128" s="7">
        <x:f>IF(C128="","", "ACT-"&amp;TEXT(ROW()-1,"00000"))</x:f>
      </x:c>
      <x:c r="B128" s="7" t="inlineStr">
        <x:is>
          <x:t xml:space="preserve"/>
        </x:is>
      </x:c>
      <x:c r="C128" s="6" t="inlineStr">
        <x:is>
          <x:t xml:space="preserve"/>
        </x:is>
      </x:c>
      <x:c r="D128" s="6" t="inlineStr">
        <x:is>
          <x:t xml:space="preserve"/>
        </x:is>
      </x:c>
      <x:c r="E128" s="8" t="inlineStr">
        <x:is>
          <x:t xml:space="preserve"/>
        </x:is>
      </x:c>
      <x:c r="F128" s="7" t="inlineStr">
        <x:is>
          <x:t xml:space="preserve"/>
        </x:is>
      </x:c>
      <x:c r="G128" s="8" t="inlineStr">
        <x:is>
          <x:t xml:space="preserve"/>
        </x:is>
      </x:c>
      <x:c r="H128" s="7">
        <x:f>IF(OR(E128="",F128="Complete"),"", MAX(0, TODAY()-E128))</x:f>
      </x:c>
      <x:c r="I128" s="6" t="inlineStr">
        <x:is>
          <x:t xml:space="preserve"/>
        </x:is>
      </x:c>
      <x:c r="J128" s="6" t="inlineStr">
        <x:is>
          <x:t xml:space="preserve"/>
        </x:is>
      </x:c>
    </x:row>
    <x:row r="129">
      <x:c r="A129" s="7">
        <x:f>IF(C129="","", "ACT-"&amp;TEXT(ROW()-1,"00000"))</x:f>
      </x:c>
      <x:c r="B129" s="7" t="inlineStr">
        <x:is>
          <x:t xml:space="preserve"/>
        </x:is>
      </x:c>
      <x:c r="C129" s="6" t="inlineStr">
        <x:is>
          <x:t xml:space="preserve"/>
        </x:is>
      </x:c>
      <x:c r="D129" s="6" t="inlineStr">
        <x:is>
          <x:t xml:space="preserve"/>
        </x:is>
      </x:c>
      <x:c r="E129" s="8" t="inlineStr">
        <x:is>
          <x:t xml:space="preserve"/>
        </x:is>
      </x:c>
      <x:c r="F129" s="7" t="inlineStr">
        <x:is>
          <x:t xml:space="preserve"/>
        </x:is>
      </x:c>
      <x:c r="G129" s="8" t="inlineStr">
        <x:is>
          <x:t xml:space="preserve"/>
        </x:is>
      </x:c>
      <x:c r="H129" s="7">
        <x:f>IF(OR(E129="",F129="Complete"),"", MAX(0, TODAY()-E129))</x:f>
      </x:c>
      <x:c r="I129" s="6" t="inlineStr">
        <x:is>
          <x:t xml:space="preserve"/>
        </x:is>
      </x:c>
      <x:c r="J129" s="6" t="inlineStr">
        <x:is>
          <x:t xml:space="preserve"/>
        </x:is>
      </x:c>
    </x:row>
    <x:row r="130">
      <x:c r="A130" s="7">
        <x:f>IF(C130="","", "ACT-"&amp;TEXT(ROW()-1,"00000"))</x:f>
      </x:c>
      <x:c r="B130" s="7" t="inlineStr">
        <x:is>
          <x:t xml:space="preserve"/>
        </x:is>
      </x:c>
      <x:c r="C130" s="6" t="inlineStr">
        <x:is>
          <x:t xml:space="preserve"/>
        </x:is>
      </x:c>
      <x:c r="D130" s="6" t="inlineStr">
        <x:is>
          <x:t xml:space="preserve"/>
        </x:is>
      </x:c>
      <x:c r="E130" s="8" t="inlineStr">
        <x:is>
          <x:t xml:space="preserve"/>
        </x:is>
      </x:c>
      <x:c r="F130" s="7" t="inlineStr">
        <x:is>
          <x:t xml:space="preserve"/>
        </x:is>
      </x:c>
      <x:c r="G130" s="8" t="inlineStr">
        <x:is>
          <x:t xml:space="preserve"/>
        </x:is>
      </x:c>
      <x:c r="H130" s="7">
        <x:f>IF(OR(E130="",F130="Complete"),"", MAX(0, TODAY()-E130))</x:f>
      </x:c>
      <x:c r="I130" s="6" t="inlineStr">
        <x:is>
          <x:t xml:space="preserve"/>
        </x:is>
      </x:c>
      <x:c r="J130" s="6" t="inlineStr">
        <x:is>
          <x:t xml:space="preserve"/>
        </x:is>
      </x:c>
    </x:row>
    <x:row r="131">
      <x:c r="A131" s="7">
        <x:f>IF(C131="","", "ACT-"&amp;TEXT(ROW()-1,"00000"))</x:f>
      </x:c>
      <x:c r="B131" s="7" t="inlineStr">
        <x:is>
          <x:t xml:space="preserve"/>
        </x:is>
      </x:c>
      <x:c r="C131" s="6" t="inlineStr">
        <x:is>
          <x:t xml:space="preserve"/>
        </x:is>
      </x:c>
      <x:c r="D131" s="6" t="inlineStr">
        <x:is>
          <x:t xml:space="preserve"/>
        </x:is>
      </x:c>
      <x:c r="E131" s="8" t="inlineStr">
        <x:is>
          <x:t xml:space="preserve"/>
        </x:is>
      </x:c>
      <x:c r="F131" s="7" t="inlineStr">
        <x:is>
          <x:t xml:space="preserve"/>
        </x:is>
      </x:c>
      <x:c r="G131" s="8" t="inlineStr">
        <x:is>
          <x:t xml:space="preserve"/>
        </x:is>
      </x:c>
      <x:c r="H131" s="7">
        <x:f>IF(OR(E131="",F131="Complete"),"", MAX(0, TODAY()-E131))</x:f>
      </x:c>
      <x:c r="I131" s="6" t="inlineStr">
        <x:is>
          <x:t xml:space="preserve"/>
        </x:is>
      </x:c>
      <x:c r="J131" s="6" t="inlineStr">
        <x:is>
          <x:t xml:space="preserve"/>
        </x:is>
      </x:c>
    </x:row>
    <x:row r="132">
      <x:c r="A132" s="7">
        <x:f>IF(C132="","", "ACT-"&amp;TEXT(ROW()-1,"00000"))</x:f>
      </x:c>
      <x:c r="B132" s="7" t="inlineStr">
        <x:is>
          <x:t xml:space="preserve"/>
        </x:is>
      </x:c>
      <x:c r="C132" s="6" t="inlineStr">
        <x:is>
          <x:t xml:space="preserve"/>
        </x:is>
      </x:c>
      <x:c r="D132" s="6" t="inlineStr">
        <x:is>
          <x:t xml:space="preserve"/>
        </x:is>
      </x:c>
      <x:c r="E132" s="8" t="inlineStr">
        <x:is>
          <x:t xml:space="preserve"/>
        </x:is>
      </x:c>
      <x:c r="F132" s="7" t="inlineStr">
        <x:is>
          <x:t xml:space="preserve"/>
        </x:is>
      </x:c>
      <x:c r="G132" s="8" t="inlineStr">
        <x:is>
          <x:t xml:space="preserve"/>
        </x:is>
      </x:c>
      <x:c r="H132" s="7">
        <x:f>IF(OR(E132="",F132="Complete"),"", MAX(0, TODAY()-E132))</x:f>
      </x:c>
      <x:c r="I132" s="6" t="inlineStr">
        <x:is>
          <x:t xml:space="preserve"/>
        </x:is>
      </x:c>
      <x:c r="J132" s="6" t="inlineStr">
        <x:is>
          <x:t xml:space="preserve"/>
        </x:is>
      </x:c>
    </x:row>
    <x:row r="133">
      <x:c r="A133" s="7">
        <x:f>IF(C133="","", "ACT-"&amp;TEXT(ROW()-1,"00000"))</x:f>
      </x:c>
      <x:c r="B133" s="7" t="inlineStr">
        <x:is>
          <x:t xml:space="preserve"/>
        </x:is>
      </x:c>
      <x:c r="C133" s="6" t="inlineStr">
        <x:is>
          <x:t xml:space="preserve"/>
        </x:is>
      </x:c>
      <x:c r="D133" s="6" t="inlineStr">
        <x:is>
          <x:t xml:space="preserve"/>
        </x:is>
      </x:c>
      <x:c r="E133" s="8" t="inlineStr">
        <x:is>
          <x:t xml:space="preserve"/>
        </x:is>
      </x:c>
      <x:c r="F133" s="7" t="inlineStr">
        <x:is>
          <x:t xml:space="preserve"/>
        </x:is>
      </x:c>
      <x:c r="G133" s="8" t="inlineStr">
        <x:is>
          <x:t xml:space="preserve"/>
        </x:is>
      </x:c>
      <x:c r="H133" s="7">
        <x:f>IF(OR(E133="",F133="Complete"),"", MAX(0, TODAY()-E133))</x:f>
      </x:c>
      <x:c r="I133" s="6" t="inlineStr">
        <x:is>
          <x:t xml:space="preserve"/>
        </x:is>
      </x:c>
      <x:c r="J133" s="6" t="inlineStr">
        <x:is>
          <x:t xml:space="preserve"/>
        </x:is>
      </x:c>
    </x:row>
    <x:row r="134">
      <x:c r="A134" s="7">
        <x:f>IF(C134="","", "ACT-"&amp;TEXT(ROW()-1,"00000"))</x:f>
      </x:c>
      <x:c r="B134" s="7" t="inlineStr">
        <x:is>
          <x:t xml:space="preserve"/>
        </x:is>
      </x:c>
      <x:c r="C134" s="6" t="inlineStr">
        <x:is>
          <x:t xml:space="preserve"/>
        </x:is>
      </x:c>
      <x:c r="D134" s="6" t="inlineStr">
        <x:is>
          <x:t xml:space="preserve"/>
        </x:is>
      </x:c>
      <x:c r="E134" s="8" t="inlineStr">
        <x:is>
          <x:t xml:space="preserve"/>
        </x:is>
      </x:c>
      <x:c r="F134" s="7" t="inlineStr">
        <x:is>
          <x:t xml:space="preserve"/>
        </x:is>
      </x:c>
      <x:c r="G134" s="8" t="inlineStr">
        <x:is>
          <x:t xml:space="preserve"/>
        </x:is>
      </x:c>
      <x:c r="H134" s="7">
        <x:f>IF(OR(E134="",F134="Complete"),"", MAX(0, TODAY()-E134))</x:f>
      </x:c>
      <x:c r="I134" s="6" t="inlineStr">
        <x:is>
          <x:t xml:space="preserve"/>
        </x:is>
      </x:c>
      <x:c r="J134" s="6" t="inlineStr">
        <x:is>
          <x:t xml:space="preserve"/>
        </x:is>
      </x:c>
    </x:row>
    <x:row r="135">
      <x:c r="A135" s="7">
        <x:f>IF(C135="","", "ACT-"&amp;TEXT(ROW()-1,"00000"))</x:f>
      </x:c>
      <x:c r="B135" s="7" t="inlineStr">
        <x:is>
          <x:t xml:space="preserve"/>
        </x:is>
      </x:c>
      <x:c r="C135" s="6" t="inlineStr">
        <x:is>
          <x:t xml:space="preserve"/>
        </x:is>
      </x:c>
      <x:c r="D135" s="6" t="inlineStr">
        <x:is>
          <x:t xml:space="preserve"/>
        </x:is>
      </x:c>
      <x:c r="E135" s="8" t="inlineStr">
        <x:is>
          <x:t xml:space="preserve"/>
        </x:is>
      </x:c>
      <x:c r="F135" s="7" t="inlineStr">
        <x:is>
          <x:t xml:space="preserve"/>
        </x:is>
      </x:c>
      <x:c r="G135" s="8" t="inlineStr">
        <x:is>
          <x:t xml:space="preserve"/>
        </x:is>
      </x:c>
      <x:c r="H135" s="7">
        <x:f>IF(OR(E135="",F135="Complete"),"", MAX(0, TODAY()-E135))</x:f>
      </x:c>
      <x:c r="I135" s="6" t="inlineStr">
        <x:is>
          <x:t xml:space="preserve"/>
        </x:is>
      </x:c>
      <x:c r="J135" s="6" t="inlineStr">
        <x:is>
          <x:t xml:space="preserve"/>
        </x:is>
      </x:c>
    </x:row>
    <x:row r="136">
      <x:c r="A136" s="7">
        <x:f>IF(C136="","", "ACT-"&amp;TEXT(ROW()-1,"00000"))</x:f>
      </x:c>
      <x:c r="B136" s="7" t="inlineStr">
        <x:is>
          <x:t xml:space="preserve"/>
        </x:is>
      </x:c>
      <x:c r="C136" s="6" t="inlineStr">
        <x:is>
          <x:t xml:space="preserve"/>
        </x:is>
      </x:c>
      <x:c r="D136" s="6" t="inlineStr">
        <x:is>
          <x:t xml:space="preserve"/>
        </x:is>
      </x:c>
      <x:c r="E136" s="8" t="inlineStr">
        <x:is>
          <x:t xml:space="preserve"/>
        </x:is>
      </x:c>
      <x:c r="F136" s="7" t="inlineStr">
        <x:is>
          <x:t xml:space="preserve"/>
        </x:is>
      </x:c>
      <x:c r="G136" s="8" t="inlineStr">
        <x:is>
          <x:t xml:space="preserve"/>
        </x:is>
      </x:c>
      <x:c r="H136" s="7">
        <x:f>IF(OR(E136="",F136="Complete"),"", MAX(0, TODAY()-E136))</x:f>
      </x:c>
      <x:c r="I136" s="6" t="inlineStr">
        <x:is>
          <x:t xml:space="preserve"/>
        </x:is>
      </x:c>
      <x:c r="J136" s="6" t="inlineStr">
        <x:is>
          <x:t xml:space="preserve"/>
        </x:is>
      </x:c>
    </x:row>
    <x:row r="137">
      <x:c r="A137" s="7">
        <x:f>IF(C137="","", "ACT-"&amp;TEXT(ROW()-1,"00000"))</x:f>
      </x:c>
      <x:c r="B137" s="7" t="inlineStr">
        <x:is>
          <x:t xml:space="preserve"/>
        </x:is>
      </x:c>
      <x:c r="C137" s="6" t="inlineStr">
        <x:is>
          <x:t xml:space="preserve"/>
        </x:is>
      </x:c>
      <x:c r="D137" s="6" t="inlineStr">
        <x:is>
          <x:t xml:space="preserve"/>
        </x:is>
      </x:c>
      <x:c r="E137" s="8" t="inlineStr">
        <x:is>
          <x:t xml:space="preserve"/>
        </x:is>
      </x:c>
      <x:c r="F137" s="7" t="inlineStr">
        <x:is>
          <x:t xml:space="preserve"/>
        </x:is>
      </x:c>
      <x:c r="G137" s="8" t="inlineStr">
        <x:is>
          <x:t xml:space="preserve"/>
        </x:is>
      </x:c>
      <x:c r="H137" s="7">
        <x:f>IF(OR(E137="",F137="Complete"),"", MAX(0, TODAY()-E137))</x:f>
      </x:c>
      <x:c r="I137" s="6" t="inlineStr">
        <x:is>
          <x:t xml:space="preserve"/>
        </x:is>
      </x:c>
      <x:c r="J137" s="6" t="inlineStr">
        <x:is>
          <x:t xml:space="preserve"/>
        </x:is>
      </x:c>
    </x:row>
    <x:row r="138">
      <x:c r="A138" s="7">
        <x:f>IF(C138="","", "ACT-"&amp;TEXT(ROW()-1,"00000"))</x:f>
      </x:c>
      <x:c r="B138" s="7" t="inlineStr">
        <x:is>
          <x:t xml:space="preserve"/>
        </x:is>
      </x:c>
      <x:c r="C138" s="6" t="inlineStr">
        <x:is>
          <x:t xml:space="preserve"/>
        </x:is>
      </x:c>
      <x:c r="D138" s="6" t="inlineStr">
        <x:is>
          <x:t xml:space="preserve"/>
        </x:is>
      </x:c>
      <x:c r="E138" s="8" t="inlineStr">
        <x:is>
          <x:t xml:space="preserve"/>
        </x:is>
      </x:c>
      <x:c r="F138" s="7" t="inlineStr">
        <x:is>
          <x:t xml:space="preserve"/>
        </x:is>
      </x:c>
      <x:c r="G138" s="8" t="inlineStr">
        <x:is>
          <x:t xml:space="preserve"/>
        </x:is>
      </x:c>
      <x:c r="H138" s="7">
        <x:f>IF(OR(E138="",F138="Complete"),"", MAX(0, TODAY()-E138))</x:f>
      </x:c>
      <x:c r="I138" s="6" t="inlineStr">
        <x:is>
          <x:t xml:space="preserve"/>
        </x:is>
      </x:c>
      <x:c r="J138" s="6" t="inlineStr">
        <x:is>
          <x:t xml:space="preserve"/>
        </x:is>
      </x:c>
    </x:row>
    <x:row r="139">
      <x:c r="A139" s="7">
        <x:f>IF(C139="","", "ACT-"&amp;TEXT(ROW()-1,"00000"))</x:f>
      </x:c>
      <x:c r="B139" s="7" t="inlineStr">
        <x:is>
          <x:t xml:space="preserve"/>
        </x:is>
      </x:c>
      <x:c r="C139" s="6" t="inlineStr">
        <x:is>
          <x:t xml:space="preserve"/>
        </x:is>
      </x:c>
      <x:c r="D139" s="6" t="inlineStr">
        <x:is>
          <x:t xml:space="preserve"/>
        </x:is>
      </x:c>
      <x:c r="E139" s="8" t="inlineStr">
        <x:is>
          <x:t xml:space="preserve"/>
        </x:is>
      </x:c>
      <x:c r="F139" s="7" t="inlineStr">
        <x:is>
          <x:t xml:space="preserve"/>
        </x:is>
      </x:c>
      <x:c r="G139" s="8" t="inlineStr">
        <x:is>
          <x:t xml:space="preserve"/>
        </x:is>
      </x:c>
      <x:c r="H139" s="7">
        <x:f>IF(OR(E139="",F139="Complete"),"", MAX(0, TODAY()-E139))</x:f>
      </x:c>
      <x:c r="I139" s="6" t="inlineStr">
        <x:is>
          <x:t xml:space="preserve"/>
        </x:is>
      </x:c>
      <x:c r="J139" s="6" t="inlineStr">
        <x:is>
          <x:t xml:space="preserve"/>
        </x:is>
      </x:c>
    </x:row>
    <x:row r="140">
      <x:c r="A140" s="7">
        <x:f>IF(C140="","", "ACT-"&amp;TEXT(ROW()-1,"00000"))</x:f>
      </x:c>
      <x:c r="B140" s="7" t="inlineStr">
        <x:is>
          <x:t xml:space="preserve"/>
        </x:is>
      </x:c>
      <x:c r="C140" s="6" t="inlineStr">
        <x:is>
          <x:t xml:space="preserve"/>
        </x:is>
      </x:c>
      <x:c r="D140" s="6" t="inlineStr">
        <x:is>
          <x:t xml:space="preserve"/>
        </x:is>
      </x:c>
      <x:c r="E140" s="8" t="inlineStr">
        <x:is>
          <x:t xml:space="preserve"/>
        </x:is>
      </x:c>
      <x:c r="F140" s="7" t="inlineStr">
        <x:is>
          <x:t xml:space="preserve"/>
        </x:is>
      </x:c>
      <x:c r="G140" s="8" t="inlineStr">
        <x:is>
          <x:t xml:space="preserve"/>
        </x:is>
      </x:c>
      <x:c r="H140" s="7">
        <x:f>IF(OR(E140="",F140="Complete"),"", MAX(0, TODAY()-E140))</x:f>
      </x:c>
      <x:c r="I140" s="6" t="inlineStr">
        <x:is>
          <x:t xml:space="preserve"/>
        </x:is>
      </x:c>
      <x:c r="J140" s="6" t="inlineStr">
        <x:is>
          <x:t xml:space="preserve"/>
        </x:is>
      </x:c>
    </x:row>
    <x:row r="141">
      <x:c r="A141" s="7">
        <x:f>IF(C141="","", "ACT-"&amp;TEXT(ROW()-1,"00000"))</x:f>
      </x:c>
      <x:c r="B141" s="7" t="inlineStr">
        <x:is>
          <x:t xml:space="preserve"/>
        </x:is>
      </x:c>
      <x:c r="C141" s="6" t="inlineStr">
        <x:is>
          <x:t xml:space="preserve"/>
        </x:is>
      </x:c>
      <x:c r="D141" s="6" t="inlineStr">
        <x:is>
          <x:t xml:space="preserve"/>
        </x:is>
      </x:c>
      <x:c r="E141" s="8" t="inlineStr">
        <x:is>
          <x:t xml:space="preserve"/>
        </x:is>
      </x:c>
      <x:c r="F141" s="7" t="inlineStr">
        <x:is>
          <x:t xml:space="preserve"/>
        </x:is>
      </x:c>
      <x:c r="G141" s="8" t="inlineStr">
        <x:is>
          <x:t xml:space="preserve"/>
        </x:is>
      </x:c>
      <x:c r="H141" s="7">
        <x:f>IF(OR(E141="",F141="Complete"),"", MAX(0, TODAY()-E141))</x:f>
      </x:c>
      <x:c r="I141" s="6" t="inlineStr">
        <x:is>
          <x:t xml:space="preserve"/>
        </x:is>
      </x:c>
      <x:c r="J141" s="6" t="inlineStr">
        <x:is>
          <x:t xml:space="preserve"/>
        </x:is>
      </x:c>
    </x:row>
    <x:row r="142">
      <x:c r="A142" s="7">
        <x:f>IF(C142="","", "ACT-"&amp;TEXT(ROW()-1,"00000"))</x:f>
      </x:c>
      <x:c r="B142" s="7" t="inlineStr">
        <x:is>
          <x:t xml:space="preserve"/>
        </x:is>
      </x:c>
      <x:c r="C142" s="6" t="inlineStr">
        <x:is>
          <x:t xml:space="preserve"/>
        </x:is>
      </x:c>
      <x:c r="D142" s="6" t="inlineStr">
        <x:is>
          <x:t xml:space="preserve"/>
        </x:is>
      </x:c>
      <x:c r="E142" s="8" t="inlineStr">
        <x:is>
          <x:t xml:space="preserve"/>
        </x:is>
      </x:c>
      <x:c r="F142" s="7" t="inlineStr">
        <x:is>
          <x:t xml:space="preserve"/>
        </x:is>
      </x:c>
      <x:c r="G142" s="8" t="inlineStr">
        <x:is>
          <x:t xml:space="preserve"/>
        </x:is>
      </x:c>
      <x:c r="H142" s="7">
        <x:f>IF(OR(E142="",F142="Complete"),"", MAX(0, TODAY()-E142))</x:f>
      </x:c>
      <x:c r="I142" s="6" t="inlineStr">
        <x:is>
          <x:t xml:space="preserve"/>
        </x:is>
      </x:c>
      <x:c r="J142" s="6" t="inlineStr">
        <x:is>
          <x:t xml:space="preserve"/>
        </x:is>
      </x:c>
    </x:row>
    <x:row r="143">
      <x:c r="A143" s="7">
        <x:f>IF(C143="","", "ACT-"&amp;TEXT(ROW()-1,"00000"))</x:f>
      </x:c>
      <x:c r="B143" s="7" t="inlineStr">
        <x:is>
          <x:t xml:space="preserve"/>
        </x:is>
      </x:c>
      <x:c r="C143" s="6" t="inlineStr">
        <x:is>
          <x:t xml:space="preserve"/>
        </x:is>
      </x:c>
      <x:c r="D143" s="6" t="inlineStr">
        <x:is>
          <x:t xml:space="preserve"/>
        </x:is>
      </x:c>
      <x:c r="E143" s="8" t="inlineStr">
        <x:is>
          <x:t xml:space="preserve"/>
        </x:is>
      </x:c>
      <x:c r="F143" s="7" t="inlineStr">
        <x:is>
          <x:t xml:space="preserve"/>
        </x:is>
      </x:c>
      <x:c r="G143" s="8" t="inlineStr">
        <x:is>
          <x:t xml:space="preserve"/>
        </x:is>
      </x:c>
      <x:c r="H143" s="7">
        <x:f>IF(OR(E143="",F143="Complete"),"", MAX(0, TODAY()-E143))</x:f>
      </x:c>
      <x:c r="I143" s="6" t="inlineStr">
        <x:is>
          <x:t xml:space="preserve"/>
        </x:is>
      </x:c>
      <x:c r="J143" s="6" t="inlineStr">
        <x:is>
          <x:t xml:space="preserve"/>
        </x:is>
      </x:c>
    </x:row>
    <x:row r="144">
      <x:c r="A144" s="7">
        <x:f>IF(C144="","", "ACT-"&amp;TEXT(ROW()-1,"00000"))</x:f>
      </x:c>
      <x:c r="B144" s="7" t="inlineStr">
        <x:is>
          <x:t xml:space="preserve"/>
        </x:is>
      </x:c>
      <x:c r="C144" s="6" t="inlineStr">
        <x:is>
          <x:t xml:space="preserve"/>
        </x:is>
      </x:c>
      <x:c r="D144" s="6" t="inlineStr">
        <x:is>
          <x:t xml:space="preserve"/>
        </x:is>
      </x:c>
      <x:c r="E144" s="8" t="inlineStr">
        <x:is>
          <x:t xml:space="preserve"/>
        </x:is>
      </x:c>
      <x:c r="F144" s="7" t="inlineStr">
        <x:is>
          <x:t xml:space="preserve"/>
        </x:is>
      </x:c>
      <x:c r="G144" s="8" t="inlineStr">
        <x:is>
          <x:t xml:space="preserve"/>
        </x:is>
      </x:c>
      <x:c r="H144" s="7">
        <x:f>IF(OR(E144="",F144="Complete"),"", MAX(0, TODAY()-E144))</x:f>
      </x:c>
      <x:c r="I144" s="6" t="inlineStr">
        <x:is>
          <x:t xml:space="preserve"/>
        </x:is>
      </x:c>
      <x:c r="J144" s="6" t="inlineStr">
        <x:is>
          <x:t xml:space="preserve"/>
        </x:is>
      </x:c>
    </x:row>
    <x:row r="145">
      <x:c r="A145" s="7">
        <x:f>IF(C145="","", "ACT-"&amp;TEXT(ROW()-1,"00000"))</x:f>
      </x:c>
      <x:c r="B145" s="7" t="inlineStr">
        <x:is>
          <x:t xml:space="preserve"/>
        </x:is>
      </x:c>
      <x:c r="C145" s="6" t="inlineStr">
        <x:is>
          <x:t xml:space="preserve"/>
        </x:is>
      </x:c>
      <x:c r="D145" s="6" t="inlineStr">
        <x:is>
          <x:t xml:space="preserve"/>
        </x:is>
      </x:c>
      <x:c r="E145" s="8" t="inlineStr">
        <x:is>
          <x:t xml:space="preserve"/>
        </x:is>
      </x:c>
      <x:c r="F145" s="7" t="inlineStr">
        <x:is>
          <x:t xml:space="preserve"/>
        </x:is>
      </x:c>
      <x:c r="G145" s="8" t="inlineStr">
        <x:is>
          <x:t xml:space="preserve"/>
        </x:is>
      </x:c>
      <x:c r="H145" s="7">
        <x:f>IF(OR(E145="",F145="Complete"),"", MAX(0, TODAY()-E145))</x:f>
      </x:c>
      <x:c r="I145" s="6" t="inlineStr">
        <x:is>
          <x:t xml:space="preserve"/>
        </x:is>
      </x:c>
      <x:c r="J145" s="6" t="inlineStr">
        <x:is>
          <x:t xml:space="preserve"/>
        </x:is>
      </x:c>
    </x:row>
    <x:row r="146">
      <x:c r="A146" s="7">
        <x:f>IF(C146="","", "ACT-"&amp;TEXT(ROW()-1,"00000"))</x:f>
      </x:c>
      <x:c r="B146" s="7" t="inlineStr">
        <x:is>
          <x:t xml:space="preserve"/>
        </x:is>
      </x:c>
      <x:c r="C146" s="6" t="inlineStr">
        <x:is>
          <x:t xml:space="preserve"/>
        </x:is>
      </x:c>
      <x:c r="D146" s="6" t="inlineStr">
        <x:is>
          <x:t xml:space="preserve"/>
        </x:is>
      </x:c>
      <x:c r="E146" s="8" t="inlineStr">
        <x:is>
          <x:t xml:space="preserve"/>
        </x:is>
      </x:c>
      <x:c r="F146" s="7" t="inlineStr">
        <x:is>
          <x:t xml:space="preserve"/>
        </x:is>
      </x:c>
      <x:c r="G146" s="8" t="inlineStr">
        <x:is>
          <x:t xml:space="preserve"/>
        </x:is>
      </x:c>
      <x:c r="H146" s="7">
        <x:f>IF(OR(E146="",F146="Complete"),"", MAX(0, TODAY()-E146))</x:f>
      </x:c>
      <x:c r="I146" s="6" t="inlineStr">
        <x:is>
          <x:t xml:space="preserve"/>
        </x:is>
      </x:c>
      <x:c r="J146" s="6" t="inlineStr">
        <x:is>
          <x:t xml:space="preserve"/>
        </x:is>
      </x:c>
    </x:row>
    <x:row r="147">
      <x:c r="A147" s="7">
        <x:f>IF(C147="","", "ACT-"&amp;TEXT(ROW()-1,"00000"))</x:f>
      </x:c>
      <x:c r="B147" s="7" t="inlineStr">
        <x:is>
          <x:t xml:space="preserve"/>
        </x:is>
      </x:c>
      <x:c r="C147" s="6" t="inlineStr">
        <x:is>
          <x:t xml:space="preserve"/>
        </x:is>
      </x:c>
      <x:c r="D147" s="6" t="inlineStr">
        <x:is>
          <x:t xml:space="preserve"/>
        </x:is>
      </x:c>
      <x:c r="E147" s="8" t="inlineStr">
        <x:is>
          <x:t xml:space="preserve"/>
        </x:is>
      </x:c>
      <x:c r="F147" s="7" t="inlineStr">
        <x:is>
          <x:t xml:space="preserve"/>
        </x:is>
      </x:c>
      <x:c r="G147" s="8" t="inlineStr">
        <x:is>
          <x:t xml:space="preserve"/>
        </x:is>
      </x:c>
      <x:c r="H147" s="7">
        <x:f>IF(OR(E147="",F147="Complete"),"", MAX(0, TODAY()-E147))</x:f>
      </x:c>
      <x:c r="I147" s="6" t="inlineStr">
        <x:is>
          <x:t xml:space="preserve"/>
        </x:is>
      </x:c>
      <x:c r="J147" s="6" t="inlineStr">
        <x:is>
          <x:t xml:space="preserve"/>
        </x:is>
      </x:c>
    </x:row>
    <x:row r="148">
      <x:c r="A148" s="7">
        <x:f>IF(C148="","", "ACT-"&amp;TEXT(ROW()-1,"00000"))</x:f>
      </x:c>
      <x:c r="B148" s="7" t="inlineStr">
        <x:is>
          <x:t xml:space="preserve"/>
        </x:is>
      </x:c>
      <x:c r="C148" s="6" t="inlineStr">
        <x:is>
          <x:t xml:space="preserve"/>
        </x:is>
      </x:c>
      <x:c r="D148" s="6" t="inlineStr">
        <x:is>
          <x:t xml:space="preserve"/>
        </x:is>
      </x:c>
      <x:c r="E148" s="8" t="inlineStr">
        <x:is>
          <x:t xml:space="preserve"/>
        </x:is>
      </x:c>
      <x:c r="F148" s="7" t="inlineStr">
        <x:is>
          <x:t xml:space="preserve"/>
        </x:is>
      </x:c>
      <x:c r="G148" s="8" t="inlineStr">
        <x:is>
          <x:t xml:space="preserve"/>
        </x:is>
      </x:c>
      <x:c r="H148" s="7">
        <x:f>IF(OR(E148="",F148="Complete"),"", MAX(0, TODAY()-E148))</x:f>
      </x:c>
      <x:c r="I148" s="6" t="inlineStr">
        <x:is>
          <x:t xml:space="preserve"/>
        </x:is>
      </x:c>
      <x:c r="J148" s="6" t="inlineStr">
        <x:is>
          <x:t xml:space="preserve"/>
        </x:is>
      </x:c>
    </x:row>
    <x:row r="149">
      <x:c r="A149" s="7">
        <x:f>IF(C149="","", "ACT-"&amp;TEXT(ROW()-1,"00000"))</x:f>
      </x:c>
      <x:c r="B149" s="7" t="inlineStr">
        <x:is>
          <x:t xml:space="preserve"/>
        </x:is>
      </x:c>
      <x:c r="C149" s="6" t="inlineStr">
        <x:is>
          <x:t xml:space="preserve"/>
        </x:is>
      </x:c>
      <x:c r="D149" s="6" t="inlineStr">
        <x:is>
          <x:t xml:space="preserve"/>
        </x:is>
      </x:c>
      <x:c r="E149" s="8" t="inlineStr">
        <x:is>
          <x:t xml:space="preserve"/>
        </x:is>
      </x:c>
      <x:c r="F149" s="7" t="inlineStr">
        <x:is>
          <x:t xml:space="preserve"/>
        </x:is>
      </x:c>
      <x:c r="G149" s="8" t="inlineStr">
        <x:is>
          <x:t xml:space="preserve"/>
        </x:is>
      </x:c>
      <x:c r="H149" s="7">
        <x:f>IF(OR(E149="",F149="Complete"),"", MAX(0, TODAY()-E149))</x:f>
      </x:c>
      <x:c r="I149" s="6" t="inlineStr">
        <x:is>
          <x:t xml:space="preserve"/>
        </x:is>
      </x:c>
      <x:c r="J149" s="6" t="inlineStr">
        <x:is>
          <x:t xml:space="preserve"/>
        </x:is>
      </x:c>
    </x:row>
    <x:row r="150">
      <x:c r="A150" s="7">
        <x:f>IF(C150="","", "ACT-"&amp;TEXT(ROW()-1,"00000"))</x:f>
      </x:c>
      <x:c r="B150" s="7" t="inlineStr">
        <x:is>
          <x:t xml:space="preserve"/>
        </x:is>
      </x:c>
      <x:c r="C150" s="6" t="inlineStr">
        <x:is>
          <x:t xml:space="preserve"/>
        </x:is>
      </x:c>
      <x:c r="D150" s="6" t="inlineStr">
        <x:is>
          <x:t xml:space="preserve"/>
        </x:is>
      </x:c>
      <x:c r="E150" s="8" t="inlineStr">
        <x:is>
          <x:t xml:space="preserve"/>
        </x:is>
      </x:c>
      <x:c r="F150" s="7" t="inlineStr">
        <x:is>
          <x:t xml:space="preserve"/>
        </x:is>
      </x:c>
      <x:c r="G150" s="8" t="inlineStr">
        <x:is>
          <x:t xml:space="preserve"/>
        </x:is>
      </x:c>
      <x:c r="H150" s="7">
        <x:f>IF(OR(E150="",F150="Complete"),"", MAX(0, TODAY()-E150))</x:f>
      </x:c>
      <x:c r="I150" s="6" t="inlineStr">
        <x:is>
          <x:t xml:space="preserve"/>
        </x:is>
      </x:c>
      <x:c r="J150" s="6" t="inlineStr">
        <x:is>
          <x:t xml:space="preserve"/>
        </x:is>
      </x:c>
    </x:row>
    <x:row r="151">
      <x:c r="A151" s="7">
        <x:f>IF(C151="","", "ACT-"&amp;TEXT(ROW()-1,"00000"))</x:f>
      </x:c>
      <x:c r="B151" s="7" t="inlineStr">
        <x:is>
          <x:t xml:space="preserve"/>
        </x:is>
      </x:c>
      <x:c r="C151" s="6" t="inlineStr">
        <x:is>
          <x:t xml:space="preserve"/>
        </x:is>
      </x:c>
      <x:c r="D151" s="6" t="inlineStr">
        <x:is>
          <x:t xml:space="preserve"/>
        </x:is>
      </x:c>
      <x:c r="E151" s="8" t="inlineStr">
        <x:is>
          <x:t xml:space="preserve"/>
        </x:is>
      </x:c>
      <x:c r="F151" s="7" t="inlineStr">
        <x:is>
          <x:t xml:space="preserve"/>
        </x:is>
      </x:c>
      <x:c r="G151" s="8" t="inlineStr">
        <x:is>
          <x:t xml:space="preserve"/>
        </x:is>
      </x:c>
      <x:c r="H151" s="7">
        <x:f>IF(OR(E151="",F151="Complete"),"", MAX(0, TODAY()-E151))</x:f>
      </x:c>
      <x:c r="I151" s="6" t="inlineStr">
        <x:is>
          <x:t xml:space="preserve"/>
        </x:is>
      </x:c>
      <x:c r="J151" s="6" t="inlineStr">
        <x:is>
          <x:t xml:space="preserve"/>
        </x:is>
      </x:c>
    </x:row>
    <x:row r="152">
      <x:c r="A152" s="7">
        <x:f>IF(C152="","", "ACT-"&amp;TEXT(ROW()-1,"00000"))</x:f>
      </x:c>
      <x:c r="B152" s="7" t="inlineStr">
        <x:is>
          <x:t xml:space="preserve"/>
        </x:is>
      </x:c>
      <x:c r="C152" s="6" t="inlineStr">
        <x:is>
          <x:t xml:space="preserve"/>
        </x:is>
      </x:c>
      <x:c r="D152" s="6" t="inlineStr">
        <x:is>
          <x:t xml:space="preserve"/>
        </x:is>
      </x:c>
      <x:c r="E152" s="8" t="inlineStr">
        <x:is>
          <x:t xml:space="preserve"/>
        </x:is>
      </x:c>
      <x:c r="F152" s="7" t="inlineStr">
        <x:is>
          <x:t xml:space="preserve"/>
        </x:is>
      </x:c>
      <x:c r="G152" s="8" t="inlineStr">
        <x:is>
          <x:t xml:space="preserve"/>
        </x:is>
      </x:c>
      <x:c r="H152" s="7">
        <x:f>IF(OR(E152="",F152="Complete"),"", MAX(0, TODAY()-E152))</x:f>
      </x:c>
      <x:c r="I152" s="6" t="inlineStr">
        <x:is>
          <x:t xml:space="preserve"/>
        </x:is>
      </x:c>
      <x:c r="J152" s="6" t="inlineStr">
        <x:is>
          <x:t xml:space="preserve"/>
        </x:is>
      </x:c>
    </x:row>
    <x:row r="153">
      <x:c r="A153" s="7">
        <x:f>IF(C153="","", "ACT-"&amp;TEXT(ROW()-1,"00000"))</x:f>
      </x:c>
      <x:c r="B153" s="7" t="inlineStr">
        <x:is>
          <x:t xml:space="preserve"/>
        </x:is>
      </x:c>
      <x:c r="C153" s="6" t="inlineStr">
        <x:is>
          <x:t xml:space="preserve"/>
        </x:is>
      </x:c>
      <x:c r="D153" s="6" t="inlineStr">
        <x:is>
          <x:t xml:space="preserve"/>
        </x:is>
      </x:c>
      <x:c r="E153" s="8" t="inlineStr">
        <x:is>
          <x:t xml:space="preserve"/>
        </x:is>
      </x:c>
      <x:c r="F153" s="7" t="inlineStr">
        <x:is>
          <x:t xml:space="preserve"/>
        </x:is>
      </x:c>
      <x:c r="G153" s="8" t="inlineStr">
        <x:is>
          <x:t xml:space="preserve"/>
        </x:is>
      </x:c>
      <x:c r="H153" s="7">
        <x:f>IF(OR(E153="",F153="Complete"),"", MAX(0, TODAY()-E153))</x:f>
      </x:c>
      <x:c r="I153" s="6" t="inlineStr">
        <x:is>
          <x:t xml:space="preserve"/>
        </x:is>
      </x:c>
      <x:c r="J153" s="6" t="inlineStr">
        <x:is>
          <x:t xml:space="preserve"/>
        </x:is>
      </x:c>
    </x:row>
    <x:row r="154">
      <x:c r="A154" s="7">
        <x:f>IF(C154="","", "ACT-"&amp;TEXT(ROW()-1,"00000"))</x:f>
      </x:c>
      <x:c r="B154" s="7" t="inlineStr">
        <x:is>
          <x:t xml:space="preserve"/>
        </x:is>
      </x:c>
      <x:c r="C154" s="6" t="inlineStr">
        <x:is>
          <x:t xml:space="preserve"/>
        </x:is>
      </x:c>
      <x:c r="D154" s="6" t="inlineStr">
        <x:is>
          <x:t xml:space="preserve"/>
        </x:is>
      </x:c>
      <x:c r="E154" s="8" t="inlineStr">
        <x:is>
          <x:t xml:space="preserve"/>
        </x:is>
      </x:c>
      <x:c r="F154" s="7" t="inlineStr">
        <x:is>
          <x:t xml:space="preserve"/>
        </x:is>
      </x:c>
      <x:c r="G154" s="8" t="inlineStr">
        <x:is>
          <x:t xml:space="preserve"/>
        </x:is>
      </x:c>
      <x:c r="H154" s="7">
        <x:f>IF(OR(E154="",F154="Complete"),"", MAX(0, TODAY()-E154))</x:f>
      </x:c>
      <x:c r="I154" s="6" t="inlineStr">
        <x:is>
          <x:t xml:space="preserve"/>
        </x:is>
      </x:c>
      <x:c r="J154" s="6" t="inlineStr">
        <x:is>
          <x:t xml:space="preserve"/>
        </x:is>
      </x:c>
    </x:row>
    <x:row r="155">
      <x:c r="A155" s="7">
        <x:f>IF(C155="","", "ACT-"&amp;TEXT(ROW()-1,"00000"))</x:f>
      </x:c>
      <x:c r="B155" s="7" t="inlineStr">
        <x:is>
          <x:t xml:space="preserve"/>
        </x:is>
      </x:c>
      <x:c r="C155" s="6" t="inlineStr">
        <x:is>
          <x:t xml:space="preserve"/>
        </x:is>
      </x:c>
      <x:c r="D155" s="6" t="inlineStr">
        <x:is>
          <x:t xml:space="preserve"/>
        </x:is>
      </x:c>
      <x:c r="E155" s="8" t="inlineStr">
        <x:is>
          <x:t xml:space="preserve"/>
        </x:is>
      </x:c>
      <x:c r="F155" s="7" t="inlineStr">
        <x:is>
          <x:t xml:space="preserve"/>
        </x:is>
      </x:c>
      <x:c r="G155" s="8" t="inlineStr">
        <x:is>
          <x:t xml:space="preserve"/>
        </x:is>
      </x:c>
      <x:c r="H155" s="7">
        <x:f>IF(OR(E155="",F155="Complete"),"", MAX(0, TODAY()-E155))</x:f>
      </x:c>
      <x:c r="I155" s="6" t="inlineStr">
        <x:is>
          <x:t xml:space="preserve"/>
        </x:is>
      </x:c>
      <x:c r="J155" s="6" t="inlineStr">
        <x:is>
          <x:t xml:space="preserve"/>
        </x:is>
      </x:c>
    </x:row>
    <x:row r="156">
      <x:c r="A156" s="7">
        <x:f>IF(C156="","", "ACT-"&amp;TEXT(ROW()-1,"00000"))</x:f>
      </x:c>
      <x:c r="B156" s="7" t="inlineStr">
        <x:is>
          <x:t xml:space="preserve"/>
        </x:is>
      </x:c>
      <x:c r="C156" s="6" t="inlineStr">
        <x:is>
          <x:t xml:space="preserve"/>
        </x:is>
      </x:c>
      <x:c r="D156" s="6" t="inlineStr">
        <x:is>
          <x:t xml:space="preserve"/>
        </x:is>
      </x:c>
      <x:c r="E156" s="8" t="inlineStr">
        <x:is>
          <x:t xml:space="preserve"/>
        </x:is>
      </x:c>
      <x:c r="F156" s="7" t="inlineStr">
        <x:is>
          <x:t xml:space="preserve"/>
        </x:is>
      </x:c>
      <x:c r="G156" s="8" t="inlineStr">
        <x:is>
          <x:t xml:space="preserve"/>
        </x:is>
      </x:c>
      <x:c r="H156" s="7">
        <x:f>IF(OR(E156="",F156="Complete"),"", MAX(0, TODAY()-E156))</x:f>
      </x:c>
      <x:c r="I156" s="6" t="inlineStr">
        <x:is>
          <x:t xml:space="preserve"/>
        </x:is>
      </x:c>
      <x:c r="J156" s="6" t="inlineStr">
        <x:is>
          <x:t xml:space="preserve"/>
        </x:is>
      </x:c>
    </x:row>
    <x:row r="157">
      <x:c r="A157" s="7">
        <x:f>IF(C157="","", "ACT-"&amp;TEXT(ROW()-1,"00000"))</x:f>
      </x:c>
      <x:c r="B157" s="7" t="inlineStr">
        <x:is>
          <x:t xml:space="preserve"/>
        </x:is>
      </x:c>
      <x:c r="C157" s="6" t="inlineStr">
        <x:is>
          <x:t xml:space="preserve"/>
        </x:is>
      </x:c>
      <x:c r="D157" s="6" t="inlineStr">
        <x:is>
          <x:t xml:space="preserve"/>
        </x:is>
      </x:c>
      <x:c r="E157" s="8" t="inlineStr">
        <x:is>
          <x:t xml:space="preserve"/>
        </x:is>
      </x:c>
      <x:c r="F157" s="7" t="inlineStr">
        <x:is>
          <x:t xml:space="preserve"/>
        </x:is>
      </x:c>
      <x:c r="G157" s="8" t="inlineStr">
        <x:is>
          <x:t xml:space="preserve"/>
        </x:is>
      </x:c>
      <x:c r="H157" s="7">
        <x:f>IF(OR(E157="",F157="Complete"),"", MAX(0, TODAY()-E157))</x:f>
      </x:c>
      <x:c r="I157" s="6" t="inlineStr">
        <x:is>
          <x:t xml:space="preserve"/>
        </x:is>
      </x:c>
      <x:c r="J157" s="6" t="inlineStr">
        <x:is>
          <x:t xml:space="preserve"/>
        </x:is>
      </x:c>
    </x:row>
    <x:row r="158">
      <x:c r="A158" s="7">
        <x:f>IF(C158="","", "ACT-"&amp;TEXT(ROW()-1,"00000"))</x:f>
      </x:c>
      <x:c r="B158" s="7" t="inlineStr">
        <x:is>
          <x:t xml:space="preserve"/>
        </x:is>
      </x:c>
      <x:c r="C158" s="6" t="inlineStr">
        <x:is>
          <x:t xml:space="preserve"/>
        </x:is>
      </x:c>
      <x:c r="D158" s="6" t="inlineStr">
        <x:is>
          <x:t xml:space="preserve"/>
        </x:is>
      </x:c>
      <x:c r="E158" s="8" t="inlineStr">
        <x:is>
          <x:t xml:space="preserve"/>
        </x:is>
      </x:c>
      <x:c r="F158" s="7" t="inlineStr">
        <x:is>
          <x:t xml:space="preserve"/>
        </x:is>
      </x:c>
      <x:c r="G158" s="8" t="inlineStr">
        <x:is>
          <x:t xml:space="preserve"/>
        </x:is>
      </x:c>
      <x:c r="H158" s="7">
        <x:f>IF(OR(E158="",F158="Complete"),"", MAX(0, TODAY()-E158))</x:f>
      </x:c>
      <x:c r="I158" s="6" t="inlineStr">
        <x:is>
          <x:t xml:space="preserve"/>
        </x:is>
      </x:c>
      <x:c r="J158" s="6" t="inlineStr">
        <x:is>
          <x:t xml:space="preserve"/>
        </x:is>
      </x:c>
    </x:row>
    <x:row r="159">
      <x:c r="A159" s="7">
        <x:f>IF(C159="","", "ACT-"&amp;TEXT(ROW()-1,"00000"))</x:f>
      </x:c>
      <x:c r="B159" s="7" t="inlineStr">
        <x:is>
          <x:t xml:space="preserve"/>
        </x:is>
      </x:c>
      <x:c r="C159" s="6" t="inlineStr">
        <x:is>
          <x:t xml:space="preserve"/>
        </x:is>
      </x:c>
      <x:c r="D159" s="6" t="inlineStr">
        <x:is>
          <x:t xml:space="preserve"/>
        </x:is>
      </x:c>
      <x:c r="E159" s="8" t="inlineStr">
        <x:is>
          <x:t xml:space="preserve"/>
        </x:is>
      </x:c>
      <x:c r="F159" s="7" t="inlineStr">
        <x:is>
          <x:t xml:space="preserve"/>
        </x:is>
      </x:c>
      <x:c r="G159" s="8" t="inlineStr">
        <x:is>
          <x:t xml:space="preserve"/>
        </x:is>
      </x:c>
      <x:c r="H159" s="7">
        <x:f>IF(OR(E159="",F159="Complete"),"", MAX(0, TODAY()-E159))</x:f>
      </x:c>
      <x:c r="I159" s="6" t="inlineStr">
        <x:is>
          <x:t xml:space="preserve"/>
        </x:is>
      </x:c>
      <x:c r="J159" s="6" t="inlineStr">
        <x:is>
          <x:t xml:space="preserve"/>
        </x:is>
      </x:c>
    </x:row>
    <x:row r="160">
      <x:c r="A160" s="7">
        <x:f>IF(C160="","", "ACT-"&amp;TEXT(ROW()-1,"00000"))</x:f>
      </x:c>
      <x:c r="B160" s="7" t="inlineStr">
        <x:is>
          <x:t xml:space="preserve"/>
        </x:is>
      </x:c>
      <x:c r="C160" s="6" t="inlineStr">
        <x:is>
          <x:t xml:space="preserve"/>
        </x:is>
      </x:c>
      <x:c r="D160" s="6" t="inlineStr">
        <x:is>
          <x:t xml:space="preserve"/>
        </x:is>
      </x:c>
      <x:c r="E160" s="8" t="inlineStr">
        <x:is>
          <x:t xml:space="preserve"/>
        </x:is>
      </x:c>
      <x:c r="F160" s="7" t="inlineStr">
        <x:is>
          <x:t xml:space="preserve"/>
        </x:is>
      </x:c>
      <x:c r="G160" s="8" t="inlineStr">
        <x:is>
          <x:t xml:space="preserve"/>
        </x:is>
      </x:c>
      <x:c r="H160" s="7">
        <x:f>IF(OR(E160="",F160="Complete"),"", MAX(0, TODAY()-E160))</x:f>
      </x:c>
      <x:c r="I160" s="6" t="inlineStr">
        <x:is>
          <x:t xml:space="preserve"/>
        </x:is>
      </x:c>
      <x:c r="J160" s="6" t="inlineStr">
        <x:is>
          <x:t xml:space="preserve"/>
        </x:is>
      </x:c>
    </x:row>
    <x:row r="161">
      <x:c r="A161" s="7">
        <x:f>IF(C161="","", "ACT-"&amp;TEXT(ROW()-1,"00000"))</x:f>
      </x:c>
      <x:c r="B161" s="7" t="inlineStr">
        <x:is>
          <x:t xml:space="preserve"/>
        </x:is>
      </x:c>
      <x:c r="C161" s="6" t="inlineStr">
        <x:is>
          <x:t xml:space="preserve"/>
        </x:is>
      </x:c>
      <x:c r="D161" s="6" t="inlineStr">
        <x:is>
          <x:t xml:space="preserve"/>
        </x:is>
      </x:c>
      <x:c r="E161" s="8" t="inlineStr">
        <x:is>
          <x:t xml:space="preserve"/>
        </x:is>
      </x:c>
      <x:c r="F161" s="7" t="inlineStr">
        <x:is>
          <x:t xml:space="preserve"/>
        </x:is>
      </x:c>
      <x:c r="G161" s="8" t="inlineStr">
        <x:is>
          <x:t xml:space="preserve"/>
        </x:is>
      </x:c>
      <x:c r="H161" s="7">
        <x:f>IF(OR(E161="",F161="Complete"),"", MAX(0, TODAY()-E161))</x:f>
      </x:c>
      <x:c r="I161" s="6" t="inlineStr">
        <x:is>
          <x:t xml:space="preserve"/>
        </x:is>
      </x:c>
      <x:c r="J161" s="6" t="inlineStr">
        <x:is>
          <x:t xml:space="preserve"/>
        </x:is>
      </x:c>
    </x:row>
    <x:row r="162">
      <x:c r="A162" s="7">
        <x:f>IF(C162="","", "ACT-"&amp;TEXT(ROW()-1,"00000"))</x:f>
      </x:c>
      <x:c r="B162" s="7" t="inlineStr">
        <x:is>
          <x:t xml:space="preserve"/>
        </x:is>
      </x:c>
      <x:c r="C162" s="6" t="inlineStr">
        <x:is>
          <x:t xml:space="preserve"/>
        </x:is>
      </x:c>
      <x:c r="D162" s="6" t="inlineStr">
        <x:is>
          <x:t xml:space="preserve"/>
        </x:is>
      </x:c>
      <x:c r="E162" s="8" t="inlineStr">
        <x:is>
          <x:t xml:space="preserve"/>
        </x:is>
      </x:c>
      <x:c r="F162" s="7" t="inlineStr">
        <x:is>
          <x:t xml:space="preserve"/>
        </x:is>
      </x:c>
      <x:c r="G162" s="8" t="inlineStr">
        <x:is>
          <x:t xml:space="preserve"/>
        </x:is>
      </x:c>
      <x:c r="H162" s="7">
        <x:f>IF(OR(E162="",F162="Complete"),"", MAX(0, TODAY()-E162))</x:f>
      </x:c>
      <x:c r="I162" s="6" t="inlineStr">
        <x:is>
          <x:t xml:space="preserve"/>
        </x:is>
      </x:c>
      <x:c r="J162" s="6" t="inlineStr">
        <x:is>
          <x:t xml:space="preserve"/>
        </x:is>
      </x:c>
    </x:row>
    <x:row r="163">
      <x:c r="A163" s="7">
        <x:f>IF(C163="","", "ACT-"&amp;TEXT(ROW()-1,"00000"))</x:f>
      </x:c>
      <x:c r="B163" s="7" t="inlineStr">
        <x:is>
          <x:t xml:space="preserve"/>
        </x:is>
      </x:c>
      <x:c r="C163" s="6" t="inlineStr">
        <x:is>
          <x:t xml:space="preserve"/>
        </x:is>
      </x:c>
      <x:c r="D163" s="6" t="inlineStr">
        <x:is>
          <x:t xml:space="preserve"/>
        </x:is>
      </x:c>
      <x:c r="E163" s="8" t="inlineStr">
        <x:is>
          <x:t xml:space="preserve"/>
        </x:is>
      </x:c>
      <x:c r="F163" s="7" t="inlineStr">
        <x:is>
          <x:t xml:space="preserve"/>
        </x:is>
      </x:c>
      <x:c r="G163" s="8" t="inlineStr">
        <x:is>
          <x:t xml:space="preserve"/>
        </x:is>
      </x:c>
      <x:c r="H163" s="7">
        <x:f>IF(OR(E163="",F163="Complete"),"", MAX(0, TODAY()-E163))</x:f>
      </x:c>
      <x:c r="I163" s="6" t="inlineStr">
        <x:is>
          <x:t xml:space="preserve"/>
        </x:is>
      </x:c>
      <x:c r="J163" s="6" t="inlineStr">
        <x:is>
          <x:t xml:space="preserve"/>
        </x:is>
      </x:c>
    </x:row>
    <x:row r="164">
      <x:c r="A164" s="7">
        <x:f>IF(C164="","", "ACT-"&amp;TEXT(ROW()-1,"00000"))</x:f>
      </x:c>
      <x:c r="B164" s="7" t="inlineStr">
        <x:is>
          <x:t xml:space="preserve"/>
        </x:is>
      </x:c>
      <x:c r="C164" s="6" t="inlineStr">
        <x:is>
          <x:t xml:space="preserve"/>
        </x:is>
      </x:c>
      <x:c r="D164" s="6" t="inlineStr">
        <x:is>
          <x:t xml:space="preserve"/>
        </x:is>
      </x:c>
      <x:c r="E164" s="8" t="inlineStr">
        <x:is>
          <x:t xml:space="preserve"/>
        </x:is>
      </x:c>
      <x:c r="F164" s="7" t="inlineStr">
        <x:is>
          <x:t xml:space="preserve"/>
        </x:is>
      </x:c>
      <x:c r="G164" s="8" t="inlineStr">
        <x:is>
          <x:t xml:space="preserve"/>
        </x:is>
      </x:c>
      <x:c r="H164" s="7">
        <x:f>IF(OR(E164="",F164="Complete"),"", MAX(0, TODAY()-E164))</x:f>
      </x:c>
      <x:c r="I164" s="6" t="inlineStr">
        <x:is>
          <x:t xml:space="preserve"/>
        </x:is>
      </x:c>
      <x:c r="J164" s="6" t="inlineStr">
        <x:is>
          <x:t xml:space="preserve"/>
        </x:is>
      </x:c>
    </x:row>
    <x:row r="165">
      <x:c r="A165" s="7">
        <x:f>IF(C165="","", "ACT-"&amp;TEXT(ROW()-1,"00000"))</x:f>
      </x:c>
      <x:c r="B165" s="7" t="inlineStr">
        <x:is>
          <x:t xml:space="preserve"/>
        </x:is>
      </x:c>
      <x:c r="C165" s="6" t="inlineStr">
        <x:is>
          <x:t xml:space="preserve"/>
        </x:is>
      </x:c>
      <x:c r="D165" s="6" t="inlineStr">
        <x:is>
          <x:t xml:space="preserve"/>
        </x:is>
      </x:c>
      <x:c r="E165" s="8" t="inlineStr">
        <x:is>
          <x:t xml:space="preserve"/>
        </x:is>
      </x:c>
      <x:c r="F165" s="7" t="inlineStr">
        <x:is>
          <x:t xml:space="preserve"/>
        </x:is>
      </x:c>
      <x:c r="G165" s="8" t="inlineStr">
        <x:is>
          <x:t xml:space="preserve"/>
        </x:is>
      </x:c>
      <x:c r="H165" s="7">
        <x:f>IF(OR(E165="",F165="Complete"),"", MAX(0, TODAY()-E165))</x:f>
      </x:c>
      <x:c r="I165" s="6" t="inlineStr">
        <x:is>
          <x:t xml:space="preserve"/>
        </x:is>
      </x:c>
      <x:c r="J165" s="6" t="inlineStr">
        <x:is>
          <x:t xml:space="preserve"/>
        </x:is>
      </x:c>
    </x:row>
    <x:row r="166">
      <x:c r="A166" s="7">
        <x:f>IF(C166="","", "ACT-"&amp;TEXT(ROW()-1,"00000"))</x:f>
      </x:c>
      <x:c r="B166" s="7" t="inlineStr">
        <x:is>
          <x:t xml:space="preserve"/>
        </x:is>
      </x:c>
      <x:c r="C166" s="6" t="inlineStr">
        <x:is>
          <x:t xml:space="preserve"/>
        </x:is>
      </x:c>
      <x:c r="D166" s="6" t="inlineStr">
        <x:is>
          <x:t xml:space="preserve"/>
        </x:is>
      </x:c>
      <x:c r="E166" s="8" t="inlineStr">
        <x:is>
          <x:t xml:space="preserve"/>
        </x:is>
      </x:c>
      <x:c r="F166" s="7" t="inlineStr">
        <x:is>
          <x:t xml:space="preserve"/>
        </x:is>
      </x:c>
      <x:c r="G166" s="8" t="inlineStr">
        <x:is>
          <x:t xml:space="preserve"/>
        </x:is>
      </x:c>
      <x:c r="H166" s="7">
        <x:f>IF(OR(E166="",F166="Complete"),"", MAX(0, TODAY()-E166))</x:f>
      </x:c>
      <x:c r="I166" s="6" t="inlineStr">
        <x:is>
          <x:t xml:space="preserve"/>
        </x:is>
      </x:c>
      <x:c r="J166" s="6" t="inlineStr">
        <x:is>
          <x:t xml:space="preserve"/>
        </x:is>
      </x:c>
    </x:row>
    <x:row r="167">
      <x:c r="A167" s="7">
        <x:f>IF(C167="","", "ACT-"&amp;TEXT(ROW()-1,"00000"))</x:f>
      </x:c>
      <x:c r="B167" s="7" t="inlineStr">
        <x:is>
          <x:t xml:space="preserve"/>
        </x:is>
      </x:c>
      <x:c r="C167" s="6" t="inlineStr">
        <x:is>
          <x:t xml:space="preserve"/>
        </x:is>
      </x:c>
      <x:c r="D167" s="6" t="inlineStr">
        <x:is>
          <x:t xml:space="preserve"/>
        </x:is>
      </x:c>
      <x:c r="E167" s="8" t="inlineStr">
        <x:is>
          <x:t xml:space="preserve"/>
        </x:is>
      </x:c>
      <x:c r="F167" s="7" t="inlineStr">
        <x:is>
          <x:t xml:space="preserve"/>
        </x:is>
      </x:c>
      <x:c r="G167" s="8" t="inlineStr">
        <x:is>
          <x:t xml:space="preserve"/>
        </x:is>
      </x:c>
      <x:c r="H167" s="7">
        <x:f>IF(OR(E167="",F167="Complete"),"", MAX(0, TODAY()-E167))</x:f>
      </x:c>
      <x:c r="I167" s="6" t="inlineStr">
        <x:is>
          <x:t xml:space="preserve"/>
        </x:is>
      </x:c>
      <x:c r="J167" s="6" t="inlineStr">
        <x:is>
          <x:t xml:space="preserve"/>
        </x:is>
      </x:c>
    </x:row>
    <x:row r="168">
      <x:c r="A168" s="7">
        <x:f>IF(C168="","", "ACT-"&amp;TEXT(ROW()-1,"00000"))</x:f>
      </x:c>
      <x:c r="B168" s="7" t="inlineStr">
        <x:is>
          <x:t xml:space="preserve"/>
        </x:is>
      </x:c>
      <x:c r="C168" s="6" t="inlineStr">
        <x:is>
          <x:t xml:space="preserve"/>
        </x:is>
      </x:c>
      <x:c r="D168" s="6" t="inlineStr">
        <x:is>
          <x:t xml:space="preserve"/>
        </x:is>
      </x:c>
      <x:c r="E168" s="8" t="inlineStr">
        <x:is>
          <x:t xml:space="preserve"/>
        </x:is>
      </x:c>
      <x:c r="F168" s="7" t="inlineStr">
        <x:is>
          <x:t xml:space="preserve"/>
        </x:is>
      </x:c>
      <x:c r="G168" s="8" t="inlineStr">
        <x:is>
          <x:t xml:space="preserve"/>
        </x:is>
      </x:c>
      <x:c r="H168" s="7">
        <x:f>IF(OR(E168="",F168="Complete"),"", MAX(0, TODAY()-E168))</x:f>
      </x:c>
      <x:c r="I168" s="6" t="inlineStr">
        <x:is>
          <x:t xml:space="preserve"/>
        </x:is>
      </x:c>
      <x:c r="J168" s="6" t="inlineStr">
        <x:is>
          <x:t xml:space="preserve"/>
        </x:is>
      </x:c>
    </x:row>
    <x:row r="169">
      <x:c r="A169" s="7">
        <x:f>IF(C169="","", "ACT-"&amp;TEXT(ROW()-1,"00000"))</x:f>
      </x:c>
      <x:c r="B169" s="7" t="inlineStr">
        <x:is>
          <x:t xml:space="preserve"/>
        </x:is>
      </x:c>
      <x:c r="C169" s="6" t="inlineStr">
        <x:is>
          <x:t xml:space="preserve"/>
        </x:is>
      </x:c>
      <x:c r="D169" s="6" t="inlineStr">
        <x:is>
          <x:t xml:space="preserve"/>
        </x:is>
      </x:c>
      <x:c r="E169" s="8" t="inlineStr">
        <x:is>
          <x:t xml:space="preserve"/>
        </x:is>
      </x:c>
      <x:c r="F169" s="7" t="inlineStr">
        <x:is>
          <x:t xml:space="preserve"/>
        </x:is>
      </x:c>
      <x:c r="G169" s="8" t="inlineStr">
        <x:is>
          <x:t xml:space="preserve"/>
        </x:is>
      </x:c>
      <x:c r="H169" s="7">
        <x:f>IF(OR(E169="",F169="Complete"),"", MAX(0, TODAY()-E169))</x:f>
      </x:c>
      <x:c r="I169" s="6" t="inlineStr">
        <x:is>
          <x:t xml:space="preserve"/>
        </x:is>
      </x:c>
      <x:c r="J169" s="6" t="inlineStr">
        <x:is>
          <x:t xml:space="preserve"/>
        </x:is>
      </x:c>
    </x:row>
    <x:row r="170">
      <x:c r="A170" s="7">
        <x:f>IF(C170="","", "ACT-"&amp;TEXT(ROW()-1,"00000"))</x:f>
      </x:c>
      <x:c r="B170" s="7" t="inlineStr">
        <x:is>
          <x:t xml:space="preserve"/>
        </x:is>
      </x:c>
      <x:c r="C170" s="6" t="inlineStr">
        <x:is>
          <x:t xml:space="preserve"/>
        </x:is>
      </x:c>
      <x:c r="D170" s="6" t="inlineStr">
        <x:is>
          <x:t xml:space="preserve"/>
        </x:is>
      </x:c>
      <x:c r="E170" s="8" t="inlineStr">
        <x:is>
          <x:t xml:space="preserve"/>
        </x:is>
      </x:c>
      <x:c r="F170" s="7" t="inlineStr">
        <x:is>
          <x:t xml:space="preserve"/>
        </x:is>
      </x:c>
      <x:c r="G170" s="8" t="inlineStr">
        <x:is>
          <x:t xml:space="preserve"/>
        </x:is>
      </x:c>
      <x:c r="H170" s="7">
        <x:f>IF(OR(E170="",F170="Complete"),"", MAX(0, TODAY()-E170))</x:f>
      </x:c>
      <x:c r="I170" s="6" t="inlineStr">
        <x:is>
          <x:t xml:space="preserve"/>
        </x:is>
      </x:c>
      <x:c r="J170" s="6" t="inlineStr">
        <x:is>
          <x:t xml:space="preserve"/>
        </x:is>
      </x:c>
    </x:row>
    <x:row r="171">
      <x:c r="A171" s="7">
        <x:f>IF(C171="","", "ACT-"&amp;TEXT(ROW()-1,"00000"))</x:f>
      </x:c>
      <x:c r="B171" s="7" t="inlineStr">
        <x:is>
          <x:t xml:space="preserve"/>
        </x:is>
      </x:c>
      <x:c r="C171" s="6" t="inlineStr">
        <x:is>
          <x:t xml:space="preserve"/>
        </x:is>
      </x:c>
      <x:c r="D171" s="6" t="inlineStr">
        <x:is>
          <x:t xml:space="preserve"/>
        </x:is>
      </x:c>
      <x:c r="E171" s="8" t="inlineStr">
        <x:is>
          <x:t xml:space="preserve"/>
        </x:is>
      </x:c>
      <x:c r="F171" s="7" t="inlineStr">
        <x:is>
          <x:t xml:space="preserve"/>
        </x:is>
      </x:c>
      <x:c r="G171" s="8" t="inlineStr">
        <x:is>
          <x:t xml:space="preserve"/>
        </x:is>
      </x:c>
      <x:c r="H171" s="7">
        <x:f>IF(OR(E171="",F171="Complete"),"", MAX(0, TODAY()-E171))</x:f>
      </x:c>
      <x:c r="I171" s="6" t="inlineStr">
        <x:is>
          <x:t xml:space="preserve"/>
        </x:is>
      </x:c>
      <x:c r="J171" s="6" t="inlineStr">
        <x:is>
          <x:t xml:space="preserve"/>
        </x:is>
      </x:c>
    </x:row>
    <x:row r="172">
      <x:c r="A172" s="7">
        <x:f>IF(C172="","", "ACT-"&amp;TEXT(ROW()-1,"00000"))</x:f>
      </x:c>
      <x:c r="B172" s="7" t="inlineStr">
        <x:is>
          <x:t xml:space="preserve"/>
        </x:is>
      </x:c>
      <x:c r="C172" s="6" t="inlineStr">
        <x:is>
          <x:t xml:space="preserve"/>
        </x:is>
      </x:c>
      <x:c r="D172" s="6" t="inlineStr">
        <x:is>
          <x:t xml:space="preserve"/>
        </x:is>
      </x:c>
      <x:c r="E172" s="8" t="inlineStr">
        <x:is>
          <x:t xml:space="preserve"/>
        </x:is>
      </x:c>
      <x:c r="F172" s="7" t="inlineStr">
        <x:is>
          <x:t xml:space="preserve"/>
        </x:is>
      </x:c>
      <x:c r="G172" s="8" t="inlineStr">
        <x:is>
          <x:t xml:space="preserve"/>
        </x:is>
      </x:c>
      <x:c r="H172" s="7">
        <x:f>IF(OR(E172="",F172="Complete"),"", MAX(0, TODAY()-E172))</x:f>
      </x:c>
      <x:c r="I172" s="6" t="inlineStr">
        <x:is>
          <x:t xml:space="preserve"/>
        </x:is>
      </x:c>
      <x:c r="J172" s="6" t="inlineStr">
        <x:is>
          <x:t xml:space="preserve"/>
        </x:is>
      </x:c>
    </x:row>
    <x:row r="173">
      <x:c r="A173" s="7">
        <x:f>IF(C173="","", "ACT-"&amp;TEXT(ROW()-1,"00000"))</x:f>
      </x:c>
      <x:c r="B173" s="7" t="inlineStr">
        <x:is>
          <x:t xml:space="preserve"/>
        </x:is>
      </x:c>
      <x:c r="C173" s="6" t="inlineStr">
        <x:is>
          <x:t xml:space="preserve"/>
        </x:is>
      </x:c>
      <x:c r="D173" s="6" t="inlineStr">
        <x:is>
          <x:t xml:space="preserve"/>
        </x:is>
      </x:c>
      <x:c r="E173" s="8" t="inlineStr">
        <x:is>
          <x:t xml:space="preserve"/>
        </x:is>
      </x:c>
      <x:c r="F173" s="7" t="inlineStr">
        <x:is>
          <x:t xml:space="preserve"/>
        </x:is>
      </x:c>
      <x:c r="G173" s="8" t="inlineStr">
        <x:is>
          <x:t xml:space="preserve"/>
        </x:is>
      </x:c>
      <x:c r="H173" s="7">
        <x:f>IF(OR(E173="",F173="Complete"),"", MAX(0, TODAY()-E173))</x:f>
      </x:c>
      <x:c r="I173" s="6" t="inlineStr">
        <x:is>
          <x:t xml:space="preserve"/>
        </x:is>
      </x:c>
      <x:c r="J173" s="6" t="inlineStr">
        <x:is>
          <x:t xml:space="preserve"/>
        </x:is>
      </x:c>
    </x:row>
    <x:row r="174">
      <x:c r="A174" s="7">
        <x:f>IF(C174="","", "ACT-"&amp;TEXT(ROW()-1,"00000"))</x:f>
      </x:c>
      <x:c r="B174" s="7" t="inlineStr">
        <x:is>
          <x:t xml:space="preserve"/>
        </x:is>
      </x:c>
      <x:c r="C174" s="6" t="inlineStr">
        <x:is>
          <x:t xml:space="preserve"/>
        </x:is>
      </x:c>
      <x:c r="D174" s="6" t="inlineStr">
        <x:is>
          <x:t xml:space="preserve"/>
        </x:is>
      </x:c>
      <x:c r="E174" s="8" t="inlineStr">
        <x:is>
          <x:t xml:space="preserve"/>
        </x:is>
      </x:c>
      <x:c r="F174" s="7" t="inlineStr">
        <x:is>
          <x:t xml:space="preserve"/>
        </x:is>
      </x:c>
      <x:c r="G174" s="8" t="inlineStr">
        <x:is>
          <x:t xml:space="preserve"/>
        </x:is>
      </x:c>
      <x:c r="H174" s="7">
        <x:f>IF(OR(E174="",F174="Complete"),"", MAX(0, TODAY()-E174))</x:f>
      </x:c>
      <x:c r="I174" s="6" t="inlineStr">
        <x:is>
          <x:t xml:space="preserve"/>
        </x:is>
      </x:c>
      <x:c r="J174" s="6" t="inlineStr">
        <x:is>
          <x:t xml:space="preserve"/>
        </x:is>
      </x:c>
    </x:row>
    <x:row r="175">
      <x:c r="A175" s="7">
        <x:f>IF(C175="","", "ACT-"&amp;TEXT(ROW()-1,"00000"))</x:f>
      </x:c>
      <x:c r="B175" s="7" t="inlineStr">
        <x:is>
          <x:t xml:space="preserve"/>
        </x:is>
      </x:c>
      <x:c r="C175" s="6" t="inlineStr">
        <x:is>
          <x:t xml:space="preserve"/>
        </x:is>
      </x:c>
      <x:c r="D175" s="6" t="inlineStr">
        <x:is>
          <x:t xml:space="preserve"/>
        </x:is>
      </x:c>
      <x:c r="E175" s="8" t="inlineStr">
        <x:is>
          <x:t xml:space="preserve"/>
        </x:is>
      </x:c>
      <x:c r="F175" s="7" t="inlineStr">
        <x:is>
          <x:t xml:space="preserve"/>
        </x:is>
      </x:c>
      <x:c r="G175" s="8" t="inlineStr">
        <x:is>
          <x:t xml:space="preserve"/>
        </x:is>
      </x:c>
      <x:c r="H175" s="7">
        <x:f>IF(OR(E175="",F175="Complete"),"", MAX(0, TODAY()-E175))</x:f>
      </x:c>
      <x:c r="I175" s="6" t="inlineStr">
        <x:is>
          <x:t xml:space="preserve"/>
        </x:is>
      </x:c>
      <x:c r="J175" s="6" t="inlineStr">
        <x:is>
          <x:t xml:space="preserve"/>
        </x:is>
      </x:c>
    </x:row>
    <x:row r="176">
      <x:c r="A176" s="7">
        <x:f>IF(C176="","", "ACT-"&amp;TEXT(ROW()-1,"00000"))</x:f>
      </x:c>
      <x:c r="B176" s="7" t="inlineStr">
        <x:is>
          <x:t xml:space="preserve"/>
        </x:is>
      </x:c>
      <x:c r="C176" s="6" t="inlineStr">
        <x:is>
          <x:t xml:space="preserve"/>
        </x:is>
      </x:c>
      <x:c r="D176" s="6" t="inlineStr">
        <x:is>
          <x:t xml:space="preserve"/>
        </x:is>
      </x:c>
      <x:c r="E176" s="8" t="inlineStr">
        <x:is>
          <x:t xml:space="preserve"/>
        </x:is>
      </x:c>
      <x:c r="F176" s="7" t="inlineStr">
        <x:is>
          <x:t xml:space="preserve"/>
        </x:is>
      </x:c>
      <x:c r="G176" s="8" t="inlineStr">
        <x:is>
          <x:t xml:space="preserve"/>
        </x:is>
      </x:c>
      <x:c r="H176" s="7">
        <x:f>IF(OR(E176="",F176="Complete"),"", MAX(0, TODAY()-E176))</x:f>
      </x:c>
      <x:c r="I176" s="6" t="inlineStr">
        <x:is>
          <x:t xml:space="preserve"/>
        </x:is>
      </x:c>
      <x:c r="J176" s="6" t="inlineStr">
        <x:is>
          <x:t xml:space="preserve"/>
        </x:is>
      </x:c>
    </x:row>
    <x:row r="177">
      <x:c r="A177" s="7">
        <x:f>IF(C177="","", "ACT-"&amp;TEXT(ROW()-1,"00000"))</x:f>
      </x:c>
      <x:c r="B177" s="7" t="inlineStr">
        <x:is>
          <x:t xml:space="preserve"/>
        </x:is>
      </x:c>
      <x:c r="C177" s="6" t="inlineStr">
        <x:is>
          <x:t xml:space="preserve"/>
        </x:is>
      </x:c>
      <x:c r="D177" s="6" t="inlineStr">
        <x:is>
          <x:t xml:space="preserve"/>
        </x:is>
      </x:c>
      <x:c r="E177" s="8" t="inlineStr">
        <x:is>
          <x:t xml:space="preserve"/>
        </x:is>
      </x:c>
      <x:c r="F177" s="7" t="inlineStr">
        <x:is>
          <x:t xml:space="preserve"/>
        </x:is>
      </x:c>
      <x:c r="G177" s="8" t="inlineStr">
        <x:is>
          <x:t xml:space="preserve"/>
        </x:is>
      </x:c>
      <x:c r="H177" s="7">
        <x:f>IF(OR(E177="",F177="Complete"),"", MAX(0, TODAY()-E177))</x:f>
      </x:c>
      <x:c r="I177" s="6" t="inlineStr">
        <x:is>
          <x:t xml:space="preserve"/>
        </x:is>
      </x:c>
      <x:c r="J177" s="6" t="inlineStr">
        <x:is>
          <x:t xml:space="preserve"/>
        </x:is>
      </x:c>
    </x:row>
    <x:row r="178">
      <x:c r="A178" s="7">
        <x:f>IF(C178="","", "ACT-"&amp;TEXT(ROW()-1,"00000"))</x:f>
      </x:c>
      <x:c r="B178" s="7" t="inlineStr">
        <x:is>
          <x:t xml:space="preserve"/>
        </x:is>
      </x:c>
      <x:c r="C178" s="6" t="inlineStr">
        <x:is>
          <x:t xml:space="preserve"/>
        </x:is>
      </x:c>
      <x:c r="D178" s="6" t="inlineStr">
        <x:is>
          <x:t xml:space="preserve"/>
        </x:is>
      </x:c>
      <x:c r="E178" s="8" t="inlineStr">
        <x:is>
          <x:t xml:space="preserve"/>
        </x:is>
      </x:c>
      <x:c r="F178" s="7" t="inlineStr">
        <x:is>
          <x:t xml:space="preserve"/>
        </x:is>
      </x:c>
      <x:c r="G178" s="8" t="inlineStr">
        <x:is>
          <x:t xml:space="preserve"/>
        </x:is>
      </x:c>
      <x:c r="H178" s="7">
        <x:f>IF(OR(E178="",F178="Complete"),"", MAX(0, TODAY()-E178))</x:f>
      </x:c>
      <x:c r="I178" s="6" t="inlineStr">
        <x:is>
          <x:t xml:space="preserve"/>
        </x:is>
      </x:c>
      <x:c r="J178" s="6" t="inlineStr">
        <x:is>
          <x:t xml:space="preserve"/>
        </x:is>
      </x:c>
    </x:row>
    <x:row r="179">
      <x:c r="A179" s="7">
        <x:f>IF(C179="","", "ACT-"&amp;TEXT(ROW()-1,"00000"))</x:f>
      </x:c>
      <x:c r="B179" s="7" t="inlineStr">
        <x:is>
          <x:t xml:space="preserve"/>
        </x:is>
      </x:c>
      <x:c r="C179" s="6" t="inlineStr">
        <x:is>
          <x:t xml:space="preserve"/>
        </x:is>
      </x:c>
      <x:c r="D179" s="6" t="inlineStr">
        <x:is>
          <x:t xml:space="preserve"/>
        </x:is>
      </x:c>
      <x:c r="E179" s="8" t="inlineStr">
        <x:is>
          <x:t xml:space="preserve"/>
        </x:is>
      </x:c>
      <x:c r="F179" s="7" t="inlineStr">
        <x:is>
          <x:t xml:space="preserve"/>
        </x:is>
      </x:c>
      <x:c r="G179" s="8" t="inlineStr">
        <x:is>
          <x:t xml:space="preserve"/>
        </x:is>
      </x:c>
      <x:c r="H179" s="7">
        <x:f>IF(OR(E179="",F179="Complete"),"", MAX(0, TODAY()-E179))</x:f>
      </x:c>
      <x:c r="I179" s="6" t="inlineStr">
        <x:is>
          <x:t xml:space="preserve"/>
        </x:is>
      </x:c>
      <x:c r="J179" s="6" t="inlineStr">
        <x:is>
          <x:t xml:space="preserve"/>
        </x:is>
      </x:c>
    </x:row>
    <x:row r="180">
      <x:c r="A180" s="7">
        <x:f>IF(C180="","", "ACT-"&amp;TEXT(ROW()-1,"00000"))</x:f>
      </x:c>
      <x:c r="B180" s="7" t="inlineStr">
        <x:is>
          <x:t xml:space="preserve"/>
        </x:is>
      </x:c>
      <x:c r="C180" s="6" t="inlineStr">
        <x:is>
          <x:t xml:space="preserve"/>
        </x:is>
      </x:c>
      <x:c r="D180" s="6" t="inlineStr">
        <x:is>
          <x:t xml:space="preserve"/>
        </x:is>
      </x:c>
      <x:c r="E180" s="8" t="inlineStr">
        <x:is>
          <x:t xml:space="preserve"/>
        </x:is>
      </x:c>
      <x:c r="F180" s="7" t="inlineStr">
        <x:is>
          <x:t xml:space="preserve"/>
        </x:is>
      </x:c>
      <x:c r="G180" s="8" t="inlineStr">
        <x:is>
          <x:t xml:space="preserve"/>
        </x:is>
      </x:c>
      <x:c r="H180" s="7">
        <x:f>IF(OR(E180="",F180="Complete"),"", MAX(0, TODAY()-E180))</x:f>
      </x:c>
      <x:c r="I180" s="6" t="inlineStr">
        <x:is>
          <x:t xml:space="preserve"/>
        </x:is>
      </x:c>
      <x:c r="J180" s="6" t="inlineStr">
        <x:is>
          <x:t xml:space="preserve"/>
        </x:is>
      </x:c>
    </x:row>
    <x:row r="181">
      <x:c r="A181" s="7">
        <x:f>IF(C181="","", "ACT-"&amp;TEXT(ROW()-1,"00000"))</x:f>
      </x:c>
      <x:c r="B181" s="7" t="inlineStr">
        <x:is>
          <x:t xml:space="preserve"/>
        </x:is>
      </x:c>
      <x:c r="C181" s="6" t="inlineStr">
        <x:is>
          <x:t xml:space="preserve"/>
        </x:is>
      </x:c>
      <x:c r="D181" s="6" t="inlineStr">
        <x:is>
          <x:t xml:space="preserve"/>
        </x:is>
      </x:c>
      <x:c r="E181" s="8" t="inlineStr">
        <x:is>
          <x:t xml:space="preserve"/>
        </x:is>
      </x:c>
      <x:c r="F181" s="7" t="inlineStr">
        <x:is>
          <x:t xml:space="preserve"/>
        </x:is>
      </x:c>
      <x:c r="G181" s="8" t="inlineStr">
        <x:is>
          <x:t xml:space="preserve"/>
        </x:is>
      </x:c>
      <x:c r="H181" s="7">
        <x:f>IF(OR(E181="",F181="Complete"),"", MAX(0, TODAY()-E181))</x:f>
      </x:c>
      <x:c r="I181" s="6" t="inlineStr">
        <x:is>
          <x:t xml:space="preserve"/>
        </x:is>
      </x:c>
      <x:c r="J181" s="6" t="inlineStr">
        <x:is>
          <x:t xml:space="preserve"/>
        </x:is>
      </x:c>
    </x:row>
    <x:row r="182">
      <x:c r="A182" s="7">
        <x:f>IF(C182="","", "ACT-"&amp;TEXT(ROW()-1,"00000"))</x:f>
      </x:c>
      <x:c r="B182" s="7" t="inlineStr">
        <x:is>
          <x:t xml:space="preserve"/>
        </x:is>
      </x:c>
      <x:c r="C182" s="6" t="inlineStr">
        <x:is>
          <x:t xml:space="preserve"/>
        </x:is>
      </x:c>
      <x:c r="D182" s="6" t="inlineStr">
        <x:is>
          <x:t xml:space="preserve"/>
        </x:is>
      </x:c>
      <x:c r="E182" s="8" t="inlineStr">
        <x:is>
          <x:t xml:space="preserve"/>
        </x:is>
      </x:c>
      <x:c r="F182" s="7" t="inlineStr">
        <x:is>
          <x:t xml:space="preserve"/>
        </x:is>
      </x:c>
      <x:c r="G182" s="8" t="inlineStr">
        <x:is>
          <x:t xml:space="preserve"/>
        </x:is>
      </x:c>
      <x:c r="H182" s="7">
        <x:f>IF(OR(E182="",F182="Complete"),"", MAX(0, TODAY()-E182))</x:f>
      </x:c>
      <x:c r="I182" s="6" t="inlineStr">
        <x:is>
          <x:t xml:space="preserve"/>
        </x:is>
      </x:c>
      <x:c r="J182" s="6" t="inlineStr">
        <x:is>
          <x:t xml:space="preserve"/>
        </x:is>
      </x:c>
    </x:row>
    <x:row r="183">
      <x:c r="A183" s="7">
        <x:f>IF(C183="","", "ACT-"&amp;TEXT(ROW()-1,"00000"))</x:f>
      </x:c>
      <x:c r="B183" s="7" t="inlineStr">
        <x:is>
          <x:t xml:space="preserve"/>
        </x:is>
      </x:c>
      <x:c r="C183" s="6" t="inlineStr">
        <x:is>
          <x:t xml:space="preserve"/>
        </x:is>
      </x:c>
      <x:c r="D183" s="6" t="inlineStr">
        <x:is>
          <x:t xml:space="preserve"/>
        </x:is>
      </x:c>
      <x:c r="E183" s="8" t="inlineStr">
        <x:is>
          <x:t xml:space="preserve"/>
        </x:is>
      </x:c>
      <x:c r="F183" s="7" t="inlineStr">
        <x:is>
          <x:t xml:space="preserve"/>
        </x:is>
      </x:c>
      <x:c r="G183" s="8" t="inlineStr">
        <x:is>
          <x:t xml:space="preserve"/>
        </x:is>
      </x:c>
      <x:c r="H183" s="7">
        <x:f>IF(OR(E183="",F183="Complete"),"", MAX(0, TODAY()-E183))</x:f>
      </x:c>
      <x:c r="I183" s="6" t="inlineStr">
        <x:is>
          <x:t xml:space="preserve"/>
        </x:is>
      </x:c>
      <x:c r="J183" s="6" t="inlineStr">
        <x:is>
          <x:t xml:space="preserve"/>
        </x:is>
      </x:c>
    </x:row>
    <x:row r="184">
      <x:c r="A184" s="7">
        <x:f>IF(C184="","", "ACT-"&amp;TEXT(ROW()-1,"00000"))</x:f>
      </x:c>
      <x:c r="B184" s="7" t="inlineStr">
        <x:is>
          <x:t xml:space="preserve"/>
        </x:is>
      </x:c>
      <x:c r="C184" s="6" t="inlineStr">
        <x:is>
          <x:t xml:space="preserve"/>
        </x:is>
      </x:c>
      <x:c r="D184" s="6" t="inlineStr">
        <x:is>
          <x:t xml:space="preserve"/>
        </x:is>
      </x:c>
      <x:c r="E184" s="8" t="inlineStr">
        <x:is>
          <x:t xml:space="preserve"/>
        </x:is>
      </x:c>
      <x:c r="F184" s="7" t="inlineStr">
        <x:is>
          <x:t xml:space="preserve"/>
        </x:is>
      </x:c>
      <x:c r="G184" s="8" t="inlineStr">
        <x:is>
          <x:t xml:space="preserve"/>
        </x:is>
      </x:c>
      <x:c r="H184" s="7">
        <x:f>IF(OR(E184="",F184="Complete"),"", MAX(0, TODAY()-E184))</x:f>
      </x:c>
      <x:c r="I184" s="6" t="inlineStr">
        <x:is>
          <x:t xml:space="preserve"/>
        </x:is>
      </x:c>
      <x:c r="J184" s="6" t="inlineStr">
        <x:is>
          <x:t xml:space="preserve"/>
        </x:is>
      </x:c>
    </x:row>
    <x:row r="185">
      <x:c r="A185" s="7">
        <x:f>IF(C185="","", "ACT-"&amp;TEXT(ROW()-1,"00000"))</x:f>
      </x:c>
      <x:c r="B185" s="7" t="inlineStr">
        <x:is>
          <x:t xml:space="preserve"/>
        </x:is>
      </x:c>
      <x:c r="C185" s="6" t="inlineStr">
        <x:is>
          <x:t xml:space="preserve"/>
        </x:is>
      </x:c>
      <x:c r="D185" s="6" t="inlineStr">
        <x:is>
          <x:t xml:space="preserve"/>
        </x:is>
      </x:c>
      <x:c r="E185" s="8" t="inlineStr">
        <x:is>
          <x:t xml:space="preserve"/>
        </x:is>
      </x:c>
      <x:c r="F185" s="7" t="inlineStr">
        <x:is>
          <x:t xml:space="preserve"/>
        </x:is>
      </x:c>
      <x:c r="G185" s="8" t="inlineStr">
        <x:is>
          <x:t xml:space="preserve"/>
        </x:is>
      </x:c>
      <x:c r="H185" s="7">
        <x:f>IF(OR(E185="",F185="Complete"),"", MAX(0, TODAY()-E185))</x:f>
      </x:c>
      <x:c r="I185" s="6" t="inlineStr">
        <x:is>
          <x:t xml:space="preserve"/>
        </x:is>
      </x:c>
      <x:c r="J185" s="6" t="inlineStr">
        <x:is>
          <x:t xml:space="preserve"/>
        </x:is>
      </x:c>
    </x:row>
    <x:row r="186">
      <x:c r="A186" s="7">
        <x:f>IF(C186="","", "ACT-"&amp;TEXT(ROW()-1,"00000"))</x:f>
      </x:c>
      <x:c r="B186" s="7" t="inlineStr">
        <x:is>
          <x:t xml:space="preserve"/>
        </x:is>
      </x:c>
      <x:c r="C186" s="6" t="inlineStr">
        <x:is>
          <x:t xml:space="preserve"/>
        </x:is>
      </x:c>
      <x:c r="D186" s="6" t="inlineStr">
        <x:is>
          <x:t xml:space="preserve"/>
        </x:is>
      </x:c>
      <x:c r="E186" s="8" t="inlineStr">
        <x:is>
          <x:t xml:space="preserve"/>
        </x:is>
      </x:c>
      <x:c r="F186" s="7" t="inlineStr">
        <x:is>
          <x:t xml:space="preserve"/>
        </x:is>
      </x:c>
      <x:c r="G186" s="8" t="inlineStr">
        <x:is>
          <x:t xml:space="preserve"/>
        </x:is>
      </x:c>
      <x:c r="H186" s="7">
        <x:f>IF(OR(E186="",F186="Complete"),"", MAX(0, TODAY()-E186))</x:f>
      </x:c>
      <x:c r="I186" s="6" t="inlineStr">
        <x:is>
          <x:t xml:space="preserve"/>
        </x:is>
      </x:c>
      <x:c r="J186" s="6" t="inlineStr">
        <x:is>
          <x:t xml:space="preserve"/>
        </x:is>
      </x:c>
    </x:row>
    <x:row r="187">
      <x:c r="A187" s="7">
        <x:f>IF(C187="","", "ACT-"&amp;TEXT(ROW()-1,"00000"))</x:f>
      </x:c>
      <x:c r="B187" s="7" t="inlineStr">
        <x:is>
          <x:t xml:space="preserve"/>
        </x:is>
      </x:c>
      <x:c r="C187" s="6" t="inlineStr">
        <x:is>
          <x:t xml:space="preserve"/>
        </x:is>
      </x:c>
      <x:c r="D187" s="6" t="inlineStr">
        <x:is>
          <x:t xml:space="preserve"/>
        </x:is>
      </x:c>
      <x:c r="E187" s="8" t="inlineStr">
        <x:is>
          <x:t xml:space="preserve"/>
        </x:is>
      </x:c>
      <x:c r="F187" s="7" t="inlineStr">
        <x:is>
          <x:t xml:space="preserve"/>
        </x:is>
      </x:c>
      <x:c r="G187" s="8" t="inlineStr">
        <x:is>
          <x:t xml:space="preserve"/>
        </x:is>
      </x:c>
      <x:c r="H187" s="7">
        <x:f>IF(OR(E187="",F187="Complete"),"", MAX(0, TODAY()-E187))</x:f>
      </x:c>
      <x:c r="I187" s="6" t="inlineStr">
        <x:is>
          <x:t xml:space="preserve"/>
        </x:is>
      </x:c>
      <x:c r="J187" s="6" t="inlineStr">
        <x:is>
          <x:t xml:space="preserve"/>
        </x:is>
      </x:c>
    </x:row>
    <x:row r="188">
      <x:c r="A188" s="7">
        <x:f>IF(C188="","", "ACT-"&amp;TEXT(ROW()-1,"00000"))</x:f>
      </x:c>
      <x:c r="B188" s="7" t="inlineStr">
        <x:is>
          <x:t xml:space="preserve"/>
        </x:is>
      </x:c>
      <x:c r="C188" s="6" t="inlineStr">
        <x:is>
          <x:t xml:space="preserve"/>
        </x:is>
      </x:c>
      <x:c r="D188" s="6" t="inlineStr">
        <x:is>
          <x:t xml:space="preserve"/>
        </x:is>
      </x:c>
      <x:c r="E188" s="8" t="inlineStr">
        <x:is>
          <x:t xml:space="preserve"/>
        </x:is>
      </x:c>
      <x:c r="F188" s="7" t="inlineStr">
        <x:is>
          <x:t xml:space="preserve"/>
        </x:is>
      </x:c>
      <x:c r="G188" s="8" t="inlineStr">
        <x:is>
          <x:t xml:space="preserve"/>
        </x:is>
      </x:c>
      <x:c r="H188" s="7">
        <x:f>IF(OR(E188="",F188="Complete"),"", MAX(0, TODAY()-E188))</x:f>
      </x:c>
      <x:c r="I188" s="6" t="inlineStr">
        <x:is>
          <x:t xml:space="preserve"/>
        </x:is>
      </x:c>
      <x:c r="J188" s="6" t="inlineStr">
        <x:is>
          <x:t xml:space="preserve"/>
        </x:is>
      </x:c>
    </x:row>
    <x:row r="189">
      <x:c r="A189" s="7">
        <x:f>IF(C189="","", "ACT-"&amp;TEXT(ROW()-1,"00000"))</x:f>
      </x:c>
      <x:c r="B189" s="7" t="inlineStr">
        <x:is>
          <x:t xml:space="preserve"/>
        </x:is>
      </x:c>
      <x:c r="C189" s="6" t="inlineStr">
        <x:is>
          <x:t xml:space="preserve"/>
        </x:is>
      </x:c>
      <x:c r="D189" s="6" t="inlineStr">
        <x:is>
          <x:t xml:space="preserve"/>
        </x:is>
      </x:c>
      <x:c r="E189" s="8" t="inlineStr">
        <x:is>
          <x:t xml:space="preserve"/>
        </x:is>
      </x:c>
      <x:c r="F189" s="7" t="inlineStr">
        <x:is>
          <x:t xml:space="preserve"/>
        </x:is>
      </x:c>
      <x:c r="G189" s="8" t="inlineStr">
        <x:is>
          <x:t xml:space="preserve"/>
        </x:is>
      </x:c>
      <x:c r="H189" s="7">
        <x:f>IF(OR(E189="",F189="Complete"),"", MAX(0, TODAY()-E189))</x:f>
      </x:c>
      <x:c r="I189" s="6" t="inlineStr">
        <x:is>
          <x:t xml:space="preserve"/>
        </x:is>
      </x:c>
      <x:c r="J189" s="6" t="inlineStr">
        <x:is>
          <x:t xml:space="preserve"/>
        </x:is>
      </x:c>
    </x:row>
    <x:row r="190">
      <x:c r="A190" s="7">
        <x:f>IF(C190="","", "ACT-"&amp;TEXT(ROW()-1,"00000"))</x:f>
      </x:c>
      <x:c r="B190" s="7" t="inlineStr">
        <x:is>
          <x:t xml:space="preserve"/>
        </x:is>
      </x:c>
      <x:c r="C190" s="6" t="inlineStr">
        <x:is>
          <x:t xml:space="preserve"/>
        </x:is>
      </x:c>
      <x:c r="D190" s="6" t="inlineStr">
        <x:is>
          <x:t xml:space="preserve"/>
        </x:is>
      </x:c>
      <x:c r="E190" s="8" t="inlineStr">
        <x:is>
          <x:t xml:space="preserve"/>
        </x:is>
      </x:c>
      <x:c r="F190" s="7" t="inlineStr">
        <x:is>
          <x:t xml:space="preserve"/>
        </x:is>
      </x:c>
      <x:c r="G190" s="8" t="inlineStr">
        <x:is>
          <x:t xml:space="preserve"/>
        </x:is>
      </x:c>
      <x:c r="H190" s="7">
        <x:f>IF(OR(E190="",F190="Complete"),"", MAX(0, TODAY()-E190))</x:f>
      </x:c>
      <x:c r="I190" s="6" t="inlineStr">
        <x:is>
          <x:t xml:space="preserve"/>
        </x:is>
      </x:c>
      <x:c r="J190" s="6" t="inlineStr">
        <x:is>
          <x:t xml:space="preserve"/>
        </x:is>
      </x:c>
    </x:row>
    <x:row r="191">
      <x:c r="A191" s="7">
        <x:f>IF(C191="","", "ACT-"&amp;TEXT(ROW()-1,"00000"))</x:f>
      </x:c>
      <x:c r="B191" s="7" t="inlineStr">
        <x:is>
          <x:t xml:space="preserve"/>
        </x:is>
      </x:c>
      <x:c r="C191" s="6" t="inlineStr">
        <x:is>
          <x:t xml:space="preserve"/>
        </x:is>
      </x:c>
      <x:c r="D191" s="6" t="inlineStr">
        <x:is>
          <x:t xml:space="preserve"/>
        </x:is>
      </x:c>
      <x:c r="E191" s="8" t="inlineStr">
        <x:is>
          <x:t xml:space="preserve"/>
        </x:is>
      </x:c>
      <x:c r="F191" s="7" t="inlineStr">
        <x:is>
          <x:t xml:space="preserve"/>
        </x:is>
      </x:c>
      <x:c r="G191" s="8" t="inlineStr">
        <x:is>
          <x:t xml:space="preserve"/>
        </x:is>
      </x:c>
      <x:c r="H191" s="7">
        <x:f>IF(OR(E191="",F191="Complete"),"", MAX(0, TODAY()-E191))</x:f>
      </x:c>
      <x:c r="I191" s="6" t="inlineStr">
        <x:is>
          <x:t xml:space="preserve"/>
        </x:is>
      </x:c>
      <x:c r="J191" s="6" t="inlineStr">
        <x:is>
          <x:t xml:space="preserve"/>
        </x:is>
      </x:c>
    </x:row>
    <x:row r="192">
      <x:c r="A192" s="7">
        <x:f>IF(C192="","", "ACT-"&amp;TEXT(ROW()-1,"00000"))</x:f>
      </x:c>
      <x:c r="B192" s="7" t="inlineStr">
        <x:is>
          <x:t xml:space="preserve"/>
        </x:is>
      </x:c>
      <x:c r="C192" s="6" t="inlineStr">
        <x:is>
          <x:t xml:space="preserve"/>
        </x:is>
      </x:c>
      <x:c r="D192" s="6" t="inlineStr">
        <x:is>
          <x:t xml:space="preserve"/>
        </x:is>
      </x:c>
      <x:c r="E192" s="8" t="inlineStr">
        <x:is>
          <x:t xml:space="preserve"/>
        </x:is>
      </x:c>
      <x:c r="F192" s="7" t="inlineStr">
        <x:is>
          <x:t xml:space="preserve"/>
        </x:is>
      </x:c>
      <x:c r="G192" s="8" t="inlineStr">
        <x:is>
          <x:t xml:space="preserve"/>
        </x:is>
      </x:c>
      <x:c r="H192" s="7">
        <x:f>IF(OR(E192="",F192="Complete"),"", MAX(0, TODAY()-E192))</x:f>
      </x:c>
      <x:c r="I192" s="6" t="inlineStr">
        <x:is>
          <x:t xml:space="preserve"/>
        </x:is>
      </x:c>
      <x:c r="J192" s="6" t="inlineStr">
        <x:is>
          <x:t xml:space="preserve"/>
        </x:is>
      </x:c>
    </x:row>
    <x:row r="193">
      <x:c r="A193" s="7">
        <x:f>IF(C193="","", "ACT-"&amp;TEXT(ROW()-1,"00000"))</x:f>
      </x:c>
      <x:c r="B193" s="7" t="inlineStr">
        <x:is>
          <x:t xml:space="preserve"/>
        </x:is>
      </x:c>
      <x:c r="C193" s="6" t="inlineStr">
        <x:is>
          <x:t xml:space="preserve"/>
        </x:is>
      </x:c>
      <x:c r="D193" s="6" t="inlineStr">
        <x:is>
          <x:t xml:space="preserve"/>
        </x:is>
      </x:c>
      <x:c r="E193" s="8" t="inlineStr">
        <x:is>
          <x:t xml:space="preserve"/>
        </x:is>
      </x:c>
      <x:c r="F193" s="7" t="inlineStr">
        <x:is>
          <x:t xml:space="preserve"/>
        </x:is>
      </x:c>
      <x:c r="G193" s="8" t="inlineStr">
        <x:is>
          <x:t xml:space="preserve"/>
        </x:is>
      </x:c>
      <x:c r="H193" s="7">
        <x:f>IF(OR(E193="",F193="Complete"),"", MAX(0, TODAY()-E193))</x:f>
      </x:c>
      <x:c r="I193" s="6" t="inlineStr">
        <x:is>
          <x:t xml:space="preserve"/>
        </x:is>
      </x:c>
      <x:c r="J193" s="6" t="inlineStr">
        <x:is>
          <x:t xml:space="preserve"/>
        </x:is>
      </x:c>
    </x:row>
    <x:row r="194">
      <x:c r="A194" s="7">
        <x:f>IF(C194="","", "ACT-"&amp;TEXT(ROW()-1,"00000"))</x:f>
      </x:c>
      <x:c r="B194" s="7" t="inlineStr">
        <x:is>
          <x:t xml:space="preserve"/>
        </x:is>
      </x:c>
      <x:c r="C194" s="6" t="inlineStr">
        <x:is>
          <x:t xml:space="preserve"/>
        </x:is>
      </x:c>
      <x:c r="D194" s="6" t="inlineStr">
        <x:is>
          <x:t xml:space="preserve"/>
        </x:is>
      </x:c>
      <x:c r="E194" s="8" t="inlineStr">
        <x:is>
          <x:t xml:space="preserve"/>
        </x:is>
      </x:c>
      <x:c r="F194" s="7" t="inlineStr">
        <x:is>
          <x:t xml:space="preserve"/>
        </x:is>
      </x:c>
      <x:c r="G194" s="8" t="inlineStr">
        <x:is>
          <x:t xml:space="preserve"/>
        </x:is>
      </x:c>
      <x:c r="H194" s="7">
        <x:f>IF(OR(E194="",F194="Complete"),"", MAX(0, TODAY()-E194))</x:f>
      </x:c>
      <x:c r="I194" s="6" t="inlineStr">
        <x:is>
          <x:t xml:space="preserve"/>
        </x:is>
      </x:c>
      <x:c r="J194" s="6" t="inlineStr">
        <x:is>
          <x:t xml:space="preserve"/>
        </x:is>
      </x:c>
    </x:row>
    <x:row r="195">
      <x:c r="A195" s="7">
        <x:f>IF(C195="","", "ACT-"&amp;TEXT(ROW()-1,"00000"))</x:f>
      </x:c>
      <x:c r="B195" s="7" t="inlineStr">
        <x:is>
          <x:t xml:space="preserve"/>
        </x:is>
      </x:c>
      <x:c r="C195" s="6" t="inlineStr">
        <x:is>
          <x:t xml:space="preserve"/>
        </x:is>
      </x:c>
      <x:c r="D195" s="6" t="inlineStr">
        <x:is>
          <x:t xml:space="preserve"/>
        </x:is>
      </x:c>
      <x:c r="E195" s="8" t="inlineStr">
        <x:is>
          <x:t xml:space="preserve"/>
        </x:is>
      </x:c>
      <x:c r="F195" s="7" t="inlineStr">
        <x:is>
          <x:t xml:space="preserve"/>
        </x:is>
      </x:c>
      <x:c r="G195" s="8" t="inlineStr">
        <x:is>
          <x:t xml:space="preserve"/>
        </x:is>
      </x:c>
      <x:c r="H195" s="7">
        <x:f>IF(OR(E195="",F195="Complete"),"", MAX(0, TODAY()-E195))</x:f>
      </x:c>
      <x:c r="I195" s="6" t="inlineStr">
        <x:is>
          <x:t xml:space="preserve"/>
        </x:is>
      </x:c>
      <x:c r="J195" s="6" t="inlineStr">
        <x:is>
          <x:t xml:space="preserve"/>
        </x:is>
      </x:c>
    </x:row>
    <x:row r="196">
      <x:c r="A196" s="7">
        <x:f>IF(C196="","", "ACT-"&amp;TEXT(ROW()-1,"00000"))</x:f>
      </x:c>
      <x:c r="B196" s="7" t="inlineStr">
        <x:is>
          <x:t xml:space="preserve"/>
        </x:is>
      </x:c>
      <x:c r="C196" s="6" t="inlineStr">
        <x:is>
          <x:t xml:space="preserve"/>
        </x:is>
      </x:c>
      <x:c r="D196" s="6" t="inlineStr">
        <x:is>
          <x:t xml:space="preserve"/>
        </x:is>
      </x:c>
      <x:c r="E196" s="8" t="inlineStr">
        <x:is>
          <x:t xml:space="preserve"/>
        </x:is>
      </x:c>
      <x:c r="F196" s="7" t="inlineStr">
        <x:is>
          <x:t xml:space="preserve"/>
        </x:is>
      </x:c>
      <x:c r="G196" s="8" t="inlineStr">
        <x:is>
          <x:t xml:space="preserve"/>
        </x:is>
      </x:c>
      <x:c r="H196" s="7">
        <x:f>IF(OR(E196="",F196="Complete"),"", MAX(0, TODAY()-E196))</x:f>
      </x:c>
      <x:c r="I196" s="6" t="inlineStr">
        <x:is>
          <x:t xml:space="preserve"/>
        </x:is>
      </x:c>
      <x:c r="J196" s="6" t="inlineStr">
        <x:is>
          <x:t xml:space="preserve"/>
        </x:is>
      </x:c>
    </x:row>
    <x:row r="197">
      <x:c r="A197" s="7">
        <x:f>IF(C197="","", "ACT-"&amp;TEXT(ROW()-1,"00000"))</x:f>
      </x:c>
      <x:c r="B197" s="7" t="inlineStr">
        <x:is>
          <x:t xml:space="preserve"/>
        </x:is>
      </x:c>
      <x:c r="C197" s="6" t="inlineStr">
        <x:is>
          <x:t xml:space="preserve"/>
        </x:is>
      </x:c>
      <x:c r="D197" s="6" t="inlineStr">
        <x:is>
          <x:t xml:space="preserve"/>
        </x:is>
      </x:c>
      <x:c r="E197" s="8" t="inlineStr">
        <x:is>
          <x:t xml:space="preserve"/>
        </x:is>
      </x:c>
      <x:c r="F197" s="7" t="inlineStr">
        <x:is>
          <x:t xml:space="preserve"/>
        </x:is>
      </x:c>
      <x:c r="G197" s="8" t="inlineStr">
        <x:is>
          <x:t xml:space="preserve"/>
        </x:is>
      </x:c>
      <x:c r="H197" s="7">
        <x:f>IF(OR(E197="",F197="Complete"),"", MAX(0, TODAY()-E197))</x:f>
      </x:c>
      <x:c r="I197" s="6" t="inlineStr">
        <x:is>
          <x:t xml:space="preserve"/>
        </x:is>
      </x:c>
      <x:c r="J197" s="6" t="inlineStr">
        <x:is>
          <x:t xml:space="preserve"/>
        </x:is>
      </x:c>
    </x:row>
    <x:row r="198">
      <x:c r="A198" s="7">
        <x:f>IF(C198="","", "ACT-"&amp;TEXT(ROW()-1,"00000"))</x:f>
      </x:c>
      <x:c r="B198" s="7" t="inlineStr">
        <x:is>
          <x:t xml:space="preserve"/>
        </x:is>
      </x:c>
      <x:c r="C198" s="6" t="inlineStr">
        <x:is>
          <x:t xml:space="preserve"/>
        </x:is>
      </x:c>
      <x:c r="D198" s="6" t="inlineStr">
        <x:is>
          <x:t xml:space="preserve"/>
        </x:is>
      </x:c>
      <x:c r="E198" s="8" t="inlineStr">
        <x:is>
          <x:t xml:space="preserve"/>
        </x:is>
      </x:c>
      <x:c r="F198" s="7" t="inlineStr">
        <x:is>
          <x:t xml:space="preserve"/>
        </x:is>
      </x:c>
      <x:c r="G198" s="8" t="inlineStr">
        <x:is>
          <x:t xml:space="preserve"/>
        </x:is>
      </x:c>
      <x:c r="H198" s="7">
        <x:f>IF(OR(E198="",F198="Complete"),"", MAX(0, TODAY()-E198))</x:f>
      </x:c>
      <x:c r="I198" s="6" t="inlineStr">
        <x:is>
          <x:t xml:space="preserve"/>
        </x:is>
      </x:c>
      <x:c r="J198" s="6" t="inlineStr">
        <x:is>
          <x:t xml:space="preserve"/>
        </x:is>
      </x:c>
    </x:row>
    <x:row r="199">
      <x:c r="A199" s="7">
        <x:f>IF(C199="","", "ACT-"&amp;TEXT(ROW()-1,"00000"))</x:f>
      </x:c>
      <x:c r="B199" s="7" t="inlineStr">
        <x:is>
          <x:t xml:space="preserve"/>
        </x:is>
      </x:c>
      <x:c r="C199" s="6" t="inlineStr">
        <x:is>
          <x:t xml:space="preserve"/>
        </x:is>
      </x:c>
      <x:c r="D199" s="6" t="inlineStr">
        <x:is>
          <x:t xml:space="preserve"/>
        </x:is>
      </x:c>
      <x:c r="E199" s="8" t="inlineStr">
        <x:is>
          <x:t xml:space="preserve"/>
        </x:is>
      </x:c>
      <x:c r="F199" s="7" t="inlineStr">
        <x:is>
          <x:t xml:space="preserve"/>
        </x:is>
      </x:c>
      <x:c r="G199" s="8" t="inlineStr">
        <x:is>
          <x:t xml:space="preserve"/>
        </x:is>
      </x:c>
      <x:c r="H199" s="7">
        <x:f>IF(OR(E199="",F199="Complete"),"", MAX(0, TODAY()-E199))</x:f>
      </x:c>
      <x:c r="I199" s="6" t="inlineStr">
        <x:is>
          <x:t xml:space="preserve"/>
        </x:is>
      </x:c>
      <x:c r="J199" s="6" t="inlineStr">
        <x:is>
          <x:t xml:space="preserve"/>
        </x:is>
      </x:c>
    </x:row>
    <x:row r="200">
      <x:c r="A200" s="7">
        <x:f>IF(C200="","", "ACT-"&amp;TEXT(ROW()-1,"00000"))</x:f>
      </x:c>
      <x:c r="B200" s="7" t="inlineStr">
        <x:is>
          <x:t xml:space="preserve"/>
        </x:is>
      </x:c>
      <x:c r="C200" s="6" t="inlineStr">
        <x:is>
          <x:t xml:space="preserve"/>
        </x:is>
      </x:c>
      <x:c r="D200" s="6" t="inlineStr">
        <x:is>
          <x:t xml:space="preserve"/>
        </x:is>
      </x:c>
      <x:c r="E200" s="8" t="inlineStr">
        <x:is>
          <x:t xml:space="preserve"/>
        </x:is>
      </x:c>
      <x:c r="F200" s="7" t="inlineStr">
        <x:is>
          <x:t xml:space="preserve"/>
        </x:is>
      </x:c>
      <x:c r="G200" s="8" t="inlineStr">
        <x:is>
          <x:t xml:space="preserve"/>
        </x:is>
      </x:c>
      <x:c r="H200" s="7">
        <x:f>IF(OR(E200="",F200="Complete"),"", MAX(0, TODAY()-E200))</x:f>
      </x:c>
      <x:c r="I200" s="6" t="inlineStr">
        <x:is>
          <x:t xml:space="preserve"/>
        </x:is>
      </x:c>
      <x:c r="J200" s="6" t="inlineStr">
        <x:is>
          <x:t xml:space="preserve"/>
        </x:is>
      </x:c>
    </x:row>
    <x:row r="201">
      <x:c r="A201" s="7">
        <x:f>IF(C201="","", "ACT-"&amp;TEXT(ROW()-1,"00000"))</x:f>
      </x:c>
      <x:c r="B201" s="7" t="inlineStr">
        <x:is>
          <x:t xml:space="preserve"/>
        </x:is>
      </x:c>
      <x:c r="C201" s="6" t="inlineStr">
        <x:is>
          <x:t xml:space="preserve"/>
        </x:is>
      </x:c>
      <x:c r="D201" s="6" t="inlineStr">
        <x:is>
          <x:t xml:space="preserve"/>
        </x:is>
      </x:c>
      <x:c r="E201" s="8" t="inlineStr">
        <x:is>
          <x:t xml:space="preserve"/>
        </x:is>
      </x:c>
      <x:c r="F201" s="7" t="inlineStr">
        <x:is>
          <x:t xml:space="preserve"/>
        </x:is>
      </x:c>
      <x:c r="G201" s="8" t="inlineStr">
        <x:is>
          <x:t xml:space="preserve"/>
        </x:is>
      </x:c>
      <x:c r="H201" s="7">
        <x:f>IF(OR(E201="",F201="Complete"),"", MAX(0, TODAY()-E201))</x:f>
      </x:c>
      <x:c r="I201" s="6" t="inlineStr">
        <x:is>
          <x:t xml:space="preserve"/>
        </x:is>
      </x:c>
      <x:c r="J201" s="6" t="inlineStr">
        <x:is>
          <x:t xml:space="preserve"/>
        </x:is>
      </x:c>
    </x:row>
    <x:row r="202">
      <x:c r="A202" s="7">
        <x:f>IF(C202="","", "ACT-"&amp;TEXT(ROW()-1,"00000"))</x:f>
      </x:c>
      <x:c r="B202" s="7" t="inlineStr">
        <x:is>
          <x:t xml:space="preserve"/>
        </x:is>
      </x:c>
      <x:c r="C202" s="6" t="inlineStr">
        <x:is>
          <x:t xml:space="preserve"/>
        </x:is>
      </x:c>
      <x:c r="D202" s="6" t="inlineStr">
        <x:is>
          <x:t xml:space="preserve"/>
        </x:is>
      </x:c>
      <x:c r="E202" s="8" t="inlineStr">
        <x:is>
          <x:t xml:space="preserve"/>
        </x:is>
      </x:c>
      <x:c r="F202" s="7" t="inlineStr">
        <x:is>
          <x:t xml:space="preserve"/>
        </x:is>
      </x:c>
      <x:c r="G202" s="8" t="inlineStr">
        <x:is>
          <x:t xml:space="preserve"/>
        </x:is>
      </x:c>
      <x:c r="H202" s="7">
        <x:f>IF(OR(E202="",F202="Complete"),"", MAX(0, TODAY()-E202))</x:f>
      </x:c>
      <x:c r="I202" s="6" t="inlineStr">
        <x:is>
          <x:t xml:space="preserve"/>
        </x:is>
      </x:c>
      <x:c r="J202" s="6" t="inlineStr">
        <x:is>
          <x:t xml:space="preserve"/>
        </x:is>
      </x:c>
    </x:row>
    <x:row r="203">
      <x:c r="A203" s="7">
        <x:f>IF(C203="","", "ACT-"&amp;TEXT(ROW()-1,"00000"))</x:f>
      </x:c>
      <x:c r="B203" s="7" t="inlineStr">
        <x:is>
          <x:t xml:space="preserve"/>
        </x:is>
      </x:c>
      <x:c r="C203" s="6" t="inlineStr">
        <x:is>
          <x:t xml:space="preserve"/>
        </x:is>
      </x:c>
      <x:c r="D203" s="6" t="inlineStr">
        <x:is>
          <x:t xml:space="preserve"/>
        </x:is>
      </x:c>
      <x:c r="E203" s="8" t="inlineStr">
        <x:is>
          <x:t xml:space="preserve"/>
        </x:is>
      </x:c>
      <x:c r="F203" s="7" t="inlineStr">
        <x:is>
          <x:t xml:space="preserve"/>
        </x:is>
      </x:c>
      <x:c r="G203" s="8" t="inlineStr">
        <x:is>
          <x:t xml:space="preserve"/>
        </x:is>
      </x:c>
      <x:c r="H203" s="7">
        <x:f>IF(OR(E203="",F203="Complete"),"", MAX(0, TODAY()-E203))</x:f>
      </x:c>
      <x:c r="I203" s="6" t="inlineStr">
        <x:is>
          <x:t xml:space="preserve"/>
        </x:is>
      </x:c>
      <x:c r="J203" s="6" t="inlineStr">
        <x:is>
          <x:t xml:space="preserve"/>
        </x:is>
      </x:c>
    </x:row>
    <x:row r="204">
      <x:c r="A204" s="7">
        <x:f>IF(C204="","", "ACT-"&amp;TEXT(ROW()-1,"00000"))</x:f>
      </x:c>
      <x:c r="B204" s="7" t="inlineStr">
        <x:is>
          <x:t xml:space="preserve"/>
        </x:is>
      </x:c>
      <x:c r="C204" s="6" t="inlineStr">
        <x:is>
          <x:t xml:space="preserve"/>
        </x:is>
      </x:c>
      <x:c r="D204" s="6" t="inlineStr">
        <x:is>
          <x:t xml:space="preserve"/>
        </x:is>
      </x:c>
      <x:c r="E204" s="8" t="inlineStr">
        <x:is>
          <x:t xml:space="preserve"/>
        </x:is>
      </x:c>
      <x:c r="F204" s="7" t="inlineStr">
        <x:is>
          <x:t xml:space="preserve"/>
        </x:is>
      </x:c>
      <x:c r="G204" s="8" t="inlineStr">
        <x:is>
          <x:t xml:space="preserve"/>
        </x:is>
      </x:c>
      <x:c r="H204" s="7">
        <x:f>IF(OR(E204="",F204="Complete"),"", MAX(0, TODAY()-E204))</x:f>
      </x:c>
      <x:c r="I204" s="6" t="inlineStr">
        <x:is>
          <x:t xml:space="preserve"/>
        </x:is>
      </x:c>
      <x:c r="J204" s="6" t="inlineStr">
        <x:is>
          <x:t xml:space="preserve"/>
        </x:is>
      </x:c>
    </x:row>
    <x:row r="205">
      <x:c r="A205" s="7">
        <x:f>IF(C205="","", "ACT-"&amp;TEXT(ROW()-1,"00000"))</x:f>
      </x:c>
      <x:c r="B205" s="7" t="inlineStr">
        <x:is>
          <x:t xml:space="preserve"/>
        </x:is>
      </x:c>
      <x:c r="C205" s="6" t="inlineStr">
        <x:is>
          <x:t xml:space="preserve"/>
        </x:is>
      </x:c>
      <x:c r="D205" s="6" t="inlineStr">
        <x:is>
          <x:t xml:space="preserve"/>
        </x:is>
      </x:c>
      <x:c r="E205" s="8" t="inlineStr">
        <x:is>
          <x:t xml:space="preserve"/>
        </x:is>
      </x:c>
      <x:c r="F205" s="7" t="inlineStr">
        <x:is>
          <x:t xml:space="preserve"/>
        </x:is>
      </x:c>
      <x:c r="G205" s="8" t="inlineStr">
        <x:is>
          <x:t xml:space="preserve"/>
        </x:is>
      </x:c>
      <x:c r="H205" s="7">
        <x:f>IF(OR(E205="",F205="Complete"),"", MAX(0, TODAY()-E205))</x:f>
      </x:c>
      <x:c r="I205" s="6" t="inlineStr">
        <x:is>
          <x:t xml:space="preserve"/>
        </x:is>
      </x:c>
      <x:c r="J205" s="6" t="inlineStr">
        <x:is>
          <x:t xml:space="preserve"/>
        </x:is>
      </x:c>
    </x:row>
    <x:row r="206">
      <x:c r="A206" s="7">
        <x:f>IF(C206="","", "ACT-"&amp;TEXT(ROW()-1,"00000"))</x:f>
      </x:c>
      <x:c r="B206" s="7" t="inlineStr">
        <x:is>
          <x:t xml:space="preserve"/>
        </x:is>
      </x:c>
      <x:c r="C206" s="6" t="inlineStr">
        <x:is>
          <x:t xml:space="preserve"/>
        </x:is>
      </x:c>
      <x:c r="D206" s="6" t="inlineStr">
        <x:is>
          <x:t xml:space="preserve"/>
        </x:is>
      </x:c>
      <x:c r="E206" s="8" t="inlineStr">
        <x:is>
          <x:t xml:space="preserve"/>
        </x:is>
      </x:c>
      <x:c r="F206" s="7" t="inlineStr">
        <x:is>
          <x:t xml:space="preserve"/>
        </x:is>
      </x:c>
      <x:c r="G206" s="8" t="inlineStr">
        <x:is>
          <x:t xml:space="preserve"/>
        </x:is>
      </x:c>
      <x:c r="H206" s="7">
        <x:f>IF(OR(E206="",F206="Complete"),"", MAX(0, TODAY()-E206))</x:f>
      </x:c>
      <x:c r="I206" s="6" t="inlineStr">
        <x:is>
          <x:t xml:space="preserve"/>
        </x:is>
      </x:c>
      <x:c r="J206" s="6" t="inlineStr">
        <x:is>
          <x:t xml:space="preserve"/>
        </x:is>
      </x:c>
    </x:row>
    <x:row r="207">
      <x:c r="A207" s="7">
        <x:f>IF(C207="","", "ACT-"&amp;TEXT(ROW()-1,"00000"))</x:f>
      </x:c>
      <x:c r="B207" s="7" t="inlineStr">
        <x:is>
          <x:t xml:space="preserve"/>
        </x:is>
      </x:c>
      <x:c r="C207" s="6" t="inlineStr">
        <x:is>
          <x:t xml:space="preserve"/>
        </x:is>
      </x:c>
      <x:c r="D207" s="6" t="inlineStr">
        <x:is>
          <x:t xml:space="preserve"/>
        </x:is>
      </x:c>
      <x:c r="E207" s="8" t="inlineStr">
        <x:is>
          <x:t xml:space="preserve"/>
        </x:is>
      </x:c>
      <x:c r="F207" s="7" t="inlineStr">
        <x:is>
          <x:t xml:space="preserve"/>
        </x:is>
      </x:c>
      <x:c r="G207" s="8" t="inlineStr">
        <x:is>
          <x:t xml:space="preserve"/>
        </x:is>
      </x:c>
      <x:c r="H207" s="7">
        <x:f>IF(OR(E207="",F207="Complete"),"", MAX(0, TODAY()-E207))</x:f>
      </x:c>
      <x:c r="I207" s="6" t="inlineStr">
        <x:is>
          <x:t xml:space="preserve"/>
        </x:is>
      </x:c>
      <x:c r="J207" s="6" t="inlineStr">
        <x:is>
          <x:t xml:space="preserve"/>
        </x:is>
      </x:c>
    </x:row>
    <x:row r="208">
      <x:c r="A208" s="7">
        <x:f>IF(C208="","", "ACT-"&amp;TEXT(ROW()-1,"00000"))</x:f>
      </x:c>
      <x:c r="B208" s="7" t="inlineStr">
        <x:is>
          <x:t xml:space="preserve"/>
        </x:is>
      </x:c>
      <x:c r="C208" s="6" t="inlineStr">
        <x:is>
          <x:t xml:space="preserve"/>
        </x:is>
      </x:c>
      <x:c r="D208" s="6" t="inlineStr">
        <x:is>
          <x:t xml:space="preserve"/>
        </x:is>
      </x:c>
      <x:c r="E208" s="8" t="inlineStr">
        <x:is>
          <x:t xml:space="preserve"/>
        </x:is>
      </x:c>
      <x:c r="F208" s="7" t="inlineStr">
        <x:is>
          <x:t xml:space="preserve"/>
        </x:is>
      </x:c>
      <x:c r="G208" s="8" t="inlineStr">
        <x:is>
          <x:t xml:space="preserve"/>
        </x:is>
      </x:c>
      <x:c r="H208" s="7">
        <x:f>IF(OR(E208="",F208="Complete"),"", MAX(0, TODAY()-E208))</x:f>
      </x:c>
      <x:c r="I208" s="6" t="inlineStr">
        <x:is>
          <x:t xml:space="preserve"/>
        </x:is>
      </x:c>
      <x:c r="J208" s="6" t="inlineStr">
        <x:is>
          <x:t xml:space="preserve"/>
        </x:is>
      </x:c>
    </x:row>
    <x:row r="209">
      <x:c r="A209" s="7">
        <x:f>IF(C209="","", "ACT-"&amp;TEXT(ROW()-1,"00000"))</x:f>
      </x:c>
      <x:c r="B209" s="7" t="inlineStr">
        <x:is>
          <x:t xml:space="preserve"/>
        </x:is>
      </x:c>
      <x:c r="C209" s="6" t="inlineStr">
        <x:is>
          <x:t xml:space="preserve"/>
        </x:is>
      </x:c>
      <x:c r="D209" s="6" t="inlineStr">
        <x:is>
          <x:t xml:space="preserve"/>
        </x:is>
      </x:c>
      <x:c r="E209" s="8" t="inlineStr">
        <x:is>
          <x:t xml:space="preserve"/>
        </x:is>
      </x:c>
      <x:c r="F209" s="7" t="inlineStr">
        <x:is>
          <x:t xml:space="preserve"/>
        </x:is>
      </x:c>
      <x:c r="G209" s="8" t="inlineStr">
        <x:is>
          <x:t xml:space="preserve"/>
        </x:is>
      </x:c>
      <x:c r="H209" s="7">
        <x:f>IF(OR(E209="",F209="Complete"),"", MAX(0, TODAY()-E209))</x:f>
      </x:c>
      <x:c r="I209" s="6" t="inlineStr">
        <x:is>
          <x:t xml:space="preserve"/>
        </x:is>
      </x:c>
      <x:c r="J209" s="6" t="inlineStr">
        <x:is>
          <x:t xml:space="preserve"/>
        </x:is>
      </x:c>
    </x:row>
    <x:row r="210">
      <x:c r="A210" s="7">
        <x:f>IF(C210="","", "ACT-"&amp;TEXT(ROW()-1,"00000"))</x:f>
      </x:c>
      <x:c r="B210" s="7" t="inlineStr">
        <x:is>
          <x:t xml:space="preserve"/>
        </x:is>
      </x:c>
      <x:c r="C210" s="6" t="inlineStr">
        <x:is>
          <x:t xml:space="preserve"/>
        </x:is>
      </x:c>
      <x:c r="D210" s="6" t="inlineStr">
        <x:is>
          <x:t xml:space="preserve"/>
        </x:is>
      </x:c>
      <x:c r="E210" s="8" t="inlineStr">
        <x:is>
          <x:t xml:space="preserve"/>
        </x:is>
      </x:c>
      <x:c r="F210" s="7" t="inlineStr">
        <x:is>
          <x:t xml:space="preserve"/>
        </x:is>
      </x:c>
      <x:c r="G210" s="8" t="inlineStr">
        <x:is>
          <x:t xml:space="preserve"/>
        </x:is>
      </x:c>
      <x:c r="H210" s="7">
        <x:f>IF(OR(E210="",F210="Complete"),"", MAX(0, TODAY()-E210))</x:f>
      </x:c>
      <x:c r="I210" s="6" t="inlineStr">
        <x:is>
          <x:t xml:space="preserve"/>
        </x:is>
      </x:c>
      <x:c r="J210" s="6" t="inlineStr">
        <x:is>
          <x:t xml:space="preserve"/>
        </x:is>
      </x:c>
    </x:row>
    <x:row r="211">
      <x:c r="A211" s="7">
        <x:f>IF(C211="","", "ACT-"&amp;TEXT(ROW()-1,"00000"))</x:f>
      </x:c>
      <x:c r="B211" s="7" t="inlineStr">
        <x:is>
          <x:t xml:space="preserve"/>
        </x:is>
      </x:c>
      <x:c r="C211" s="6" t="inlineStr">
        <x:is>
          <x:t xml:space="preserve"/>
        </x:is>
      </x:c>
      <x:c r="D211" s="6" t="inlineStr">
        <x:is>
          <x:t xml:space="preserve"/>
        </x:is>
      </x:c>
      <x:c r="E211" s="8" t="inlineStr">
        <x:is>
          <x:t xml:space="preserve"/>
        </x:is>
      </x:c>
      <x:c r="F211" s="7" t="inlineStr">
        <x:is>
          <x:t xml:space="preserve"/>
        </x:is>
      </x:c>
      <x:c r="G211" s="8" t="inlineStr">
        <x:is>
          <x:t xml:space="preserve"/>
        </x:is>
      </x:c>
      <x:c r="H211" s="7">
        <x:f>IF(OR(E211="",F211="Complete"),"", MAX(0, TODAY()-E211))</x:f>
      </x:c>
      <x:c r="I211" s="6" t="inlineStr">
        <x:is>
          <x:t xml:space="preserve"/>
        </x:is>
      </x:c>
      <x:c r="J211" s="6" t="inlineStr">
        <x:is>
          <x:t xml:space="preserve"/>
        </x:is>
      </x:c>
    </x:row>
    <x:row r="212">
      <x:c r="A212" s="7">
        <x:f>IF(C212="","", "ACT-"&amp;TEXT(ROW()-1,"00000"))</x:f>
      </x:c>
      <x:c r="B212" s="7" t="inlineStr">
        <x:is>
          <x:t xml:space="preserve"/>
        </x:is>
      </x:c>
      <x:c r="C212" s="6" t="inlineStr">
        <x:is>
          <x:t xml:space="preserve"/>
        </x:is>
      </x:c>
      <x:c r="D212" s="6" t="inlineStr">
        <x:is>
          <x:t xml:space="preserve"/>
        </x:is>
      </x:c>
      <x:c r="E212" s="8" t="inlineStr">
        <x:is>
          <x:t xml:space="preserve"/>
        </x:is>
      </x:c>
      <x:c r="F212" s="7" t="inlineStr">
        <x:is>
          <x:t xml:space="preserve"/>
        </x:is>
      </x:c>
      <x:c r="G212" s="8" t="inlineStr">
        <x:is>
          <x:t xml:space="preserve"/>
        </x:is>
      </x:c>
      <x:c r="H212" s="7">
        <x:f>IF(OR(E212="",F212="Complete"),"", MAX(0, TODAY()-E212))</x:f>
      </x:c>
      <x:c r="I212" s="6" t="inlineStr">
        <x:is>
          <x:t xml:space="preserve"/>
        </x:is>
      </x:c>
      <x:c r="J212" s="6" t="inlineStr">
        <x:is>
          <x:t xml:space="preserve"/>
        </x:is>
      </x:c>
    </x:row>
    <x:row r="213">
      <x:c r="A213" s="7">
        <x:f>IF(C213="","", "ACT-"&amp;TEXT(ROW()-1,"00000"))</x:f>
      </x:c>
      <x:c r="B213" s="7" t="inlineStr">
        <x:is>
          <x:t xml:space="preserve"/>
        </x:is>
      </x:c>
      <x:c r="C213" s="6" t="inlineStr">
        <x:is>
          <x:t xml:space="preserve"/>
        </x:is>
      </x:c>
      <x:c r="D213" s="6" t="inlineStr">
        <x:is>
          <x:t xml:space="preserve"/>
        </x:is>
      </x:c>
      <x:c r="E213" s="8" t="inlineStr">
        <x:is>
          <x:t xml:space="preserve"/>
        </x:is>
      </x:c>
      <x:c r="F213" s="7" t="inlineStr">
        <x:is>
          <x:t xml:space="preserve"/>
        </x:is>
      </x:c>
      <x:c r="G213" s="8" t="inlineStr">
        <x:is>
          <x:t xml:space="preserve"/>
        </x:is>
      </x:c>
      <x:c r="H213" s="7">
        <x:f>IF(OR(E213="",F213="Complete"),"", MAX(0, TODAY()-E213))</x:f>
      </x:c>
      <x:c r="I213" s="6" t="inlineStr">
        <x:is>
          <x:t xml:space="preserve"/>
        </x:is>
      </x:c>
      <x:c r="J213" s="6" t="inlineStr">
        <x:is>
          <x:t xml:space="preserve"/>
        </x:is>
      </x:c>
    </x:row>
    <x:row r="214">
      <x:c r="A214" s="7">
        <x:f>IF(C214="","", "ACT-"&amp;TEXT(ROW()-1,"00000"))</x:f>
      </x:c>
      <x:c r="B214" s="7" t="inlineStr">
        <x:is>
          <x:t xml:space="preserve"/>
        </x:is>
      </x:c>
      <x:c r="C214" s="6" t="inlineStr">
        <x:is>
          <x:t xml:space="preserve"/>
        </x:is>
      </x:c>
      <x:c r="D214" s="6" t="inlineStr">
        <x:is>
          <x:t xml:space="preserve"/>
        </x:is>
      </x:c>
      <x:c r="E214" s="8" t="inlineStr">
        <x:is>
          <x:t xml:space="preserve"/>
        </x:is>
      </x:c>
      <x:c r="F214" s="7" t="inlineStr">
        <x:is>
          <x:t xml:space="preserve"/>
        </x:is>
      </x:c>
      <x:c r="G214" s="8" t="inlineStr">
        <x:is>
          <x:t xml:space="preserve"/>
        </x:is>
      </x:c>
      <x:c r="H214" s="7">
        <x:f>IF(OR(E214="",F214="Complete"),"", MAX(0, TODAY()-E214))</x:f>
      </x:c>
      <x:c r="I214" s="6" t="inlineStr">
        <x:is>
          <x:t xml:space="preserve"/>
        </x:is>
      </x:c>
      <x:c r="J214" s="6" t="inlineStr">
        <x:is>
          <x:t xml:space="preserve"/>
        </x:is>
      </x:c>
    </x:row>
    <x:row r="215">
      <x:c r="A215" s="7">
        <x:f>IF(C215="","", "ACT-"&amp;TEXT(ROW()-1,"00000"))</x:f>
      </x:c>
      <x:c r="B215" s="7" t="inlineStr">
        <x:is>
          <x:t xml:space="preserve"/>
        </x:is>
      </x:c>
      <x:c r="C215" s="6" t="inlineStr">
        <x:is>
          <x:t xml:space="preserve"/>
        </x:is>
      </x:c>
      <x:c r="D215" s="6" t="inlineStr">
        <x:is>
          <x:t xml:space="preserve"/>
        </x:is>
      </x:c>
      <x:c r="E215" s="8" t="inlineStr">
        <x:is>
          <x:t xml:space="preserve"/>
        </x:is>
      </x:c>
      <x:c r="F215" s="7" t="inlineStr">
        <x:is>
          <x:t xml:space="preserve"/>
        </x:is>
      </x:c>
      <x:c r="G215" s="8" t="inlineStr">
        <x:is>
          <x:t xml:space="preserve"/>
        </x:is>
      </x:c>
      <x:c r="H215" s="7">
        <x:f>IF(OR(E215="",F215="Complete"),"", MAX(0, TODAY()-E215))</x:f>
      </x:c>
      <x:c r="I215" s="6" t="inlineStr">
        <x:is>
          <x:t xml:space="preserve"/>
        </x:is>
      </x:c>
      <x:c r="J215" s="6" t="inlineStr">
        <x:is>
          <x:t xml:space="preserve"/>
        </x:is>
      </x:c>
    </x:row>
    <x:row r="216">
      <x:c r="A216" s="7">
        <x:f>IF(C216="","", "ACT-"&amp;TEXT(ROW()-1,"00000"))</x:f>
      </x:c>
      <x:c r="B216" s="7" t="inlineStr">
        <x:is>
          <x:t xml:space="preserve"/>
        </x:is>
      </x:c>
      <x:c r="C216" s="6" t="inlineStr">
        <x:is>
          <x:t xml:space="preserve"/>
        </x:is>
      </x:c>
      <x:c r="D216" s="6" t="inlineStr">
        <x:is>
          <x:t xml:space="preserve"/>
        </x:is>
      </x:c>
      <x:c r="E216" s="8" t="inlineStr">
        <x:is>
          <x:t xml:space="preserve"/>
        </x:is>
      </x:c>
      <x:c r="F216" s="7" t="inlineStr">
        <x:is>
          <x:t xml:space="preserve"/>
        </x:is>
      </x:c>
      <x:c r="G216" s="8" t="inlineStr">
        <x:is>
          <x:t xml:space="preserve"/>
        </x:is>
      </x:c>
      <x:c r="H216" s="7">
        <x:f>IF(OR(E216="",F216="Complete"),"", MAX(0, TODAY()-E216))</x:f>
      </x:c>
      <x:c r="I216" s="6" t="inlineStr">
        <x:is>
          <x:t xml:space="preserve"/>
        </x:is>
      </x:c>
      <x:c r="J216" s="6" t="inlineStr">
        <x:is>
          <x:t xml:space="preserve"/>
        </x:is>
      </x:c>
    </x:row>
    <x:row r="217">
      <x:c r="A217" s="7">
        <x:f>IF(C217="","", "ACT-"&amp;TEXT(ROW()-1,"00000"))</x:f>
      </x:c>
      <x:c r="B217" s="7" t="inlineStr">
        <x:is>
          <x:t xml:space="preserve"/>
        </x:is>
      </x:c>
      <x:c r="C217" s="6" t="inlineStr">
        <x:is>
          <x:t xml:space="preserve"/>
        </x:is>
      </x:c>
      <x:c r="D217" s="6" t="inlineStr">
        <x:is>
          <x:t xml:space="preserve"/>
        </x:is>
      </x:c>
      <x:c r="E217" s="8" t="inlineStr">
        <x:is>
          <x:t xml:space="preserve"/>
        </x:is>
      </x:c>
      <x:c r="F217" s="7" t="inlineStr">
        <x:is>
          <x:t xml:space="preserve"/>
        </x:is>
      </x:c>
      <x:c r="G217" s="8" t="inlineStr">
        <x:is>
          <x:t xml:space="preserve"/>
        </x:is>
      </x:c>
      <x:c r="H217" s="7">
        <x:f>IF(OR(E217="",F217="Complete"),"", MAX(0, TODAY()-E217))</x:f>
      </x:c>
      <x:c r="I217" s="6" t="inlineStr">
        <x:is>
          <x:t xml:space="preserve"/>
        </x:is>
      </x:c>
      <x:c r="J217" s="6" t="inlineStr">
        <x:is>
          <x:t xml:space="preserve"/>
        </x:is>
      </x:c>
    </x:row>
    <x:row r="218">
      <x:c r="A218" s="7">
        <x:f>IF(C218="","", "ACT-"&amp;TEXT(ROW()-1,"00000"))</x:f>
      </x:c>
      <x:c r="B218" s="7" t="inlineStr">
        <x:is>
          <x:t xml:space="preserve"/>
        </x:is>
      </x:c>
      <x:c r="C218" s="6" t="inlineStr">
        <x:is>
          <x:t xml:space="preserve"/>
        </x:is>
      </x:c>
      <x:c r="D218" s="6" t="inlineStr">
        <x:is>
          <x:t xml:space="preserve"/>
        </x:is>
      </x:c>
      <x:c r="E218" s="8" t="inlineStr">
        <x:is>
          <x:t xml:space="preserve"/>
        </x:is>
      </x:c>
      <x:c r="F218" s="7" t="inlineStr">
        <x:is>
          <x:t xml:space="preserve"/>
        </x:is>
      </x:c>
      <x:c r="G218" s="8" t="inlineStr">
        <x:is>
          <x:t xml:space="preserve"/>
        </x:is>
      </x:c>
      <x:c r="H218" s="7">
        <x:f>IF(OR(E218="",F218="Complete"),"", MAX(0, TODAY()-E218))</x:f>
      </x:c>
      <x:c r="I218" s="6" t="inlineStr">
        <x:is>
          <x:t xml:space="preserve"/>
        </x:is>
      </x:c>
      <x:c r="J218" s="6" t="inlineStr">
        <x:is>
          <x:t xml:space="preserve"/>
        </x:is>
      </x:c>
    </x:row>
    <x:row r="219">
      <x:c r="A219" s="7">
        <x:f>IF(C219="","", "ACT-"&amp;TEXT(ROW()-1,"00000"))</x:f>
      </x:c>
      <x:c r="B219" s="7" t="inlineStr">
        <x:is>
          <x:t xml:space="preserve"/>
        </x:is>
      </x:c>
      <x:c r="C219" s="6" t="inlineStr">
        <x:is>
          <x:t xml:space="preserve"/>
        </x:is>
      </x:c>
      <x:c r="D219" s="6" t="inlineStr">
        <x:is>
          <x:t xml:space="preserve"/>
        </x:is>
      </x:c>
      <x:c r="E219" s="8" t="inlineStr">
        <x:is>
          <x:t xml:space="preserve"/>
        </x:is>
      </x:c>
      <x:c r="F219" s="7" t="inlineStr">
        <x:is>
          <x:t xml:space="preserve"/>
        </x:is>
      </x:c>
      <x:c r="G219" s="8" t="inlineStr">
        <x:is>
          <x:t xml:space="preserve"/>
        </x:is>
      </x:c>
      <x:c r="H219" s="7">
        <x:f>IF(OR(E219="",F219="Complete"),"", MAX(0, TODAY()-E219))</x:f>
      </x:c>
      <x:c r="I219" s="6" t="inlineStr">
        <x:is>
          <x:t xml:space="preserve"/>
        </x:is>
      </x:c>
      <x:c r="J219" s="6" t="inlineStr">
        <x:is>
          <x:t xml:space="preserve"/>
        </x:is>
      </x:c>
    </x:row>
    <x:row r="220">
      <x:c r="A220" s="7">
        <x:f>IF(C220="","", "ACT-"&amp;TEXT(ROW()-1,"00000"))</x:f>
      </x:c>
      <x:c r="B220" s="7" t="inlineStr">
        <x:is>
          <x:t xml:space="preserve"/>
        </x:is>
      </x:c>
      <x:c r="C220" s="6" t="inlineStr">
        <x:is>
          <x:t xml:space="preserve"/>
        </x:is>
      </x:c>
      <x:c r="D220" s="6" t="inlineStr">
        <x:is>
          <x:t xml:space="preserve"/>
        </x:is>
      </x:c>
      <x:c r="E220" s="8" t="inlineStr">
        <x:is>
          <x:t xml:space="preserve"/>
        </x:is>
      </x:c>
      <x:c r="F220" s="7" t="inlineStr">
        <x:is>
          <x:t xml:space="preserve"/>
        </x:is>
      </x:c>
      <x:c r="G220" s="8" t="inlineStr">
        <x:is>
          <x:t xml:space="preserve"/>
        </x:is>
      </x:c>
      <x:c r="H220" s="7">
        <x:f>IF(OR(E220="",F220="Complete"),"", MAX(0, TODAY()-E220))</x:f>
      </x:c>
      <x:c r="I220" s="6" t="inlineStr">
        <x:is>
          <x:t xml:space="preserve"/>
        </x:is>
      </x:c>
      <x:c r="J220" s="6" t="inlineStr">
        <x:is>
          <x:t xml:space="preserve"/>
        </x:is>
      </x:c>
    </x:row>
    <x:row r="221">
      <x:c r="A221" s="7">
        <x:f>IF(C221="","", "ACT-"&amp;TEXT(ROW()-1,"00000"))</x:f>
      </x:c>
      <x:c r="B221" s="7" t="inlineStr">
        <x:is>
          <x:t xml:space="preserve"/>
        </x:is>
      </x:c>
      <x:c r="C221" s="6" t="inlineStr">
        <x:is>
          <x:t xml:space="preserve"/>
        </x:is>
      </x:c>
      <x:c r="D221" s="6" t="inlineStr">
        <x:is>
          <x:t xml:space="preserve"/>
        </x:is>
      </x:c>
      <x:c r="E221" s="8" t="inlineStr">
        <x:is>
          <x:t xml:space="preserve"/>
        </x:is>
      </x:c>
      <x:c r="F221" s="7" t="inlineStr">
        <x:is>
          <x:t xml:space="preserve"/>
        </x:is>
      </x:c>
      <x:c r="G221" s="8" t="inlineStr">
        <x:is>
          <x:t xml:space="preserve"/>
        </x:is>
      </x:c>
      <x:c r="H221" s="7">
        <x:f>IF(OR(E221="",F221="Complete"),"", MAX(0, TODAY()-E221))</x:f>
      </x:c>
      <x:c r="I221" s="6" t="inlineStr">
        <x:is>
          <x:t xml:space="preserve"/>
        </x:is>
      </x:c>
      <x:c r="J221" s="6" t="inlineStr">
        <x:is>
          <x:t xml:space="preserve"/>
        </x:is>
      </x:c>
    </x:row>
    <x:row r="222">
      <x:c r="A222" s="7">
        <x:f>IF(C222="","", "ACT-"&amp;TEXT(ROW()-1,"00000"))</x:f>
      </x:c>
      <x:c r="B222" s="7" t="inlineStr">
        <x:is>
          <x:t xml:space="preserve"/>
        </x:is>
      </x:c>
      <x:c r="C222" s="6" t="inlineStr">
        <x:is>
          <x:t xml:space="preserve"/>
        </x:is>
      </x:c>
      <x:c r="D222" s="6" t="inlineStr">
        <x:is>
          <x:t xml:space="preserve"/>
        </x:is>
      </x:c>
      <x:c r="E222" s="8" t="inlineStr">
        <x:is>
          <x:t xml:space="preserve"/>
        </x:is>
      </x:c>
      <x:c r="F222" s="7" t="inlineStr">
        <x:is>
          <x:t xml:space="preserve"/>
        </x:is>
      </x:c>
      <x:c r="G222" s="8" t="inlineStr">
        <x:is>
          <x:t xml:space="preserve"/>
        </x:is>
      </x:c>
      <x:c r="H222" s="7">
        <x:f>IF(OR(E222="",F222="Complete"),"", MAX(0, TODAY()-E222))</x:f>
      </x:c>
      <x:c r="I222" s="6" t="inlineStr">
        <x:is>
          <x:t xml:space="preserve"/>
        </x:is>
      </x:c>
      <x:c r="J222" s="6" t="inlineStr">
        <x:is>
          <x:t xml:space="preserve"/>
        </x:is>
      </x:c>
    </x:row>
    <x:row r="223">
      <x:c r="A223" s="7">
        <x:f>IF(C223="","", "ACT-"&amp;TEXT(ROW()-1,"00000"))</x:f>
      </x:c>
      <x:c r="B223" s="7" t="inlineStr">
        <x:is>
          <x:t xml:space="preserve"/>
        </x:is>
      </x:c>
      <x:c r="C223" s="6" t="inlineStr">
        <x:is>
          <x:t xml:space="preserve"/>
        </x:is>
      </x:c>
      <x:c r="D223" s="6" t="inlineStr">
        <x:is>
          <x:t xml:space="preserve"/>
        </x:is>
      </x:c>
      <x:c r="E223" s="8" t="inlineStr">
        <x:is>
          <x:t xml:space="preserve"/>
        </x:is>
      </x:c>
      <x:c r="F223" s="7" t="inlineStr">
        <x:is>
          <x:t xml:space="preserve"/>
        </x:is>
      </x:c>
      <x:c r="G223" s="8" t="inlineStr">
        <x:is>
          <x:t xml:space="preserve"/>
        </x:is>
      </x:c>
      <x:c r="H223" s="7">
        <x:f>IF(OR(E223="",F223="Complete"),"", MAX(0, TODAY()-E223))</x:f>
      </x:c>
      <x:c r="I223" s="6" t="inlineStr">
        <x:is>
          <x:t xml:space="preserve"/>
        </x:is>
      </x:c>
      <x:c r="J223" s="6" t="inlineStr">
        <x:is>
          <x:t xml:space="preserve"/>
        </x:is>
      </x:c>
    </x:row>
    <x:row r="224">
      <x:c r="A224" s="7">
        <x:f>IF(C224="","", "ACT-"&amp;TEXT(ROW()-1,"00000"))</x:f>
      </x:c>
      <x:c r="B224" s="7" t="inlineStr">
        <x:is>
          <x:t xml:space="preserve"/>
        </x:is>
      </x:c>
      <x:c r="C224" s="6" t="inlineStr">
        <x:is>
          <x:t xml:space="preserve"/>
        </x:is>
      </x:c>
      <x:c r="D224" s="6" t="inlineStr">
        <x:is>
          <x:t xml:space="preserve"/>
        </x:is>
      </x:c>
      <x:c r="E224" s="8" t="inlineStr">
        <x:is>
          <x:t xml:space="preserve"/>
        </x:is>
      </x:c>
      <x:c r="F224" s="7" t="inlineStr">
        <x:is>
          <x:t xml:space="preserve"/>
        </x:is>
      </x:c>
      <x:c r="G224" s="8" t="inlineStr">
        <x:is>
          <x:t xml:space="preserve"/>
        </x:is>
      </x:c>
      <x:c r="H224" s="7">
        <x:f>IF(OR(E224="",F224="Complete"),"", MAX(0, TODAY()-E224))</x:f>
      </x:c>
      <x:c r="I224" s="6" t="inlineStr">
        <x:is>
          <x:t xml:space="preserve"/>
        </x:is>
      </x:c>
      <x:c r="J224" s="6" t="inlineStr">
        <x:is>
          <x:t xml:space="preserve"/>
        </x:is>
      </x:c>
    </x:row>
    <x:row r="225">
      <x:c r="A225" s="7">
        <x:f>IF(C225="","", "ACT-"&amp;TEXT(ROW()-1,"00000"))</x:f>
      </x:c>
      <x:c r="B225" s="7" t="inlineStr">
        <x:is>
          <x:t xml:space="preserve"/>
        </x:is>
      </x:c>
      <x:c r="C225" s="6" t="inlineStr">
        <x:is>
          <x:t xml:space="preserve"/>
        </x:is>
      </x:c>
      <x:c r="D225" s="6" t="inlineStr">
        <x:is>
          <x:t xml:space="preserve"/>
        </x:is>
      </x:c>
      <x:c r="E225" s="8" t="inlineStr">
        <x:is>
          <x:t xml:space="preserve"/>
        </x:is>
      </x:c>
      <x:c r="F225" s="7" t="inlineStr">
        <x:is>
          <x:t xml:space="preserve"/>
        </x:is>
      </x:c>
      <x:c r="G225" s="8" t="inlineStr">
        <x:is>
          <x:t xml:space="preserve"/>
        </x:is>
      </x:c>
      <x:c r="H225" s="7">
        <x:f>IF(OR(E225="",F225="Complete"),"", MAX(0, TODAY()-E225))</x:f>
      </x:c>
      <x:c r="I225" s="6" t="inlineStr">
        <x:is>
          <x:t xml:space="preserve"/>
        </x:is>
      </x:c>
      <x:c r="J225" s="6" t="inlineStr">
        <x:is>
          <x:t xml:space="preserve"/>
        </x:is>
      </x:c>
    </x:row>
    <x:row r="226">
      <x:c r="A226" s="7">
        <x:f>IF(C226="","", "ACT-"&amp;TEXT(ROW()-1,"00000"))</x:f>
      </x:c>
      <x:c r="B226" s="7" t="inlineStr">
        <x:is>
          <x:t xml:space="preserve"/>
        </x:is>
      </x:c>
      <x:c r="C226" s="6" t="inlineStr">
        <x:is>
          <x:t xml:space="preserve"/>
        </x:is>
      </x:c>
      <x:c r="D226" s="6" t="inlineStr">
        <x:is>
          <x:t xml:space="preserve"/>
        </x:is>
      </x:c>
      <x:c r="E226" s="8" t="inlineStr">
        <x:is>
          <x:t xml:space="preserve"/>
        </x:is>
      </x:c>
      <x:c r="F226" s="7" t="inlineStr">
        <x:is>
          <x:t xml:space="preserve"/>
        </x:is>
      </x:c>
      <x:c r="G226" s="8" t="inlineStr">
        <x:is>
          <x:t xml:space="preserve"/>
        </x:is>
      </x:c>
      <x:c r="H226" s="7">
        <x:f>IF(OR(E226="",F226="Complete"),"", MAX(0, TODAY()-E226))</x:f>
      </x:c>
      <x:c r="I226" s="6" t="inlineStr">
        <x:is>
          <x:t xml:space="preserve"/>
        </x:is>
      </x:c>
      <x:c r="J226" s="6" t="inlineStr">
        <x:is>
          <x:t xml:space="preserve"/>
        </x:is>
      </x:c>
    </x:row>
    <x:row r="227">
      <x:c r="A227" s="7">
        <x:f>IF(C227="","", "ACT-"&amp;TEXT(ROW()-1,"00000"))</x:f>
      </x:c>
      <x:c r="B227" s="7" t="inlineStr">
        <x:is>
          <x:t xml:space="preserve"/>
        </x:is>
      </x:c>
      <x:c r="C227" s="6" t="inlineStr">
        <x:is>
          <x:t xml:space="preserve"/>
        </x:is>
      </x:c>
      <x:c r="D227" s="6" t="inlineStr">
        <x:is>
          <x:t xml:space="preserve"/>
        </x:is>
      </x:c>
      <x:c r="E227" s="8" t="inlineStr">
        <x:is>
          <x:t xml:space="preserve"/>
        </x:is>
      </x:c>
      <x:c r="F227" s="7" t="inlineStr">
        <x:is>
          <x:t xml:space="preserve"/>
        </x:is>
      </x:c>
      <x:c r="G227" s="8" t="inlineStr">
        <x:is>
          <x:t xml:space="preserve"/>
        </x:is>
      </x:c>
      <x:c r="H227" s="7">
        <x:f>IF(OR(E227="",F227="Complete"),"", MAX(0, TODAY()-E227))</x:f>
      </x:c>
      <x:c r="I227" s="6" t="inlineStr">
        <x:is>
          <x:t xml:space="preserve"/>
        </x:is>
      </x:c>
      <x:c r="J227" s="6" t="inlineStr">
        <x:is>
          <x:t xml:space="preserve"/>
        </x:is>
      </x:c>
    </x:row>
    <x:row r="228">
      <x:c r="A228" s="7">
        <x:f>IF(C228="","", "ACT-"&amp;TEXT(ROW()-1,"00000"))</x:f>
      </x:c>
      <x:c r="B228" s="7" t="inlineStr">
        <x:is>
          <x:t xml:space="preserve"/>
        </x:is>
      </x:c>
      <x:c r="C228" s="6" t="inlineStr">
        <x:is>
          <x:t xml:space="preserve"/>
        </x:is>
      </x:c>
      <x:c r="D228" s="6" t="inlineStr">
        <x:is>
          <x:t xml:space="preserve"/>
        </x:is>
      </x:c>
      <x:c r="E228" s="8" t="inlineStr">
        <x:is>
          <x:t xml:space="preserve"/>
        </x:is>
      </x:c>
      <x:c r="F228" s="7" t="inlineStr">
        <x:is>
          <x:t xml:space="preserve"/>
        </x:is>
      </x:c>
      <x:c r="G228" s="8" t="inlineStr">
        <x:is>
          <x:t xml:space="preserve"/>
        </x:is>
      </x:c>
      <x:c r="H228" s="7">
        <x:f>IF(OR(E228="",F228="Complete"),"", MAX(0, TODAY()-E228))</x:f>
      </x:c>
      <x:c r="I228" s="6" t="inlineStr">
        <x:is>
          <x:t xml:space="preserve"/>
        </x:is>
      </x:c>
      <x:c r="J228" s="6" t="inlineStr">
        <x:is>
          <x:t xml:space="preserve"/>
        </x:is>
      </x:c>
    </x:row>
    <x:row r="229">
      <x:c r="A229" s="7">
        <x:f>IF(C229="","", "ACT-"&amp;TEXT(ROW()-1,"00000"))</x:f>
      </x:c>
      <x:c r="B229" s="7" t="inlineStr">
        <x:is>
          <x:t xml:space="preserve"/>
        </x:is>
      </x:c>
      <x:c r="C229" s="6" t="inlineStr">
        <x:is>
          <x:t xml:space="preserve"/>
        </x:is>
      </x:c>
      <x:c r="D229" s="6" t="inlineStr">
        <x:is>
          <x:t xml:space="preserve"/>
        </x:is>
      </x:c>
      <x:c r="E229" s="8" t="inlineStr">
        <x:is>
          <x:t xml:space="preserve"/>
        </x:is>
      </x:c>
      <x:c r="F229" s="7" t="inlineStr">
        <x:is>
          <x:t xml:space="preserve"/>
        </x:is>
      </x:c>
      <x:c r="G229" s="8" t="inlineStr">
        <x:is>
          <x:t xml:space="preserve"/>
        </x:is>
      </x:c>
      <x:c r="H229" s="7">
        <x:f>IF(OR(E229="",F229="Complete"),"", MAX(0, TODAY()-E229))</x:f>
      </x:c>
      <x:c r="I229" s="6" t="inlineStr">
        <x:is>
          <x:t xml:space="preserve"/>
        </x:is>
      </x:c>
      <x:c r="J229" s="6" t="inlineStr">
        <x:is>
          <x:t xml:space="preserve"/>
        </x:is>
      </x:c>
    </x:row>
    <x:row r="230">
      <x:c r="A230" s="7">
        <x:f>IF(C230="","", "ACT-"&amp;TEXT(ROW()-1,"00000"))</x:f>
      </x:c>
      <x:c r="B230" s="7" t="inlineStr">
        <x:is>
          <x:t xml:space="preserve"/>
        </x:is>
      </x:c>
      <x:c r="C230" s="6" t="inlineStr">
        <x:is>
          <x:t xml:space="preserve"/>
        </x:is>
      </x:c>
      <x:c r="D230" s="6" t="inlineStr">
        <x:is>
          <x:t xml:space="preserve"/>
        </x:is>
      </x:c>
      <x:c r="E230" s="8" t="inlineStr">
        <x:is>
          <x:t xml:space="preserve"/>
        </x:is>
      </x:c>
      <x:c r="F230" s="7" t="inlineStr">
        <x:is>
          <x:t xml:space="preserve"/>
        </x:is>
      </x:c>
      <x:c r="G230" s="8" t="inlineStr">
        <x:is>
          <x:t xml:space="preserve"/>
        </x:is>
      </x:c>
      <x:c r="H230" s="7">
        <x:f>IF(OR(E230="",F230="Complete"),"", MAX(0, TODAY()-E230))</x:f>
      </x:c>
      <x:c r="I230" s="6" t="inlineStr">
        <x:is>
          <x:t xml:space="preserve"/>
        </x:is>
      </x:c>
      <x:c r="J230" s="6" t="inlineStr">
        <x:is>
          <x:t xml:space="preserve"/>
        </x:is>
      </x:c>
    </x:row>
    <x:row r="231">
      <x:c r="A231" s="7">
        <x:f>IF(C231="","", "ACT-"&amp;TEXT(ROW()-1,"00000"))</x:f>
      </x:c>
      <x:c r="B231" s="7" t="inlineStr">
        <x:is>
          <x:t xml:space="preserve"/>
        </x:is>
      </x:c>
      <x:c r="C231" s="6" t="inlineStr">
        <x:is>
          <x:t xml:space="preserve"/>
        </x:is>
      </x:c>
      <x:c r="D231" s="6" t="inlineStr">
        <x:is>
          <x:t xml:space="preserve"/>
        </x:is>
      </x:c>
      <x:c r="E231" s="8" t="inlineStr">
        <x:is>
          <x:t xml:space="preserve"/>
        </x:is>
      </x:c>
      <x:c r="F231" s="7" t="inlineStr">
        <x:is>
          <x:t xml:space="preserve"/>
        </x:is>
      </x:c>
      <x:c r="G231" s="8" t="inlineStr">
        <x:is>
          <x:t xml:space="preserve"/>
        </x:is>
      </x:c>
      <x:c r="H231" s="7">
        <x:f>IF(OR(E231="",F231="Complete"),"", MAX(0, TODAY()-E231))</x:f>
      </x:c>
      <x:c r="I231" s="6" t="inlineStr">
        <x:is>
          <x:t xml:space="preserve"/>
        </x:is>
      </x:c>
      <x:c r="J231" s="6" t="inlineStr">
        <x:is>
          <x:t xml:space="preserve"/>
        </x:is>
      </x:c>
    </x:row>
    <x:row r="232">
      <x:c r="A232" s="7">
        <x:f>IF(C232="","", "ACT-"&amp;TEXT(ROW()-1,"00000"))</x:f>
      </x:c>
      <x:c r="B232" s="7" t="inlineStr">
        <x:is>
          <x:t xml:space="preserve"/>
        </x:is>
      </x:c>
      <x:c r="C232" s="6" t="inlineStr">
        <x:is>
          <x:t xml:space="preserve"/>
        </x:is>
      </x:c>
      <x:c r="D232" s="6" t="inlineStr">
        <x:is>
          <x:t xml:space="preserve"/>
        </x:is>
      </x:c>
      <x:c r="E232" s="8" t="inlineStr">
        <x:is>
          <x:t xml:space="preserve"/>
        </x:is>
      </x:c>
      <x:c r="F232" s="7" t="inlineStr">
        <x:is>
          <x:t xml:space="preserve"/>
        </x:is>
      </x:c>
      <x:c r="G232" s="8" t="inlineStr">
        <x:is>
          <x:t xml:space="preserve"/>
        </x:is>
      </x:c>
      <x:c r="H232" s="7">
        <x:f>IF(OR(E232="",F232="Complete"),"", MAX(0, TODAY()-E232))</x:f>
      </x:c>
      <x:c r="I232" s="6" t="inlineStr">
        <x:is>
          <x:t xml:space="preserve"/>
        </x:is>
      </x:c>
      <x:c r="J232" s="6" t="inlineStr">
        <x:is>
          <x:t xml:space="preserve"/>
        </x:is>
      </x:c>
    </x:row>
    <x:row r="233">
      <x:c r="A233" s="7">
        <x:f>IF(C233="","", "ACT-"&amp;TEXT(ROW()-1,"00000"))</x:f>
      </x:c>
      <x:c r="B233" s="7" t="inlineStr">
        <x:is>
          <x:t xml:space="preserve"/>
        </x:is>
      </x:c>
      <x:c r="C233" s="6" t="inlineStr">
        <x:is>
          <x:t xml:space="preserve"/>
        </x:is>
      </x:c>
      <x:c r="D233" s="6" t="inlineStr">
        <x:is>
          <x:t xml:space="preserve"/>
        </x:is>
      </x:c>
      <x:c r="E233" s="8" t="inlineStr">
        <x:is>
          <x:t xml:space="preserve"/>
        </x:is>
      </x:c>
      <x:c r="F233" s="7" t="inlineStr">
        <x:is>
          <x:t xml:space="preserve"/>
        </x:is>
      </x:c>
      <x:c r="G233" s="8" t="inlineStr">
        <x:is>
          <x:t xml:space="preserve"/>
        </x:is>
      </x:c>
      <x:c r="H233" s="7">
        <x:f>IF(OR(E233="",F233="Complete"),"", MAX(0, TODAY()-E233))</x:f>
      </x:c>
      <x:c r="I233" s="6" t="inlineStr">
        <x:is>
          <x:t xml:space="preserve"/>
        </x:is>
      </x:c>
      <x:c r="J233" s="6" t="inlineStr">
        <x:is>
          <x:t xml:space="preserve"/>
        </x:is>
      </x:c>
    </x:row>
    <x:row r="234">
      <x:c r="A234" s="7">
        <x:f>IF(C234="","", "ACT-"&amp;TEXT(ROW()-1,"00000"))</x:f>
      </x:c>
      <x:c r="B234" s="7" t="inlineStr">
        <x:is>
          <x:t xml:space="preserve"/>
        </x:is>
      </x:c>
      <x:c r="C234" s="6" t="inlineStr">
        <x:is>
          <x:t xml:space="preserve"/>
        </x:is>
      </x:c>
      <x:c r="D234" s="6" t="inlineStr">
        <x:is>
          <x:t xml:space="preserve"/>
        </x:is>
      </x:c>
      <x:c r="E234" s="8" t="inlineStr">
        <x:is>
          <x:t xml:space="preserve"/>
        </x:is>
      </x:c>
      <x:c r="F234" s="7" t="inlineStr">
        <x:is>
          <x:t xml:space="preserve"/>
        </x:is>
      </x:c>
      <x:c r="G234" s="8" t="inlineStr">
        <x:is>
          <x:t xml:space="preserve"/>
        </x:is>
      </x:c>
      <x:c r="H234" s="7">
        <x:f>IF(OR(E234="",F234="Complete"),"", MAX(0, TODAY()-E234))</x:f>
      </x:c>
      <x:c r="I234" s="6" t="inlineStr">
        <x:is>
          <x:t xml:space="preserve"/>
        </x:is>
      </x:c>
      <x:c r="J234" s="6" t="inlineStr">
        <x:is>
          <x:t xml:space="preserve"/>
        </x:is>
      </x:c>
    </x:row>
    <x:row r="235">
      <x:c r="A235" s="7">
        <x:f>IF(C235="","", "ACT-"&amp;TEXT(ROW()-1,"00000"))</x:f>
      </x:c>
      <x:c r="B235" s="7" t="inlineStr">
        <x:is>
          <x:t xml:space="preserve"/>
        </x:is>
      </x:c>
      <x:c r="C235" s="6" t="inlineStr">
        <x:is>
          <x:t xml:space="preserve"/>
        </x:is>
      </x:c>
      <x:c r="D235" s="6" t="inlineStr">
        <x:is>
          <x:t xml:space="preserve"/>
        </x:is>
      </x:c>
      <x:c r="E235" s="8" t="inlineStr">
        <x:is>
          <x:t xml:space="preserve"/>
        </x:is>
      </x:c>
      <x:c r="F235" s="7" t="inlineStr">
        <x:is>
          <x:t xml:space="preserve"/>
        </x:is>
      </x:c>
      <x:c r="G235" s="8" t="inlineStr">
        <x:is>
          <x:t xml:space="preserve"/>
        </x:is>
      </x:c>
      <x:c r="H235" s="7">
        <x:f>IF(OR(E235="",F235="Complete"),"", MAX(0, TODAY()-E235))</x:f>
      </x:c>
      <x:c r="I235" s="6" t="inlineStr">
        <x:is>
          <x:t xml:space="preserve"/>
        </x:is>
      </x:c>
      <x:c r="J235" s="6" t="inlineStr">
        <x:is>
          <x:t xml:space="preserve"/>
        </x:is>
      </x:c>
    </x:row>
    <x:row r="236">
      <x:c r="A236" s="7">
        <x:f>IF(C236="","", "ACT-"&amp;TEXT(ROW()-1,"00000"))</x:f>
      </x:c>
      <x:c r="B236" s="7" t="inlineStr">
        <x:is>
          <x:t xml:space="preserve"/>
        </x:is>
      </x:c>
      <x:c r="C236" s="6" t="inlineStr">
        <x:is>
          <x:t xml:space="preserve"/>
        </x:is>
      </x:c>
      <x:c r="D236" s="6" t="inlineStr">
        <x:is>
          <x:t xml:space="preserve"/>
        </x:is>
      </x:c>
      <x:c r="E236" s="8" t="inlineStr">
        <x:is>
          <x:t xml:space="preserve"/>
        </x:is>
      </x:c>
      <x:c r="F236" s="7" t="inlineStr">
        <x:is>
          <x:t xml:space="preserve"/>
        </x:is>
      </x:c>
      <x:c r="G236" s="8" t="inlineStr">
        <x:is>
          <x:t xml:space="preserve"/>
        </x:is>
      </x:c>
      <x:c r="H236" s="7">
        <x:f>IF(OR(E236="",F236="Complete"),"", MAX(0, TODAY()-E236))</x:f>
      </x:c>
      <x:c r="I236" s="6" t="inlineStr">
        <x:is>
          <x:t xml:space="preserve"/>
        </x:is>
      </x:c>
      <x:c r="J236" s="6" t="inlineStr">
        <x:is>
          <x:t xml:space="preserve"/>
        </x:is>
      </x:c>
    </x:row>
    <x:row r="237">
      <x:c r="A237" s="7">
        <x:f>IF(C237="","", "ACT-"&amp;TEXT(ROW()-1,"00000"))</x:f>
      </x:c>
      <x:c r="B237" s="7" t="inlineStr">
        <x:is>
          <x:t xml:space="preserve"/>
        </x:is>
      </x:c>
      <x:c r="C237" s="6" t="inlineStr">
        <x:is>
          <x:t xml:space="preserve"/>
        </x:is>
      </x:c>
      <x:c r="D237" s="6" t="inlineStr">
        <x:is>
          <x:t xml:space="preserve"/>
        </x:is>
      </x:c>
      <x:c r="E237" s="8" t="inlineStr">
        <x:is>
          <x:t xml:space="preserve"/>
        </x:is>
      </x:c>
      <x:c r="F237" s="7" t="inlineStr">
        <x:is>
          <x:t xml:space="preserve"/>
        </x:is>
      </x:c>
      <x:c r="G237" s="8" t="inlineStr">
        <x:is>
          <x:t xml:space="preserve"/>
        </x:is>
      </x:c>
      <x:c r="H237" s="7">
        <x:f>IF(OR(E237="",F237="Complete"),"", MAX(0, TODAY()-E237))</x:f>
      </x:c>
      <x:c r="I237" s="6" t="inlineStr">
        <x:is>
          <x:t xml:space="preserve"/>
        </x:is>
      </x:c>
      <x:c r="J237" s="6" t="inlineStr">
        <x:is>
          <x:t xml:space="preserve"/>
        </x:is>
      </x:c>
    </x:row>
    <x:row r="238">
      <x:c r="A238" s="7">
        <x:f>IF(C238="","", "ACT-"&amp;TEXT(ROW()-1,"00000"))</x:f>
      </x:c>
      <x:c r="B238" s="7" t="inlineStr">
        <x:is>
          <x:t xml:space="preserve"/>
        </x:is>
      </x:c>
      <x:c r="C238" s="6" t="inlineStr">
        <x:is>
          <x:t xml:space="preserve"/>
        </x:is>
      </x:c>
      <x:c r="D238" s="6" t="inlineStr">
        <x:is>
          <x:t xml:space="preserve"/>
        </x:is>
      </x:c>
      <x:c r="E238" s="8" t="inlineStr">
        <x:is>
          <x:t xml:space="preserve"/>
        </x:is>
      </x:c>
      <x:c r="F238" s="7" t="inlineStr">
        <x:is>
          <x:t xml:space="preserve"/>
        </x:is>
      </x:c>
      <x:c r="G238" s="8" t="inlineStr">
        <x:is>
          <x:t xml:space="preserve"/>
        </x:is>
      </x:c>
      <x:c r="H238" s="7">
        <x:f>IF(OR(E238="",F238="Complete"),"", MAX(0, TODAY()-E238))</x:f>
      </x:c>
      <x:c r="I238" s="6" t="inlineStr">
        <x:is>
          <x:t xml:space="preserve"/>
        </x:is>
      </x:c>
      <x:c r="J238" s="6" t="inlineStr">
        <x:is>
          <x:t xml:space="preserve"/>
        </x:is>
      </x:c>
    </x:row>
    <x:row r="239">
      <x:c r="A239" s="7">
        <x:f>IF(C239="","", "ACT-"&amp;TEXT(ROW()-1,"00000"))</x:f>
      </x:c>
      <x:c r="B239" s="7" t="inlineStr">
        <x:is>
          <x:t xml:space="preserve"/>
        </x:is>
      </x:c>
      <x:c r="C239" s="6" t="inlineStr">
        <x:is>
          <x:t xml:space="preserve"/>
        </x:is>
      </x:c>
      <x:c r="D239" s="6" t="inlineStr">
        <x:is>
          <x:t xml:space="preserve"/>
        </x:is>
      </x:c>
      <x:c r="E239" s="8" t="inlineStr">
        <x:is>
          <x:t xml:space="preserve"/>
        </x:is>
      </x:c>
      <x:c r="F239" s="7" t="inlineStr">
        <x:is>
          <x:t xml:space="preserve"/>
        </x:is>
      </x:c>
      <x:c r="G239" s="8" t="inlineStr">
        <x:is>
          <x:t xml:space="preserve"/>
        </x:is>
      </x:c>
      <x:c r="H239" s="7">
        <x:f>IF(OR(E239="",F239="Complete"),"", MAX(0, TODAY()-E239))</x:f>
      </x:c>
      <x:c r="I239" s="6" t="inlineStr">
        <x:is>
          <x:t xml:space="preserve"/>
        </x:is>
      </x:c>
      <x:c r="J239" s="6" t="inlineStr">
        <x:is>
          <x:t xml:space="preserve"/>
        </x:is>
      </x:c>
    </x:row>
    <x:row r="240">
      <x:c r="A240" s="7">
        <x:f>IF(C240="","", "ACT-"&amp;TEXT(ROW()-1,"00000"))</x:f>
      </x:c>
      <x:c r="B240" s="7" t="inlineStr">
        <x:is>
          <x:t xml:space="preserve"/>
        </x:is>
      </x:c>
      <x:c r="C240" s="6" t="inlineStr">
        <x:is>
          <x:t xml:space="preserve"/>
        </x:is>
      </x:c>
      <x:c r="D240" s="6" t="inlineStr">
        <x:is>
          <x:t xml:space="preserve"/>
        </x:is>
      </x:c>
      <x:c r="E240" s="8" t="inlineStr">
        <x:is>
          <x:t xml:space="preserve"/>
        </x:is>
      </x:c>
      <x:c r="F240" s="7" t="inlineStr">
        <x:is>
          <x:t xml:space="preserve"/>
        </x:is>
      </x:c>
      <x:c r="G240" s="8" t="inlineStr">
        <x:is>
          <x:t xml:space="preserve"/>
        </x:is>
      </x:c>
      <x:c r="H240" s="7">
        <x:f>IF(OR(E240="",F240="Complete"),"", MAX(0, TODAY()-E240))</x:f>
      </x:c>
      <x:c r="I240" s="6" t="inlineStr">
        <x:is>
          <x:t xml:space="preserve"/>
        </x:is>
      </x:c>
      <x:c r="J240" s="6" t="inlineStr">
        <x:is>
          <x:t xml:space="preserve"/>
        </x:is>
      </x:c>
    </x:row>
    <x:row r="241">
      <x:c r="A241" s="7">
        <x:f>IF(C241="","", "ACT-"&amp;TEXT(ROW()-1,"00000"))</x:f>
      </x:c>
      <x:c r="B241" s="7" t="inlineStr">
        <x:is>
          <x:t xml:space="preserve"/>
        </x:is>
      </x:c>
      <x:c r="C241" s="6" t="inlineStr">
        <x:is>
          <x:t xml:space="preserve"/>
        </x:is>
      </x:c>
      <x:c r="D241" s="6" t="inlineStr">
        <x:is>
          <x:t xml:space="preserve"/>
        </x:is>
      </x:c>
      <x:c r="E241" s="8" t="inlineStr">
        <x:is>
          <x:t xml:space="preserve"/>
        </x:is>
      </x:c>
      <x:c r="F241" s="7" t="inlineStr">
        <x:is>
          <x:t xml:space="preserve"/>
        </x:is>
      </x:c>
      <x:c r="G241" s="8" t="inlineStr">
        <x:is>
          <x:t xml:space="preserve"/>
        </x:is>
      </x:c>
      <x:c r="H241" s="7">
        <x:f>IF(OR(E241="",F241="Complete"),"", MAX(0, TODAY()-E241))</x:f>
      </x:c>
      <x:c r="I241" s="6" t="inlineStr">
        <x:is>
          <x:t xml:space="preserve"/>
        </x:is>
      </x:c>
      <x:c r="J241" s="6" t="inlineStr">
        <x:is>
          <x:t xml:space="preserve"/>
        </x:is>
      </x:c>
    </x:row>
    <x:row r="242">
      <x:c r="A242" s="7">
        <x:f>IF(C242="","", "ACT-"&amp;TEXT(ROW()-1,"00000"))</x:f>
      </x:c>
      <x:c r="B242" s="7" t="inlineStr">
        <x:is>
          <x:t xml:space="preserve"/>
        </x:is>
      </x:c>
      <x:c r="C242" s="6" t="inlineStr">
        <x:is>
          <x:t xml:space="preserve"/>
        </x:is>
      </x:c>
      <x:c r="D242" s="6" t="inlineStr">
        <x:is>
          <x:t xml:space="preserve"/>
        </x:is>
      </x:c>
      <x:c r="E242" s="8" t="inlineStr">
        <x:is>
          <x:t xml:space="preserve"/>
        </x:is>
      </x:c>
      <x:c r="F242" s="7" t="inlineStr">
        <x:is>
          <x:t xml:space="preserve"/>
        </x:is>
      </x:c>
      <x:c r="G242" s="8" t="inlineStr">
        <x:is>
          <x:t xml:space="preserve"/>
        </x:is>
      </x:c>
      <x:c r="H242" s="7">
        <x:f>IF(OR(E242="",F242="Complete"),"", MAX(0, TODAY()-E242))</x:f>
      </x:c>
      <x:c r="I242" s="6" t="inlineStr">
        <x:is>
          <x:t xml:space="preserve"/>
        </x:is>
      </x:c>
      <x:c r="J242" s="6" t="inlineStr">
        <x:is>
          <x:t xml:space="preserve"/>
        </x:is>
      </x:c>
    </x:row>
    <x:row r="243">
      <x:c r="A243" s="7">
        <x:f>IF(C243="","", "ACT-"&amp;TEXT(ROW()-1,"00000"))</x:f>
      </x:c>
      <x:c r="B243" s="7" t="inlineStr">
        <x:is>
          <x:t xml:space="preserve"/>
        </x:is>
      </x:c>
      <x:c r="C243" s="6" t="inlineStr">
        <x:is>
          <x:t xml:space="preserve"/>
        </x:is>
      </x:c>
      <x:c r="D243" s="6" t="inlineStr">
        <x:is>
          <x:t xml:space="preserve"/>
        </x:is>
      </x:c>
      <x:c r="E243" s="8" t="inlineStr">
        <x:is>
          <x:t xml:space="preserve"/>
        </x:is>
      </x:c>
      <x:c r="F243" s="7" t="inlineStr">
        <x:is>
          <x:t xml:space="preserve"/>
        </x:is>
      </x:c>
      <x:c r="G243" s="8" t="inlineStr">
        <x:is>
          <x:t xml:space="preserve"/>
        </x:is>
      </x:c>
      <x:c r="H243" s="7">
        <x:f>IF(OR(E243="",F243="Complete"),"", MAX(0, TODAY()-E243))</x:f>
      </x:c>
      <x:c r="I243" s="6" t="inlineStr">
        <x:is>
          <x:t xml:space="preserve"/>
        </x:is>
      </x:c>
      <x:c r="J243" s="6" t="inlineStr">
        <x:is>
          <x:t xml:space="preserve"/>
        </x:is>
      </x:c>
    </x:row>
    <x:row r="244">
      <x:c r="A244" s="7">
        <x:f>IF(C244="","", "ACT-"&amp;TEXT(ROW()-1,"00000"))</x:f>
      </x:c>
      <x:c r="B244" s="7" t="inlineStr">
        <x:is>
          <x:t xml:space="preserve"/>
        </x:is>
      </x:c>
      <x:c r="C244" s="6" t="inlineStr">
        <x:is>
          <x:t xml:space="preserve"/>
        </x:is>
      </x:c>
      <x:c r="D244" s="6" t="inlineStr">
        <x:is>
          <x:t xml:space="preserve"/>
        </x:is>
      </x:c>
      <x:c r="E244" s="8" t="inlineStr">
        <x:is>
          <x:t xml:space="preserve"/>
        </x:is>
      </x:c>
      <x:c r="F244" s="7" t="inlineStr">
        <x:is>
          <x:t xml:space="preserve"/>
        </x:is>
      </x:c>
      <x:c r="G244" s="8" t="inlineStr">
        <x:is>
          <x:t xml:space="preserve"/>
        </x:is>
      </x:c>
      <x:c r="H244" s="7">
        <x:f>IF(OR(E244="",F244="Complete"),"", MAX(0, TODAY()-E244))</x:f>
      </x:c>
      <x:c r="I244" s="6" t="inlineStr">
        <x:is>
          <x:t xml:space="preserve"/>
        </x:is>
      </x:c>
      <x:c r="J244" s="6" t="inlineStr">
        <x:is>
          <x:t xml:space="preserve"/>
        </x:is>
      </x:c>
    </x:row>
    <x:row r="245">
      <x:c r="A245" s="7">
        <x:f>IF(C245="","", "ACT-"&amp;TEXT(ROW()-1,"00000"))</x:f>
      </x:c>
      <x:c r="B245" s="7" t="inlineStr">
        <x:is>
          <x:t xml:space="preserve"/>
        </x:is>
      </x:c>
      <x:c r="C245" s="6" t="inlineStr">
        <x:is>
          <x:t xml:space="preserve"/>
        </x:is>
      </x:c>
      <x:c r="D245" s="6" t="inlineStr">
        <x:is>
          <x:t xml:space="preserve"/>
        </x:is>
      </x:c>
      <x:c r="E245" s="8" t="inlineStr">
        <x:is>
          <x:t xml:space="preserve"/>
        </x:is>
      </x:c>
      <x:c r="F245" s="7" t="inlineStr">
        <x:is>
          <x:t xml:space="preserve"/>
        </x:is>
      </x:c>
      <x:c r="G245" s="8" t="inlineStr">
        <x:is>
          <x:t xml:space="preserve"/>
        </x:is>
      </x:c>
      <x:c r="H245" s="7">
        <x:f>IF(OR(E245="",F245="Complete"),"", MAX(0, TODAY()-E245))</x:f>
      </x:c>
      <x:c r="I245" s="6" t="inlineStr">
        <x:is>
          <x:t xml:space="preserve"/>
        </x:is>
      </x:c>
      <x:c r="J245" s="6" t="inlineStr">
        <x:is>
          <x:t xml:space="preserve"/>
        </x:is>
      </x:c>
    </x:row>
    <x:row r="246">
      <x:c r="A246" s="7">
        <x:f>IF(C246="","", "ACT-"&amp;TEXT(ROW()-1,"00000"))</x:f>
      </x:c>
      <x:c r="B246" s="7" t="inlineStr">
        <x:is>
          <x:t xml:space="preserve"/>
        </x:is>
      </x:c>
      <x:c r="C246" s="6" t="inlineStr">
        <x:is>
          <x:t xml:space="preserve"/>
        </x:is>
      </x:c>
      <x:c r="D246" s="6" t="inlineStr">
        <x:is>
          <x:t xml:space="preserve"/>
        </x:is>
      </x:c>
      <x:c r="E246" s="8" t="inlineStr">
        <x:is>
          <x:t xml:space="preserve"/>
        </x:is>
      </x:c>
      <x:c r="F246" s="7" t="inlineStr">
        <x:is>
          <x:t xml:space="preserve"/>
        </x:is>
      </x:c>
      <x:c r="G246" s="8" t="inlineStr">
        <x:is>
          <x:t xml:space="preserve"/>
        </x:is>
      </x:c>
      <x:c r="H246" s="7">
        <x:f>IF(OR(E246="",F246="Complete"),"", MAX(0, TODAY()-E246))</x:f>
      </x:c>
      <x:c r="I246" s="6" t="inlineStr">
        <x:is>
          <x:t xml:space="preserve"/>
        </x:is>
      </x:c>
      <x:c r="J246" s="6" t="inlineStr">
        <x:is>
          <x:t xml:space="preserve"/>
        </x:is>
      </x:c>
    </x:row>
    <x:row r="247">
      <x:c r="A247" s="7">
        <x:f>IF(C247="","", "ACT-"&amp;TEXT(ROW()-1,"00000"))</x:f>
      </x:c>
      <x:c r="B247" s="7" t="inlineStr">
        <x:is>
          <x:t xml:space="preserve"/>
        </x:is>
      </x:c>
      <x:c r="C247" s="6" t="inlineStr">
        <x:is>
          <x:t xml:space="preserve"/>
        </x:is>
      </x:c>
      <x:c r="D247" s="6" t="inlineStr">
        <x:is>
          <x:t xml:space="preserve"/>
        </x:is>
      </x:c>
      <x:c r="E247" s="8" t="inlineStr">
        <x:is>
          <x:t xml:space="preserve"/>
        </x:is>
      </x:c>
      <x:c r="F247" s="7" t="inlineStr">
        <x:is>
          <x:t xml:space="preserve"/>
        </x:is>
      </x:c>
      <x:c r="G247" s="8" t="inlineStr">
        <x:is>
          <x:t xml:space="preserve"/>
        </x:is>
      </x:c>
      <x:c r="H247" s="7">
        <x:f>IF(OR(E247="",F247="Complete"),"", MAX(0, TODAY()-E247))</x:f>
      </x:c>
      <x:c r="I247" s="6" t="inlineStr">
        <x:is>
          <x:t xml:space="preserve"/>
        </x:is>
      </x:c>
      <x:c r="J247" s="6" t="inlineStr">
        <x:is>
          <x:t xml:space="preserve"/>
        </x:is>
      </x:c>
    </x:row>
    <x:row r="248">
      <x:c r="A248" s="7">
        <x:f>IF(C248="","", "ACT-"&amp;TEXT(ROW()-1,"00000"))</x:f>
      </x:c>
      <x:c r="B248" s="7" t="inlineStr">
        <x:is>
          <x:t xml:space="preserve"/>
        </x:is>
      </x:c>
      <x:c r="C248" s="6" t="inlineStr">
        <x:is>
          <x:t xml:space="preserve"/>
        </x:is>
      </x:c>
      <x:c r="D248" s="6" t="inlineStr">
        <x:is>
          <x:t xml:space="preserve"/>
        </x:is>
      </x:c>
      <x:c r="E248" s="8" t="inlineStr">
        <x:is>
          <x:t xml:space="preserve"/>
        </x:is>
      </x:c>
      <x:c r="F248" s="7" t="inlineStr">
        <x:is>
          <x:t xml:space="preserve"/>
        </x:is>
      </x:c>
      <x:c r="G248" s="8" t="inlineStr">
        <x:is>
          <x:t xml:space="preserve"/>
        </x:is>
      </x:c>
      <x:c r="H248" s="7">
        <x:f>IF(OR(E248="",F248="Complete"),"", MAX(0, TODAY()-E248))</x:f>
      </x:c>
      <x:c r="I248" s="6" t="inlineStr">
        <x:is>
          <x:t xml:space="preserve"/>
        </x:is>
      </x:c>
      <x:c r="J248" s="6" t="inlineStr">
        <x:is>
          <x:t xml:space="preserve"/>
        </x:is>
      </x:c>
    </x:row>
    <x:row r="249">
      <x:c r="A249" s="7">
        <x:f>IF(C249="","", "ACT-"&amp;TEXT(ROW()-1,"00000"))</x:f>
      </x:c>
      <x:c r="B249" s="7" t="inlineStr">
        <x:is>
          <x:t xml:space="preserve"/>
        </x:is>
      </x:c>
      <x:c r="C249" s="6" t="inlineStr">
        <x:is>
          <x:t xml:space="preserve"/>
        </x:is>
      </x:c>
      <x:c r="D249" s="6" t="inlineStr">
        <x:is>
          <x:t xml:space="preserve"/>
        </x:is>
      </x:c>
      <x:c r="E249" s="8" t="inlineStr">
        <x:is>
          <x:t xml:space="preserve"/>
        </x:is>
      </x:c>
      <x:c r="F249" s="7" t="inlineStr">
        <x:is>
          <x:t xml:space="preserve"/>
        </x:is>
      </x:c>
      <x:c r="G249" s="8" t="inlineStr">
        <x:is>
          <x:t xml:space="preserve"/>
        </x:is>
      </x:c>
      <x:c r="H249" s="7">
        <x:f>IF(OR(E249="",F249="Complete"),"", MAX(0, TODAY()-E249))</x:f>
      </x:c>
      <x:c r="I249" s="6" t="inlineStr">
        <x:is>
          <x:t xml:space="preserve"/>
        </x:is>
      </x:c>
      <x:c r="J249" s="6" t="inlineStr">
        <x:is>
          <x:t xml:space="preserve"/>
        </x:is>
      </x:c>
    </x:row>
    <x:row r="250">
      <x:c r="A250" s="7">
        <x:f>IF(C250="","", "ACT-"&amp;TEXT(ROW()-1,"00000"))</x:f>
      </x:c>
      <x:c r="B250" s="7" t="inlineStr">
        <x:is>
          <x:t xml:space="preserve"/>
        </x:is>
      </x:c>
      <x:c r="C250" s="6" t="inlineStr">
        <x:is>
          <x:t xml:space="preserve"/>
        </x:is>
      </x:c>
      <x:c r="D250" s="6" t="inlineStr">
        <x:is>
          <x:t xml:space="preserve"/>
        </x:is>
      </x:c>
      <x:c r="E250" s="8" t="inlineStr">
        <x:is>
          <x:t xml:space="preserve"/>
        </x:is>
      </x:c>
      <x:c r="F250" s="7" t="inlineStr">
        <x:is>
          <x:t xml:space="preserve"/>
        </x:is>
      </x:c>
      <x:c r="G250" s="8" t="inlineStr">
        <x:is>
          <x:t xml:space="preserve"/>
        </x:is>
      </x:c>
      <x:c r="H250" s="7">
        <x:f>IF(OR(E250="",F250="Complete"),"", MAX(0, TODAY()-E250))</x:f>
      </x:c>
      <x:c r="I250" s="6" t="inlineStr">
        <x:is>
          <x:t xml:space="preserve"/>
        </x:is>
      </x:c>
      <x:c r="J250" s="6" t="inlineStr">
        <x:is>
          <x:t xml:space="preserve"/>
        </x:is>
      </x:c>
    </x:row>
    <x:row r="251">
      <x:c r="A251" s="7">
        <x:f>IF(C251="","", "ACT-"&amp;TEXT(ROW()-1,"00000"))</x:f>
      </x:c>
      <x:c r="B251" s="7" t="inlineStr">
        <x:is>
          <x:t xml:space="preserve"/>
        </x:is>
      </x:c>
      <x:c r="C251" s="6" t="inlineStr">
        <x:is>
          <x:t xml:space="preserve"/>
        </x:is>
      </x:c>
      <x:c r="D251" s="6" t="inlineStr">
        <x:is>
          <x:t xml:space="preserve"/>
        </x:is>
      </x:c>
      <x:c r="E251" s="8" t="inlineStr">
        <x:is>
          <x:t xml:space="preserve"/>
        </x:is>
      </x:c>
      <x:c r="F251" s="7" t="inlineStr">
        <x:is>
          <x:t xml:space="preserve"/>
        </x:is>
      </x:c>
      <x:c r="G251" s="8" t="inlineStr">
        <x:is>
          <x:t xml:space="preserve"/>
        </x:is>
      </x:c>
      <x:c r="H251" s="7">
        <x:f>IF(OR(E251="",F251="Complete"),"", MAX(0, TODAY()-E251))</x:f>
      </x:c>
      <x:c r="I251" s="6" t="inlineStr">
        <x:is>
          <x:t xml:space="preserve"/>
        </x:is>
      </x:c>
      <x:c r="J251" s="6" t="inlineStr">
        <x:is>
          <x:t xml:space="preserve"/>
        </x:is>
      </x:c>
    </x:row>
    <x:row r="252">
      <x:c r="A252" s="7">
        <x:f>IF(C252="","", "ACT-"&amp;TEXT(ROW()-1,"00000"))</x:f>
      </x:c>
      <x:c r="B252" s="7" t="inlineStr">
        <x:is>
          <x:t xml:space="preserve"/>
        </x:is>
      </x:c>
      <x:c r="C252" s="6" t="inlineStr">
        <x:is>
          <x:t xml:space="preserve"/>
        </x:is>
      </x:c>
      <x:c r="D252" s="6" t="inlineStr">
        <x:is>
          <x:t xml:space="preserve"/>
        </x:is>
      </x:c>
      <x:c r="E252" s="8" t="inlineStr">
        <x:is>
          <x:t xml:space="preserve"/>
        </x:is>
      </x:c>
      <x:c r="F252" s="7" t="inlineStr">
        <x:is>
          <x:t xml:space="preserve"/>
        </x:is>
      </x:c>
      <x:c r="G252" s="8" t="inlineStr">
        <x:is>
          <x:t xml:space="preserve"/>
        </x:is>
      </x:c>
      <x:c r="H252" s="7">
        <x:f>IF(OR(E252="",F252="Complete"),"", MAX(0, TODAY()-E252))</x:f>
      </x:c>
      <x:c r="I252" s="6" t="inlineStr">
        <x:is>
          <x:t xml:space="preserve"/>
        </x:is>
      </x:c>
      <x:c r="J252" s="6" t="inlineStr">
        <x:is>
          <x:t xml:space="preserve"/>
        </x:is>
      </x:c>
    </x:row>
    <x:row r="253">
      <x:c r="A253" s="7">
        <x:f>IF(C253="","", "ACT-"&amp;TEXT(ROW()-1,"00000"))</x:f>
      </x:c>
      <x:c r="B253" s="7" t="inlineStr">
        <x:is>
          <x:t xml:space="preserve"/>
        </x:is>
      </x:c>
      <x:c r="C253" s="6" t="inlineStr">
        <x:is>
          <x:t xml:space="preserve"/>
        </x:is>
      </x:c>
      <x:c r="D253" s="6" t="inlineStr">
        <x:is>
          <x:t xml:space="preserve"/>
        </x:is>
      </x:c>
      <x:c r="E253" s="8" t="inlineStr">
        <x:is>
          <x:t xml:space="preserve"/>
        </x:is>
      </x:c>
      <x:c r="F253" s="7" t="inlineStr">
        <x:is>
          <x:t xml:space="preserve"/>
        </x:is>
      </x:c>
      <x:c r="G253" s="8" t="inlineStr">
        <x:is>
          <x:t xml:space="preserve"/>
        </x:is>
      </x:c>
      <x:c r="H253" s="7">
        <x:f>IF(OR(E253="",F253="Complete"),"", MAX(0, TODAY()-E253))</x:f>
      </x:c>
      <x:c r="I253" s="6" t="inlineStr">
        <x:is>
          <x:t xml:space="preserve"/>
        </x:is>
      </x:c>
      <x:c r="J253" s="6" t="inlineStr">
        <x:is>
          <x:t xml:space="preserve"/>
        </x:is>
      </x:c>
    </x:row>
    <x:row r="254">
      <x:c r="A254" s="7">
        <x:f>IF(C254="","", "ACT-"&amp;TEXT(ROW()-1,"00000"))</x:f>
      </x:c>
      <x:c r="B254" s="7" t="inlineStr">
        <x:is>
          <x:t xml:space="preserve"/>
        </x:is>
      </x:c>
      <x:c r="C254" s="6" t="inlineStr">
        <x:is>
          <x:t xml:space="preserve"/>
        </x:is>
      </x:c>
      <x:c r="D254" s="6" t="inlineStr">
        <x:is>
          <x:t xml:space="preserve"/>
        </x:is>
      </x:c>
      <x:c r="E254" s="8" t="inlineStr">
        <x:is>
          <x:t xml:space="preserve"/>
        </x:is>
      </x:c>
      <x:c r="F254" s="7" t="inlineStr">
        <x:is>
          <x:t xml:space="preserve"/>
        </x:is>
      </x:c>
      <x:c r="G254" s="8" t="inlineStr">
        <x:is>
          <x:t xml:space="preserve"/>
        </x:is>
      </x:c>
      <x:c r="H254" s="7">
        <x:f>IF(OR(E254="",F254="Complete"),"", MAX(0, TODAY()-E254))</x:f>
      </x:c>
      <x:c r="I254" s="6" t="inlineStr">
        <x:is>
          <x:t xml:space="preserve"/>
        </x:is>
      </x:c>
      <x:c r="J254" s="6" t="inlineStr">
        <x:is>
          <x:t xml:space="preserve"/>
        </x:is>
      </x:c>
    </x:row>
    <x:row r="255">
      <x:c r="A255" s="7">
        <x:f>IF(C255="","", "ACT-"&amp;TEXT(ROW()-1,"00000"))</x:f>
      </x:c>
      <x:c r="B255" s="7" t="inlineStr">
        <x:is>
          <x:t xml:space="preserve"/>
        </x:is>
      </x:c>
      <x:c r="C255" s="6" t="inlineStr">
        <x:is>
          <x:t xml:space="preserve"/>
        </x:is>
      </x:c>
      <x:c r="D255" s="6" t="inlineStr">
        <x:is>
          <x:t xml:space="preserve"/>
        </x:is>
      </x:c>
      <x:c r="E255" s="8" t="inlineStr">
        <x:is>
          <x:t xml:space="preserve"/>
        </x:is>
      </x:c>
      <x:c r="F255" s="7" t="inlineStr">
        <x:is>
          <x:t xml:space="preserve"/>
        </x:is>
      </x:c>
      <x:c r="G255" s="8" t="inlineStr">
        <x:is>
          <x:t xml:space="preserve"/>
        </x:is>
      </x:c>
      <x:c r="H255" s="7">
        <x:f>IF(OR(E255="",F255="Complete"),"", MAX(0, TODAY()-E255))</x:f>
      </x:c>
      <x:c r="I255" s="6" t="inlineStr">
        <x:is>
          <x:t xml:space="preserve"/>
        </x:is>
      </x:c>
      <x:c r="J255" s="6" t="inlineStr">
        <x:is>
          <x:t xml:space="preserve"/>
        </x:is>
      </x:c>
    </x:row>
    <x:row r="256">
      <x:c r="A256" s="7">
        <x:f>IF(C256="","", "ACT-"&amp;TEXT(ROW()-1,"00000"))</x:f>
      </x:c>
      <x:c r="B256" s="7" t="inlineStr">
        <x:is>
          <x:t xml:space="preserve"/>
        </x:is>
      </x:c>
      <x:c r="C256" s="6" t="inlineStr">
        <x:is>
          <x:t xml:space="preserve"/>
        </x:is>
      </x:c>
      <x:c r="D256" s="6" t="inlineStr">
        <x:is>
          <x:t xml:space="preserve"/>
        </x:is>
      </x:c>
      <x:c r="E256" s="8" t="inlineStr">
        <x:is>
          <x:t xml:space="preserve"/>
        </x:is>
      </x:c>
      <x:c r="F256" s="7" t="inlineStr">
        <x:is>
          <x:t xml:space="preserve"/>
        </x:is>
      </x:c>
      <x:c r="G256" s="8" t="inlineStr">
        <x:is>
          <x:t xml:space="preserve"/>
        </x:is>
      </x:c>
      <x:c r="H256" s="7">
        <x:f>IF(OR(E256="",F256="Complete"),"", MAX(0, TODAY()-E256))</x:f>
      </x:c>
      <x:c r="I256" s="6" t="inlineStr">
        <x:is>
          <x:t xml:space="preserve"/>
        </x:is>
      </x:c>
      <x:c r="J256" s="6" t="inlineStr">
        <x:is>
          <x:t xml:space="preserve"/>
        </x:is>
      </x:c>
    </x:row>
    <x:row r="257">
      <x:c r="A257" s="7">
        <x:f>IF(C257="","", "ACT-"&amp;TEXT(ROW()-1,"00000"))</x:f>
      </x:c>
      <x:c r="B257" s="7" t="inlineStr">
        <x:is>
          <x:t xml:space="preserve"/>
        </x:is>
      </x:c>
      <x:c r="C257" s="6" t="inlineStr">
        <x:is>
          <x:t xml:space="preserve"/>
        </x:is>
      </x:c>
      <x:c r="D257" s="6" t="inlineStr">
        <x:is>
          <x:t xml:space="preserve"/>
        </x:is>
      </x:c>
      <x:c r="E257" s="8" t="inlineStr">
        <x:is>
          <x:t xml:space="preserve"/>
        </x:is>
      </x:c>
      <x:c r="F257" s="7" t="inlineStr">
        <x:is>
          <x:t xml:space="preserve"/>
        </x:is>
      </x:c>
      <x:c r="G257" s="8" t="inlineStr">
        <x:is>
          <x:t xml:space="preserve"/>
        </x:is>
      </x:c>
      <x:c r="H257" s="7">
        <x:f>IF(OR(E257="",F257="Complete"),"", MAX(0, TODAY()-E257))</x:f>
      </x:c>
      <x:c r="I257" s="6" t="inlineStr">
        <x:is>
          <x:t xml:space="preserve"/>
        </x:is>
      </x:c>
      <x:c r="J257" s="6" t="inlineStr">
        <x:is>
          <x:t xml:space="preserve"/>
        </x:is>
      </x:c>
    </x:row>
    <x:row r="258">
      <x:c r="A258" s="7">
        <x:f>IF(C258="","", "ACT-"&amp;TEXT(ROW()-1,"00000"))</x:f>
      </x:c>
      <x:c r="B258" s="7" t="inlineStr">
        <x:is>
          <x:t xml:space="preserve"/>
        </x:is>
      </x:c>
      <x:c r="C258" s="6" t="inlineStr">
        <x:is>
          <x:t xml:space="preserve"/>
        </x:is>
      </x:c>
      <x:c r="D258" s="6" t="inlineStr">
        <x:is>
          <x:t xml:space="preserve"/>
        </x:is>
      </x:c>
      <x:c r="E258" s="8" t="inlineStr">
        <x:is>
          <x:t xml:space="preserve"/>
        </x:is>
      </x:c>
      <x:c r="F258" s="7" t="inlineStr">
        <x:is>
          <x:t xml:space="preserve"/>
        </x:is>
      </x:c>
      <x:c r="G258" s="8" t="inlineStr">
        <x:is>
          <x:t xml:space="preserve"/>
        </x:is>
      </x:c>
      <x:c r="H258" s="7">
        <x:f>IF(OR(E258="",F258="Complete"),"", MAX(0, TODAY()-E258))</x:f>
      </x:c>
      <x:c r="I258" s="6" t="inlineStr">
        <x:is>
          <x:t xml:space="preserve"/>
        </x:is>
      </x:c>
      <x:c r="J258" s="6" t="inlineStr">
        <x:is>
          <x:t xml:space="preserve"/>
        </x:is>
      </x:c>
    </x:row>
    <x:row r="259">
      <x:c r="A259" s="7">
        <x:f>IF(C259="","", "ACT-"&amp;TEXT(ROW()-1,"00000"))</x:f>
      </x:c>
      <x:c r="B259" s="7" t="inlineStr">
        <x:is>
          <x:t xml:space="preserve"/>
        </x:is>
      </x:c>
      <x:c r="C259" s="6" t="inlineStr">
        <x:is>
          <x:t xml:space="preserve"/>
        </x:is>
      </x:c>
      <x:c r="D259" s="6" t="inlineStr">
        <x:is>
          <x:t xml:space="preserve"/>
        </x:is>
      </x:c>
      <x:c r="E259" s="8" t="inlineStr">
        <x:is>
          <x:t xml:space="preserve"/>
        </x:is>
      </x:c>
      <x:c r="F259" s="7" t="inlineStr">
        <x:is>
          <x:t xml:space="preserve"/>
        </x:is>
      </x:c>
      <x:c r="G259" s="8" t="inlineStr">
        <x:is>
          <x:t xml:space="preserve"/>
        </x:is>
      </x:c>
      <x:c r="H259" s="7">
        <x:f>IF(OR(E259="",F259="Complete"),"", MAX(0, TODAY()-E259))</x:f>
      </x:c>
      <x:c r="I259" s="6" t="inlineStr">
        <x:is>
          <x:t xml:space="preserve"/>
        </x:is>
      </x:c>
      <x:c r="J259" s="6" t="inlineStr">
        <x:is>
          <x:t xml:space="preserve"/>
        </x:is>
      </x:c>
    </x:row>
    <x:row r="260">
      <x:c r="A260" s="7">
        <x:f>IF(C260="","", "ACT-"&amp;TEXT(ROW()-1,"00000"))</x:f>
      </x:c>
      <x:c r="B260" s="7" t="inlineStr">
        <x:is>
          <x:t xml:space="preserve"/>
        </x:is>
      </x:c>
      <x:c r="C260" s="6" t="inlineStr">
        <x:is>
          <x:t xml:space="preserve"/>
        </x:is>
      </x:c>
      <x:c r="D260" s="6" t="inlineStr">
        <x:is>
          <x:t xml:space="preserve"/>
        </x:is>
      </x:c>
      <x:c r="E260" s="8" t="inlineStr">
        <x:is>
          <x:t xml:space="preserve"/>
        </x:is>
      </x:c>
      <x:c r="F260" s="7" t="inlineStr">
        <x:is>
          <x:t xml:space="preserve"/>
        </x:is>
      </x:c>
      <x:c r="G260" s="8" t="inlineStr">
        <x:is>
          <x:t xml:space="preserve"/>
        </x:is>
      </x:c>
      <x:c r="H260" s="7">
        <x:f>IF(OR(E260="",F260="Complete"),"", MAX(0, TODAY()-E260))</x:f>
      </x:c>
      <x:c r="I260" s="6" t="inlineStr">
        <x:is>
          <x:t xml:space="preserve"/>
        </x:is>
      </x:c>
      <x:c r="J260" s="6" t="inlineStr">
        <x:is>
          <x:t xml:space="preserve"/>
        </x:is>
      </x:c>
    </x:row>
    <x:row r="261">
      <x:c r="A261" s="7">
        <x:f>IF(C261="","", "ACT-"&amp;TEXT(ROW()-1,"00000"))</x:f>
      </x:c>
      <x:c r="B261" s="7" t="inlineStr">
        <x:is>
          <x:t xml:space="preserve"/>
        </x:is>
      </x:c>
      <x:c r="C261" s="6" t="inlineStr">
        <x:is>
          <x:t xml:space="preserve"/>
        </x:is>
      </x:c>
      <x:c r="D261" s="6" t="inlineStr">
        <x:is>
          <x:t xml:space="preserve"/>
        </x:is>
      </x:c>
      <x:c r="E261" s="8" t="inlineStr">
        <x:is>
          <x:t xml:space="preserve"/>
        </x:is>
      </x:c>
      <x:c r="F261" s="7" t="inlineStr">
        <x:is>
          <x:t xml:space="preserve"/>
        </x:is>
      </x:c>
      <x:c r="G261" s="8" t="inlineStr">
        <x:is>
          <x:t xml:space="preserve"/>
        </x:is>
      </x:c>
      <x:c r="H261" s="7">
        <x:f>IF(OR(E261="",F261="Complete"),"", MAX(0, TODAY()-E261))</x:f>
      </x:c>
      <x:c r="I261" s="6" t="inlineStr">
        <x:is>
          <x:t xml:space="preserve"/>
        </x:is>
      </x:c>
      <x:c r="J261" s="6" t="inlineStr">
        <x:is>
          <x:t xml:space="preserve"/>
        </x:is>
      </x:c>
    </x:row>
    <x:row r="262">
      <x:c r="A262" s="7">
        <x:f>IF(C262="","", "ACT-"&amp;TEXT(ROW()-1,"00000"))</x:f>
      </x:c>
      <x:c r="B262" s="7" t="inlineStr">
        <x:is>
          <x:t xml:space="preserve"/>
        </x:is>
      </x:c>
      <x:c r="C262" s="6" t="inlineStr">
        <x:is>
          <x:t xml:space="preserve"/>
        </x:is>
      </x:c>
      <x:c r="D262" s="6" t="inlineStr">
        <x:is>
          <x:t xml:space="preserve"/>
        </x:is>
      </x:c>
      <x:c r="E262" s="8" t="inlineStr">
        <x:is>
          <x:t xml:space="preserve"/>
        </x:is>
      </x:c>
      <x:c r="F262" s="7" t="inlineStr">
        <x:is>
          <x:t xml:space="preserve"/>
        </x:is>
      </x:c>
      <x:c r="G262" s="8" t="inlineStr">
        <x:is>
          <x:t xml:space="preserve"/>
        </x:is>
      </x:c>
      <x:c r="H262" s="7">
        <x:f>IF(OR(E262="",F262="Complete"),"", MAX(0, TODAY()-E262))</x:f>
      </x:c>
      <x:c r="I262" s="6" t="inlineStr">
        <x:is>
          <x:t xml:space="preserve"/>
        </x:is>
      </x:c>
      <x:c r="J262" s="6" t="inlineStr">
        <x:is>
          <x:t xml:space="preserve"/>
        </x:is>
      </x:c>
    </x:row>
    <x:row r="263">
      <x:c r="A263" s="7">
        <x:f>IF(C263="","", "ACT-"&amp;TEXT(ROW()-1,"00000"))</x:f>
      </x:c>
      <x:c r="B263" s="7" t="inlineStr">
        <x:is>
          <x:t xml:space="preserve"/>
        </x:is>
      </x:c>
      <x:c r="C263" s="6" t="inlineStr">
        <x:is>
          <x:t xml:space="preserve"/>
        </x:is>
      </x:c>
      <x:c r="D263" s="6" t="inlineStr">
        <x:is>
          <x:t xml:space="preserve"/>
        </x:is>
      </x:c>
      <x:c r="E263" s="8" t="inlineStr">
        <x:is>
          <x:t xml:space="preserve"/>
        </x:is>
      </x:c>
      <x:c r="F263" s="7" t="inlineStr">
        <x:is>
          <x:t xml:space="preserve"/>
        </x:is>
      </x:c>
      <x:c r="G263" s="8" t="inlineStr">
        <x:is>
          <x:t xml:space="preserve"/>
        </x:is>
      </x:c>
      <x:c r="H263" s="7">
        <x:f>IF(OR(E263="",F263="Complete"),"", MAX(0, TODAY()-E263))</x:f>
      </x:c>
      <x:c r="I263" s="6" t="inlineStr">
        <x:is>
          <x:t xml:space="preserve"/>
        </x:is>
      </x:c>
      <x:c r="J263" s="6" t="inlineStr">
        <x:is>
          <x:t xml:space="preserve"/>
        </x:is>
      </x:c>
    </x:row>
    <x:row r="264">
      <x:c r="A264" s="7">
        <x:f>IF(C264="","", "ACT-"&amp;TEXT(ROW()-1,"00000"))</x:f>
      </x:c>
      <x:c r="B264" s="7" t="inlineStr">
        <x:is>
          <x:t xml:space="preserve"/>
        </x:is>
      </x:c>
      <x:c r="C264" s="6" t="inlineStr">
        <x:is>
          <x:t xml:space="preserve"/>
        </x:is>
      </x:c>
      <x:c r="D264" s="6" t="inlineStr">
        <x:is>
          <x:t xml:space="preserve"/>
        </x:is>
      </x:c>
      <x:c r="E264" s="8" t="inlineStr">
        <x:is>
          <x:t xml:space="preserve"/>
        </x:is>
      </x:c>
      <x:c r="F264" s="7" t="inlineStr">
        <x:is>
          <x:t xml:space="preserve"/>
        </x:is>
      </x:c>
      <x:c r="G264" s="8" t="inlineStr">
        <x:is>
          <x:t xml:space="preserve"/>
        </x:is>
      </x:c>
      <x:c r="H264" s="7">
        <x:f>IF(OR(E264="",F264="Complete"),"", MAX(0, TODAY()-E264))</x:f>
      </x:c>
      <x:c r="I264" s="6" t="inlineStr">
        <x:is>
          <x:t xml:space="preserve"/>
        </x:is>
      </x:c>
      <x:c r="J264" s="6" t="inlineStr">
        <x:is>
          <x:t xml:space="preserve"/>
        </x:is>
      </x:c>
    </x:row>
    <x:row r="265">
      <x:c r="A265" s="7">
        <x:f>IF(C265="","", "ACT-"&amp;TEXT(ROW()-1,"00000"))</x:f>
      </x:c>
      <x:c r="B265" s="7" t="inlineStr">
        <x:is>
          <x:t xml:space="preserve"/>
        </x:is>
      </x:c>
      <x:c r="C265" s="6" t="inlineStr">
        <x:is>
          <x:t xml:space="preserve"/>
        </x:is>
      </x:c>
      <x:c r="D265" s="6" t="inlineStr">
        <x:is>
          <x:t xml:space="preserve"/>
        </x:is>
      </x:c>
      <x:c r="E265" s="8" t="inlineStr">
        <x:is>
          <x:t xml:space="preserve"/>
        </x:is>
      </x:c>
      <x:c r="F265" s="7" t="inlineStr">
        <x:is>
          <x:t xml:space="preserve"/>
        </x:is>
      </x:c>
      <x:c r="G265" s="8" t="inlineStr">
        <x:is>
          <x:t xml:space="preserve"/>
        </x:is>
      </x:c>
      <x:c r="H265" s="7">
        <x:f>IF(OR(E265="",F265="Complete"),"", MAX(0, TODAY()-E265))</x:f>
      </x:c>
      <x:c r="I265" s="6" t="inlineStr">
        <x:is>
          <x:t xml:space="preserve"/>
        </x:is>
      </x:c>
      <x:c r="J265" s="6" t="inlineStr">
        <x:is>
          <x:t xml:space="preserve"/>
        </x:is>
      </x:c>
    </x:row>
    <x:row r="266">
      <x:c r="A266" s="7">
        <x:f>IF(C266="","", "ACT-"&amp;TEXT(ROW()-1,"00000"))</x:f>
      </x:c>
      <x:c r="B266" s="7" t="inlineStr">
        <x:is>
          <x:t xml:space="preserve"/>
        </x:is>
      </x:c>
      <x:c r="C266" s="6" t="inlineStr">
        <x:is>
          <x:t xml:space="preserve"/>
        </x:is>
      </x:c>
      <x:c r="D266" s="6" t="inlineStr">
        <x:is>
          <x:t xml:space="preserve"/>
        </x:is>
      </x:c>
      <x:c r="E266" s="8" t="inlineStr">
        <x:is>
          <x:t xml:space="preserve"/>
        </x:is>
      </x:c>
      <x:c r="F266" s="7" t="inlineStr">
        <x:is>
          <x:t xml:space="preserve"/>
        </x:is>
      </x:c>
      <x:c r="G266" s="8" t="inlineStr">
        <x:is>
          <x:t xml:space="preserve"/>
        </x:is>
      </x:c>
      <x:c r="H266" s="7">
        <x:f>IF(OR(E266="",F266="Complete"),"", MAX(0, TODAY()-E266))</x:f>
      </x:c>
      <x:c r="I266" s="6" t="inlineStr">
        <x:is>
          <x:t xml:space="preserve"/>
        </x:is>
      </x:c>
      <x:c r="J266" s="6" t="inlineStr">
        <x:is>
          <x:t xml:space="preserve"/>
        </x:is>
      </x:c>
    </x:row>
    <x:row r="267">
      <x:c r="A267" s="7">
        <x:f>IF(C267="","", "ACT-"&amp;TEXT(ROW()-1,"00000"))</x:f>
      </x:c>
      <x:c r="B267" s="7" t="inlineStr">
        <x:is>
          <x:t xml:space="preserve"/>
        </x:is>
      </x:c>
      <x:c r="C267" s="6" t="inlineStr">
        <x:is>
          <x:t xml:space="preserve"/>
        </x:is>
      </x:c>
      <x:c r="D267" s="6" t="inlineStr">
        <x:is>
          <x:t xml:space="preserve"/>
        </x:is>
      </x:c>
      <x:c r="E267" s="8" t="inlineStr">
        <x:is>
          <x:t xml:space="preserve"/>
        </x:is>
      </x:c>
      <x:c r="F267" s="7" t="inlineStr">
        <x:is>
          <x:t xml:space="preserve"/>
        </x:is>
      </x:c>
      <x:c r="G267" s="8" t="inlineStr">
        <x:is>
          <x:t xml:space="preserve"/>
        </x:is>
      </x:c>
      <x:c r="H267" s="7">
        <x:f>IF(OR(E267="",F267="Complete"),"", MAX(0, TODAY()-E267))</x:f>
      </x:c>
      <x:c r="I267" s="6" t="inlineStr">
        <x:is>
          <x:t xml:space="preserve"/>
        </x:is>
      </x:c>
      <x:c r="J267" s="6" t="inlineStr">
        <x:is>
          <x:t xml:space="preserve"/>
        </x:is>
      </x:c>
    </x:row>
    <x:row r="268">
      <x:c r="A268" s="7">
        <x:f>IF(C268="","", "ACT-"&amp;TEXT(ROW()-1,"00000"))</x:f>
      </x:c>
      <x:c r="B268" s="7" t="inlineStr">
        <x:is>
          <x:t xml:space="preserve"/>
        </x:is>
      </x:c>
      <x:c r="C268" s="6" t="inlineStr">
        <x:is>
          <x:t xml:space="preserve"/>
        </x:is>
      </x:c>
      <x:c r="D268" s="6" t="inlineStr">
        <x:is>
          <x:t xml:space="preserve"/>
        </x:is>
      </x:c>
      <x:c r="E268" s="8" t="inlineStr">
        <x:is>
          <x:t xml:space="preserve"/>
        </x:is>
      </x:c>
      <x:c r="F268" s="7" t="inlineStr">
        <x:is>
          <x:t xml:space="preserve"/>
        </x:is>
      </x:c>
      <x:c r="G268" s="8" t="inlineStr">
        <x:is>
          <x:t xml:space="preserve"/>
        </x:is>
      </x:c>
      <x:c r="H268" s="7">
        <x:f>IF(OR(E268="",F268="Complete"),"", MAX(0, TODAY()-E268))</x:f>
      </x:c>
      <x:c r="I268" s="6" t="inlineStr">
        <x:is>
          <x:t xml:space="preserve"/>
        </x:is>
      </x:c>
      <x:c r="J268" s="6" t="inlineStr">
        <x:is>
          <x:t xml:space="preserve"/>
        </x:is>
      </x:c>
    </x:row>
    <x:row r="269">
      <x:c r="A269" s="7">
        <x:f>IF(C269="","", "ACT-"&amp;TEXT(ROW()-1,"00000"))</x:f>
      </x:c>
      <x:c r="B269" s="7" t="inlineStr">
        <x:is>
          <x:t xml:space="preserve"/>
        </x:is>
      </x:c>
      <x:c r="C269" s="6" t="inlineStr">
        <x:is>
          <x:t xml:space="preserve"/>
        </x:is>
      </x:c>
      <x:c r="D269" s="6" t="inlineStr">
        <x:is>
          <x:t xml:space="preserve"/>
        </x:is>
      </x:c>
      <x:c r="E269" s="8" t="inlineStr">
        <x:is>
          <x:t xml:space="preserve"/>
        </x:is>
      </x:c>
      <x:c r="F269" s="7" t="inlineStr">
        <x:is>
          <x:t xml:space="preserve"/>
        </x:is>
      </x:c>
      <x:c r="G269" s="8" t="inlineStr">
        <x:is>
          <x:t xml:space="preserve"/>
        </x:is>
      </x:c>
      <x:c r="H269" s="7">
        <x:f>IF(OR(E269="",F269="Complete"),"", MAX(0, TODAY()-E269))</x:f>
      </x:c>
      <x:c r="I269" s="6" t="inlineStr">
        <x:is>
          <x:t xml:space="preserve"/>
        </x:is>
      </x:c>
      <x:c r="J269" s="6" t="inlineStr">
        <x:is>
          <x:t xml:space="preserve"/>
        </x:is>
      </x:c>
    </x:row>
    <x:row r="270">
      <x:c r="A270" s="7">
        <x:f>IF(C270="","", "ACT-"&amp;TEXT(ROW()-1,"00000"))</x:f>
      </x:c>
      <x:c r="B270" s="7" t="inlineStr">
        <x:is>
          <x:t xml:space="preserve"/>
        </x:is>
      </x:c>
      <x:c r="C270" s="6" t="inlineStr">
        <x:is>
          <x:t xml:space="preserve"/>
        </x:is>
      </x:c>
      <x:c r="D270" s="6" t="inlineStr">
        <x:is>
          <x:t xml:space="preserve"/>
        </x:is>
      </x:c>
      <x:c r="E270" s="8" t="inlineStr">
        <x:is>
          <x:t xml:space="preserve"/>
        </x:is>
      </x:c>
      <x:c r="F270" s="7" t="inlineStr">
        <x:is>
          <x:t xml:space="preserve"/>
        </x:is>
      </x:c>
      <x:c r="G270" s="8" t="inlineStr">
        <x:is>
          <x:t xml:space="preserve"/>
        </x:is>
      </x:c>
      <x:c r="H270" s="7">
        <x:f>IF(OR(E270="",F270="Complete"),"", MAX(0, TODAY()-E270))</x:f>
      </x:c>
      <x:c r="I270" s="6" t="inlineStr">
        <x:is>
          <x:t xml:space="preserve"/>
        </x:is>
      </x:c>
      <x:c r="J270" s="6" t="inlineStr">
        <x:is>
          <x:t xml:space="preserve"/>
        </x:is>
      </x:c>
    </x:row>
    <x:row r="271">
      <x:c r="A271" s="7">
        <x:f>IF(C271="","", "ACT-"&amp;TEXT(ROW()-1,"00000"))</x:f>
      </x:c>
      <x:c r="B271" s="7" t="inlineStr">
        <x:is>
          <x:t xml:space="preserve"/>
        </x:is>
      </x:c>
      <x:c r="C271" s="6" t="inlineStr">
        <x:is>
          <x:t xml:space="preserve"/>
        </x:is>
      </x:c>
      <x:c r="D271" s="6" t="inlineStr">
        <x:is>
          <x:t xml:space="preserve"/>
        </x:is>
      </x:c>
      <x:c r="E271" s="8" t="inlineStr">
        <x:is>
          <x:t xml:space="preserve"/>
        </x:is>
      </x:c>
      <x:c r="F271" s="7" t="inlineStr">
        <x:is>
          <x:t xml:space="preserve"/>
        </x:is>
      </x:c>
      <x:c r="G271" s="8" t="inlineStr">
        <x:is>
          <x:t xml:space="preserve"/>
        </x:is>
      </x:c>
      <x:c r="H271" s="7">
        <x:f>IF(OR(E271="",F271="Complete"),"", MAX(0, TODAY()-E271))</x:f>
      </x:c>
      <x:c r="I271" s="6" t="inlineStr">
        <x:is>
          <x:t xml:space="preserve"/>
        </x:is>
      </x:c>
      <x:c r="J271" s="6" t="inlineStr">
        <x:is>
          <x:t xml:space="preserve"/>
        </x:is>
      </x:c>
    </x:row>
    <x:row r="272">
      <x:c r="A272" s="7">
        <x:f>IF(C272="","", "ACT-"&amp;TEXT(ROW()-1,"00000"))</x:f>
      </x:c>
      <x:c r="B272" s="7" t="inlineStr">
        <x:is>
          <x:t xml:space="preserve"/>
        </x:is>
      </x:c>
      <x:c r="C272" s="6" t="inlineStr">
        <x:is>
          <x:t xml:space="preserve"/>
        </x:is>
      </x:c>
      <x:c r="D272" s="6" t="inlineStr">
        <x:is>
          <x:t xml:space="preserve"/>
        </x:is>
      </x:c>
      <x:c r="E272" s="8" t="inlineStr">
        <x:is>
          <x:t xml:space="preserve"/>
        </x:is>
      </x:c>
      <x:c r="F272" s="7" t="inlineStr">
        <x:is>
          <x:t xml:space="preserve"/>
        </x:is>
      </x:c>
      <x:c r="G272" s="8" t="inlineStr">
        <x:is>
          <x:t xml:space="preserve"/>
        </x:is>
      </x:c>
      <x:c r="H272" s="7">
        <x:f>IF(OR(E272="",F272="Complete"),"", MAX(0, TODAY()-E272))</x:f>
      </x:c>
      <x:c r="I272" s="6" t="inlineStr">
        <x:is>
          <x:t xml:space="preserve"/>
        </x:is>
      </x:c>
      <x:c r="J272" s="6" t="inlineStr">
        <x:is>
          <x:t xml:space="preserve"/>
        </x:is>
      </x:c>
    </x:row>
    <x:row r="273">
      <x:c r="A273" s="7">
        <x:f>IF(C273="","", "ACT-"&amp;TEXT(ROW()-1,"00000"))</x:f>
      </x:c>
      <x:c r="B273" s="7" t="inlineStr">
        <x:is>
          <x:t xml:space="preserve"/>
        </x:is>
      </x:c>
      <x:c r="C273" s="6" t="inlineStr">
        <x:is>
          <x:t xml:space="preserve"/>
        </x:is>
      </x:c>
      <x:c r="D273" s="6" t="inlineStr">
        <x:is>
          <x:t xml:space="preserve"/>
        </x:is>
      </x:c>
      <x:c r="E273" s="8" t="inlineStr">
        <x:is>
          <x:t xml:space="preserve"/>
        </x:is>
      </x:c>
      <x:c r="F273" s="7" t="inlineStr">
        <x:is>
          <x:t xml:space="preserve"/>
        </x:is>
      </x:c>
      <x:c r="G273" s="8" t="inlineStr">
        <x:is>
          <x:t xml:space="preserve"/>
        </x:is>
      </x:c>
      <x:c r="H273" s="7">
        <x:f>IF(OR(E273="",F273="Complete"),"", MAX(0, TODAY()-E273))</x:f>
      </x:c>
      <x:c r="I273" s="6" t="inlineStr">
        <x:is>
          <x:t xml:space="preserve"/>
        </x:is>
      </x:c>
      <x:c r="J273" s="6" t="inlineStr">
        <x:is>
          <x:t xml:space="preserve"/>
        </x:is>
      </x:c>
    </x:row>
    <x:row r="274">
      <x:c r="A274" s="7">
        <x:f>IF(C274="","", "ACT-"&amp;TEXT(ROW()-1,"00000"))</x:f>
      </x:c>
      <x:c r="B274" s="7" t="inlineStr">
        <x:is>
          <x:t xml:space="preserve"/>
        </x:is>
      </x:c>
      <x:c r="C274" s="6" t="inlineStr">
        <x:is>
          <x:t xml:space="preserve"/>
        </x:is>
      </x:c>
      <x:c r="D274" s="6" t="inlineStr">
        <x:is>
          <x:t xml:space="preserve"/>
        </x:is>
      </x:c>
      <x:c r="E274" s="8" t="inlineStr">
        <x:is>
          <x:t xml:space="preserve"/>
        </x:is>
      </x:c>
      <x:c r="F274" s="7" t="inlineStr">
        <x:is>
          <x:t xml:space="preserve"/>
        </x:is>
      </x:c>
      <x:c r="G274" s="8" t="inlineStr">
        <x:is>
          <x:t xml:space="preserve"/>
        </x:is>
      </x:c>
      <x:c r="H274" s="7">
        <x:f>IF(OR(E274="",F274="Complete"),"", MAX(0, TODAY()-E274))</x:f>
      </x:c>
      <x:c r="I274" s="6" t="inlineStr">
        <x:is>
          <x:t xml:space="preserve"/>
        </x:is>
      </x:c>
      <x:c r="J274" s="6" t="inlineStr">
        <x:is>
          <x:t xml:space="preserve"/>
        </x:is>
      </x:c>
    </x:row>
    <x:row r="275">
      <x:c r="A275" s="7">
        <x:f>IF(C275="","", "ACT-"&amp;TEXT(ROW()-1,"00000"))</x:f>
      </x:c>
      <x:c r="B275" s="7" t="inlineStr">
        <x:is>
          <x:t xml:space="preserve"/>
        </x:is>
      </x:c>
      <x:c r="C275" s="6" t="inlineStr">
        <x:is>
          <x:t xml:space="preserve"/>
        </x:is>
      </x:c>
      <x:c r="D275" s="6" t="inlineStr">
        <x:is>
          <x:t xml:space="preserve"/>
        </x:is>
      </x:c>
      <x:c r="E275" s="8" t="inlineStr">
        <x:is>
          <x:t xml:space="preserve"/>
        </x:is>
      </x:c>
      <x:c r="F275" s="7" t="inlineStr">
        <x:is>
          <x:t xml:space="preserve"/>
        </x:is>
      </x:c>
      <x:c r="G275" s="8" t="inlineStr">
        <x:is>
          <x:t xml:space="preserve"/>
        </x:is>
      </x:c>
      <x:c r="H275" s="7">
        <x:f>IF(OR(E275="",F275="Complete"),"", MAX(0, TODAY()-E275))</x:f>
      </x:c>
      <x:c r="I275" s="6" t="inlineStr">
        <x:is>
          <x:t xml:space="preserve"/>
        </x:is>
      </x:c>
      <x:c r="J275" s="6" t="inlineStr">
        <x:is>
          <x:t xml:space="preserve"/>
        </x:is>
      </x:c>
    </x:row>
    <x:row r="276">
      <x:c r="A276" s="7">
        <x:f>IF(C276="","", "ACT-"&amp;TEXT(ROW()-1,"00000"))</x:f>
      </x:c>
      <x:c r="B276" s="7" t="inlineStr">
        <x:is>
          <x:t xml:space="preserve"/>
        </x:is>
      </x:c>
      <x:c r="C276" s="6" t="inlineStr">
        <x:is>
          <x:t xml:space="preserve"/>
        </x:is>
      </x:c>
      <x:c r="D276" s="6" t="inlineStr">
        <x:is>
          <x:t xml:space="preserve"/>
        </x:is>
      </x:c>
      <x:c r="E276" s="8" t="inlineStr">
        <x:is>
          <x:t xml:space="preserve"/>
        </x:is>
      </x:c>
      <x:c r="F276" s="7" t="inlineStr">
        <x:is>
          <x:t xml:space="preserve"/>
        </x:is>
      </x:c>
      <x:c r="G276" s="8" t="inlineStr">
        <x:is>
          <x:t xml:space="preserve"/>
        </x:is>
      </x:c>
      <x:c r="H276" s="7">
        <x:f>IF(OR(E276="",F276="Complete"),"", MAX(0, TODAY()-E276))</x:f>
      </x:c>
      <x:c r="I276" s="6" t="inlineStr">
        <x:is>
          <x:t xml:space="preserve"/>
        </x:is>
      </x:c>
      <x:c r="J276" s="6" t="inlineStr">
        <x:is>
          <x:t xml:space="preserve"/>
        </x:is>
      </x:c>
    </x:row>
    <x:row r="277">
      <x:c r="A277" s="7">
        <x:f>IF(C277="","", "ACT-"&amp;TEXT(ROW()-1,"00000"))</x:f>
      </x:c>
      <x:c r="B277" s="7" t="inlineStr">
        <x:is>
          <x:t xml:space="preserve"/>
        </x:is>
      </x:c>
      <x:c r="C277" s="6" t="inlineStr">
        <x:is>
          <x:t xml:space="preserve"/>
        </x:is>
      </x:c>
      <x:c r="D277" s="6" t="inlineStr">
        <x:is>
          <x:t xml:space="preserve"/>
        </x:is>
      </x:c>
      <x:c r="E277" s="8" t="inlineStr">
        <x:is>
          <x:t xml:space="preserve"/>
        </x:is>
      </x:c>
      <x:c r="F277" s="7" t="inlineStr">
        <x:is>
          <x:t xml:space="preserve"/>
        </x:is>
      </x:c>
      <x:c r="G277" s="8" t="inlineStr">
        <x:is>
          <x:t xml:space="preserve"/>
        </x:is>
      </x:c>
      <x:c r="H277" s="7">
        <x:f>IF(OR(E277="",F277="Complete"),"", MAX(0, TODAY()-E277))</x:f>
      </x:c>
      <x:c r="I277" s="6" t="inlineStr">
        <x:is>
          <x:t xml:space="preserve"/>
        </x:is>
      </x:c>
      <x:c r="J277" s="6" t="inlineStr">
        <x:is>
          <x:t xml:space="preserve"/>
        </x:is>
      </x:c>
    </x:row>
    <x:row r="278">
      <x:c r="A278" s="7">
        <x:f>IF(C278="","", "ACT-"&amp;TEXT(ROW()-1,"00000"))</x:f>
      </x:c>
      <x:c r="B278" s="7" t="inlineStr">
        <x:is>
          <x:t xml:space="preserve"/>
        </x:is>
      </x:c>
      <x:c r="C278" s="6" t="inlineStr">
        <x:is>
          <x:t xml:space="preserve"/>
        </x:is>
      </x:c>
      <x:c r="D278" s="6" t="inlineStr">
        <x:is>
          <x:t xml:space="preserve"/>
        </x:is>
      </x:c>
      <x:c r="E278" s="8" t="inlineStr">
        <x:is>
          <x:t xml:space="preserve"/>
        </x:is>
      </x:c>
      <x:c r="F278" s="7" t="inlineStr">
        <x:is>
          <x:t xml:space="preserve"/>
        </x:is>
      </x:c>
      <x:c r="G278" s="8" t="inlineStr">
        <x:is>
          <x:t xml:space="preserve"/>
        </x:is>
      </x:c>
      <x:c r="H278" s="7">
        <x:f>IF(OR(E278="",F278="Complete"),"", MAX(0, TODAY()-E278))</x:f>
      </x:c>
      <x:c r="I278" s="6" t="inlineStr">
        <x:is>
          <x:t xml:space="preserve"/>
        </x:is>
      </x:c>
      <x:c r="J278" s="6" t="inlineStr">
        <x:is>
          <x:t xml:space="preserve"/>
        </x:is>
      </x:c>
    </x:row>
    <x:row r="279">
      <x:c r="A279" s="7">
        <x:f>IF(C279="","", "ACT-"&amp;TEXT(ROW()-1,"00000"))</x:f>
      </x:c>
      <x:c r="B279" s="7" t="inlineStr">
        <x:is>
          <x:t xml:space="preserve"/>
        </x:is>
      </x:c>
      <x:c r="C279" s="6" t="inlineStr">
        <x:is>
          <x:t xml:space="preserve"/>
        </x:is>
      </x:c>
      <x:c r="D279" s="6" t="inlineStr">
        <x:is>
          <x:t xml:space="preserve"/>
        </x:is>
      </x:c>
      <x:c r="E279" s="8" t="inlineStr">
        <x:is>
          <x:t xml:space="preserve"/>
        </x:is>
      </x:c>
      <x:c r="F279" s="7" t="inlineStr">
        <x:is>
          <x:t xml:space="preserve"/>
        </x:is>
      </x:c>
      <x:c r="G279" s="8" t="inlineStr">
        <x:is>
          <x:t xml:space="preserve"/>
        </x:is>
      </x:c>
      <x:c r="H279" s="7">
        <x:f>IF(OR(E279="",F279="Complete"),"", MAX(0, TODAY()-E279))</x:f>
      </x:c>
      <x:c r="I279" s="6" t="inlineStr">
        <x:is>
          <x:t xml:space="preserve"/>
        </x:is>
      </x:c>
      <x:c r="J279" s="6" t="inlineStr">
        <x:is>
          <x:t xml:space="preserve"/>
        </x:is>
      </x:c>
    </x:row>
    <x:row r="280">
      <x:c r="A280" s="7">
        <x:f>IF(C280="","", "ACT-"&amp;TEXT(ROW()-1,"00000"))</x:f>
      </x:c>
      <x:c r="B280" s="7" t="inlineStr">
        <x:is>
          <x:t xml:space="preserve"/>
        </x:is>
      </x:c>
      <x:c r="C280" s="6" t="inlineStr">
        <x:is>
          <x:t xml:space="preserve"/>
        </x:is>
      </x:c>
      <x:c r="D280" s="6" t="inlineStr">
        <x:is>
          <x:t xml:space="preserve"/>
        </x:is>
      </x:c>
      <x:c r="E280" s="8" t="inlineStr">
        <x:is>
          <x:t xml:space="preserve"/>
        </x:is>
      </x:c>
      <x:c r="F280" s="7" t="inlineStr">
        <x:is>
          <x:t xml:space="preserve"/>
        </x:is>
      </x:c>
      <x:c r="G280" s="8" t="inlineStr">
        <x:is>
          <x:t xml:space="preserve"/>
        </x:is>
      </x:c>
      <x:c r="H280" s="7">
        <x:f>IF(OR(E280="",F280="Complete"),"", MAX(0, TODAY()-E280))</x:f>
      </x:c>
      <x:c r="I280" s="6" t="inlineStr">
        <x:is>
          <x:t xml:space="preserve"/>
        </x:is>
      </x:c>
      <x:c r="J280" s="6" t="inlineStr">
        <x:is>
          <x:t xml:space="preserve"/>
        </x:is>
      </x:c>
    </x:row>
    <x:row r="281">
      <x:c r="A281" s="7">
        <x:f>IF(C281="","", "ACT-"&amp;TEXT(ROW()-1,"00000"))</x:f>
      </x:c>
      <x:c r="B281" s="7" t="inlineStr">
        <x:is>
          <x:t xml:space="preserve"/>
        </x:is>
      </x:c>
      <x:c r="C281" s="6" t="inlineStr">
        <x:is>
          <x:t xml:space="preserve"/>
        </x:is>
      </x:c>
      <x:c r="D281" s="6" t="inlineStr">
        <x:is>
          <x:t xml:space="preserve"/>
        </x:is>
      </x:c>
      <x:c r="E281" s="8" t="inlineStr">
        <x:is>
          <x:t xml:space="preserve"/>
        </x:is>
      </x:c>
      <x:c r="F281" s="7" t="inlineStr">
        <x:is>
          <x:t xml:space="preserve"/>
        </x:is>
      </x:c>
      <x:c r="G281" s="8" t="inlineStr">
        <x:is>
          <x:t xml:space="preserve"/>
        </x:is>
      </x:c>
      <x:c r="H281" s="7">
        <x:f>IF(OR(E281="",F281="Complete"),"", MAX(0, TODAY()-E281))</x:f>
      </x:c>
      <x:c r="I281" s="6" t="inlineStr">
        <x:is>
          <x:t xml:space="preserve"/>
        </x:is>
      </x:c>
      <x:c r="J281" s="6" t="inlineStr">
        <x:is>
          <x:t xml:space="preserve"/>
        </x:is>
      </x:c>
    </x:row>
    <x:row r="282">
      <x:c r="A282" s="7">
        <x:f>IF(C282="","", "ACT-"&amp;TEXT(ROW()-1,"00000"))</x:f>
      </x:c>
      <x:c r="B282" s="7" t="inlineStr">
        <x:is>
          <x:t xml:space="preserve"/>
        </x:is>
      </x:c>
      <x:c r="C282" s="6" t="inlineStr">
        <x:is>
          <x:t xml:space="preserve"/>
        </x:is>
      </x:c>
      <x:c r="D282" s="6" t="inlineStr">
        <x:is>
          <x:t xml:space="preserve"/>
        </x:is>
      </x:c>
      <x:c r="E282" s="8" t="inlineStr">
        <x:is>
          <x:t xml:space="preserve"/>
        </x:is>
      </x:c>
      <x:c r="F282" s="7" t="inlineStr">
        <x:is>
          <x:t xml:space="preserve"/>
        </x:is>
      </x:c>
      <x:c r="G282" s="8" t="inlineStr">
        <x:is>
          <x:t xml:space="preserve"/>
        </x:is>
      </x:c>
      <x:c r="H282" s="7">
        <x:f>IF(OR(E282="",F282="Complete"),"", MAX(0, TODAY()-E282))</x:f>
      </x:c>
      <x:c r="I282" s="6" t="inlineStr">
        <x:is>
          <x:t xml:space="preserve"/>
        </x:is>
      </x:c>
      <x:c r="J282" s="6" t="inlineStr">
        <x:is>
          <x:t xml:space="preserve"/>
        </x:is>
      </x:c>
    </x:row>
    <x:row r="283">
      <x:c r="A283" s="7">
        <x:f>IF(C283="","", "ACT-"&amp;TEXT(ROW()-1,"00000"))</x:f>
      </x:c>
      <x:c r="B283" s="7" t="inlineStr">
        <x:is>
          <x:t xml:space="preserve"/>
        </x:is>
      </x:c>
      <x:c r="C283" s="6" t="inlineStr">
        <x:is>
          <x:t xml:space="preserve"/>
        </x:is>
      </x:c>
      <x:c r="D283" s="6" t="inlineStr">
        <x:is>
          <x:t xml:space="preserve"/>
        </x:is>
      </x:c>
      <x:c r="E283" s="8" t="inlineStr">
        <x:is>
          <x:t xml:space="preserve"/>
        </x:is>
      </x:c>
      <x:c r="F283" s="7" t="inlineStr">
        <x:is>
          <x:t xml:space="preserve"/>
        </x:is>
      </x:c>
      <x:c r="G283" s="8" t="inlineStr">
        <x:is>
          <x:t xml:space="preserve"/>
        </x:is>
      </x:c>
      <x:c r="H283" s="7">
        <x:f>IF(OR(E283="",F283="Complete"),"", MAX(0, TODAY()-E283))</x:f>
      </x:c>
      <x:c r="I283" s="6" t="inlineStr">
        <x:is>
          <x:t xml:space="preserve"/>
        </x:is>
      </x:c>
      <x:c r="J283" s="6" t="inlineStr">
        <x:is>
          <x:t xml:space="preserve"/>
        </x:is>
      </x:c>
    </x:row>
    <x:row r="284">
      <x:c r="A284" s="7">
        <x:f>IF(C284="","", "ACT-"&amp;TEXT(ROW()-1,"00000"))</x:f>
      </x:c>
      <x:c r="B284" s="7" t="inlineStr">
        <x:is>
          <x:t xml:space="preserve"/>
        </x:is>
      </x:c>
      <x:c r="C284" s="6" t="inlineStr">
        <x:is>
          <x:t xml:space="preserve"/>
        </x:is>
      </x:c>
      <x:c r="D284" s="6" t="inlineStr">
        <x:is>
          <x:t xml:space="preserve"/>
        </x:is>
      </x:c>
      <x:c r="E284" s="8" t="inlineStr">
        <x:is>
          <x:t xml:space="preserve"/>
        </x:is>
      </x:c>
      <x:c r="F284" s="7" t="inlineStr">
        <x:is>
          <x:t xml:space="preserve"/>
        </x:is>
      </x:c>
      <x:c r="G284" s="8" t="inlineStr">
        <x:is>
          <x:t xml:space="preserve"/>
        </x:is>
      </x:c>
      <x:c r="H284" s="7">
        <x:f>IF(OR(E284="",F284="Complete"),"", MAX(0, TODAY()-E284))</x:f>
      </x:c>
      <x:c r="I284" s="6" t="inlineStr">
        <x:is>
          <x:t xml:space="preserve"/>
        </x:is>
      </x:c>
      <x:c r="J284" s="6" t="inlineStr">
        <x:is>
          <x:t xml:space="preserve"/>
        </x:is>
      </x:c>
    </x:row>
    <x:row r="285">
      <x:c r="A285" s="7">
        <x:f>IF(C285="","", "ACT-"&amp;TEXT(ROW()-1,"00000"))</x:f>
      </x:c>
      <x:c r="B285" s="7" t="inlineStr">
        <x:is>
          <x:t xml:space="preserve"/>
        </x:is>
      </x:c>
      <x:c r="C285" s="6" t="inlineStr">
        <x:is>
          <x:t xml:space="preserve"/>
        </x:is>
      </x:c>
      <x:c r="D285" s="6" t="inlineStr">
        <x:is>
          <x:t xml:space="preserve"/>
        </x:is>
      </x:c>
      <x:c r="E285" s="8" t="inlineStr">
        <x:is>
          <x:t xml:space="preserve"/>
        </x:is>
      </x:c>
      <x:c r="F285" s="7" t="inlineStr">
        <x:is>
          <x:t xml:space="preserve"/>
        </x:is>
      </x:c>
      <x:c r="G285" s="8" t="inlineStr">
        <x:is>
          <x:t xml:space="preserve"/>
        </x:is>
      </x:c>
      <x:c r="H285" s="7">
        <x:f>IF(OR(E285="",F285="Complete"),"", MAX(0, TODAY()-E285))</x:f>
      </x:c>
      <x:c r="I285" s="6" t="inlineStr">
        <x:is>
          <x:t xml:space="preserve"/>
        </x:is>
      </x:c>
      <x:c r="J285" s="6" t="inlineStr">
        <x:is>
          <x:t xml:space="preserve"/>
        </x:is>
      </x:c>
    </x:row>
    <x:row r="286">
      <x:c r="A286" s="7">
        <x:f>IF(C286="","", "ACT-"&amp;TEXT(ROW()-1,"00000"))</x:f>
      </x:c>
      <x:c r="B286" s="7" t="inlineStr">
        <x:is>
          <x:t xml:space="preserve"/>
        </x:is>
      </x:c>
      <x:c r="C286" s="6" t="inlineStr">
        <x:is>
          <x:t xml:space="preserve"/>
        </x:is>
      </x:c>
      <x:c r="D286" s="6" t="inlineStr">
        <x:is>
          <x:t xml:space="preserve"/>
        </x:is>
      </x:c>
      <x:c r="E286" s="8" t="inlineStr">
        <x:is>
          <x:t xml:space="preserve"/>
        </x:is>
      </x:c>
      <x:c r="F286" s="7" t="inlineStr">
        <x:is>
          <x:t xml:space="preserve"/>
        </x:is>
      </x:c>
      <x:c r="G286" s="8" t="inlineStr">
        <x:is>
          <x:t xml:space="preserve"/>
        </x:is>
      </x:c>
      <x:c r="H286" s="7">
        <x:f>IF(OR(E286="",F286="Complete"),"", MAX(0, TODAY()-E286))</x:f>
      </x:c>
      <x:c r="I286" s="6" t="inlineStr">
        <x:is>
          <x:t xml:space="preserve"/>
        </x:is>
      </x:c>
      <x:c r="J286" s="6" t="inlineStr">
        <x:is>
          <x:t xml:space="preserve"/>
        </x:is>
      </x:c>
    </x:row>
    <x:row r="287">
      <x:c r="A287" s="7">
        <x:f>IF(C287="","", "ACT-"&amp;TEXT(ROW()-1,"00000"))</x:f>
      </x:c>
      <x:c r="B287" s="7" t="inlineStr">
        <x:is>
          <x:t xml:space="preserve"/>
        </x:is>
      </x:c>
      <x:c r="C287" s="6" t="inlineStr">
        <x:is>
          <x:t xml:space="preserve"/>
        </x:is>
      </x:c>
      <x:c r="D287" s="6" t="inlineStr">
        <x:is>
          <x:t xml:space="preserve"/>
        </x:is>
      </x:c>
      <x:c r="E287" s="8" t="inlineStr">
        <x:is>
          <x:t xml:space="preserve"/>
        </x:is>
      </x:c>
      <x:c r="F287" s="7" t="inlineStr">
        <x:is>
          <x:t xml:space="preserve"/>
        </x:is>
      </x:c>
      <x:c r="G287" s="8" t="inlineStr">
        <x:is>
          <x:t xml:space="preserve"/>
        </x:is>
      </x:c>
      <x:c r="H287" s="7">
        <x:f>IF(OR(E287="",F287="Complete"),"", MAX(0, TODAY()-E287))</x:f>
      </x:c>
      <x:c r="I287" s="6" t="inlineStr">
        <x:is>
          <x:t xml:space="preserve"/>
        </x:is>
      </x:c>
      <x:c r="J287" s="6" t="inlineStr">
        <x:is>
          <x:t xml:space="preserve"/>
        </x:is>
      </x:c>
    </x:row>
    <x:row r="288">
      <x:c r="A288" s="7">
        <x:f>IF(C288="","", "ACT-"&amp;TEXT(ROW()-1,"00000"))</x:f>
      </x:c>
      <x:c r="B288" s="7" t="inlineStr">
        <x:is>
          <x:t xml:space="preserve"/>
        </x:is>
      </x:c>
      <x:c r="C288" s="6" t="inlineStr">
        <x:is>
          <x:t xml:space="preserve"/>
        </x:is>
      </x:c>
      <x:c r="D288" s="6" t="inlineStr">
        <x:is>
          <x:t xml:space="preserve"/>
        </x:is>
      </x:c>
      <x:c r="E288" s="8" t="inlineStr">
        <x:is>
          <x:t xml:space="preserve"/>
        </x:is>
      </x:c>
      <x:c r="F288" s="7" t="inlineStr">
        <x:is>
          <x:t xml:space="preserve"/>
        </x:is>
      </x:c>
      <x:c r="G288" s="8" t="inlineStr">
        <x:is>
          <x:t xml:space="preserve"/>
        </x:is>
      </x:c>
      <x:c r="H288" s="7">
        <x:f>IF(OR(E288="",F288="Complete"),"", MAX(0, TODAY()-E288))</x:f>
      </x:c>
      <x:c r="I288" s="6" t="inlineStr">
        <x:is>
          <x:t xml:space="preserve"/>
        </x:is>
      </x:c>
      <x:c r="J288" s="6" t="inlineStr">
        <x:is>
          <x:t xml:space="preserve"/>
        </x:is>
      </x:c>
    </x:row>
    <x:row r="289">
      <x:c r="A289" s="7">
        <x:f>IF(C289="","", "ACT-"&amp;TEXT(ROW()-1,"00000"))</x:f>
      </x:c>
      <x:c r="B289" s="7" t="inlineStr">
        <x:is>
          <x:t xml:space="preserve"/>
        </x:is>
      </x:c>
      <x:c r="C289" s="6" t="inlineStr">
        <x:is>
          <x:t xml:space="preserve"/>
        </x:is>
      </x:c>
      <x:c r="D289" s="6" t="inlineStr">
        <x:is>
          <x:t xml:space="preserve"/>
        </x:is>
      </x:c>
      <x:c r="E289" s="8" t="inlineStr">
        <x:is>
          <x:t xml:space="preserve"/>
        </x:is>
      </x:c>
      <x:c r="F289" s="7" t="inlineStr">
        <x:is>
          <x:t xml:space="preserve"/>
        </x:is>
      </x:c>
      <x:c r="G289" s="8" t="inlineStr">
        <x:is>
          <x:t xml:space="preserve"/>
        </x:is>
      </x:c>
      <x:c r="H289" s="7">
        <x:f>IF(OR(E289="",F289="Complete"),"", MAX(0, TODAY()-E289))</x:f>
      </x:c>
      <x:c r="I289" s="6" t="inlineStr">
        <x:is>
          <x:t xml:space="preserve"/>
        </x:is>
      </x:c>
      <x:c r="J289" s="6" t="inlineStr">
        <x:is>
          <x:t xml:space="preserve"/>
        </x:is>
      </x:c>
    </x:row>
    <x:row r="290">
      <x:c r="A290" s="7">
        <x:f>IF(C290="","", "ACT-"&amp;TEXT(ROW()-1,"00000"))</x:f>
      </x:c>
      <x:c r="B290" s="7" t="inlineStr">
        <x:is>
          <x:t xml:space="preserve"/>
        </x:is>
      </x:c>
      <x:c r="C290" s="6" t="inlineStr">
        <x:is>
          <x:t xml:space="preserve"/>
        </x:is>
      </x:c>
      <x:c r="D290" s="6" t="inlineStr">
        <x:is>
          <x:t xml:space="preserve"/>
        </x:is>
      </x:c>
      <x:c r="E290" s="8" t="inlineStr">
        <x:is>
          <x:t xml:space="preserve"/>
        </x:is>
      </x:c>
      <x:c r="F290" s="7" t="inlineStr">
        <x:is>
          <x:t xml:space="preserve"/>
        </x:is>
      </x:c>
      <x:c r="G290" s="8" t="inlineStr">
        <x:is>
          <x:t xml:space="preserve"/>
        </x:is>
      </x:c>
      <x:c r="H290" s="7">
        <x:f>IF(OR(E290="",F290="Complete"),"", MAX(0, TODAY()-E290))</x:f>
      </x:c>
      <x:c r="I290" s="6" t="inlineStr">
        <x:is>
          <x:t xml:space="preserve"/>
        </x:is>
      </x:c>
      <x:c r="J290" s="6" t="inlineStr">
        <x:is>
          <x:t xml:space="preserve"/>
        </x:is>
      </x:c>
    </x:row>
    <x:row r="291">
      <x:c r="A291" s="7">
        <x:f>IF(C291="","", "ACT-"&amp;TEXT(ROW()-1,"00000"))</x:f>
      </x:c>
      <x:c r="B291" s="7" t="inlineStr">
        <x:is>
          <x:t xml:space="preserve"/>
        </x:is>
      </x:c>
      <x:c r="C291" s="6" t="inlineStr">
        <x:is>
          <x:t xml:space="preserve"/>
        </x:is>
      </x:c>
      <x:c r="D291" s="6" t="inlineStr">
        <x:is>
          <x:t xml:space="preserve"/>
        </x:is>
      </x:c>
      <x:c r="E291" s="8" t="inlineStr">
        <x:is>
          <x:t xml:space="preserve"/>
        </x:is>
      </x:c>
      <x:c r="F291" s="7" t="inlineStr">
        <x:is>
          <x:t xml:space="preserve"/>
        </x:is>
      </x:c>
      <x:c r="G291" s="8" t="inlineStr">
        <x:is>
          <x:t xml:space="preserve"/>
        </x:is>
      </x:c>
      <x:c r="H291" s="7">
        <x:f>IF(OR(E291="",F291="Complete"),"", MAX(0, TODAY()-E291))</x:f>
      </x:c>
      <x:c r="I291" s="6" t="inlineStr">
        <x:is>
          <x:t xml:space="preserve"/>
        </x:is>
      </x:c>
      <x:c r="J291" s="6" t="inlineStr">
        <x:is>
          <x:t xml:space="preserve"/>
        </x:is>
      </x:c>
    </x:row>
    <x:row r="292">
      <x:c r="A292" s="7">
        <x:f>IF(C292="","", "ACT-"&amp;TEXT(ROW()-1,"00000"))</x:f>
      </x:c>
      <x:c r="B292" s="7" t="inlineStr">
        <x:is>
          <x:t xml:space="preserve"/>
        </x:is>
      </x:c>
      <x:c r="C292" s="6" t="inlineStr">
        <x:is>
          <x:t xml:space="preserve"/>
        </x:is>
      </x:c>
      <x:c r="D292" s="6" t="inlineStr">
        <x:is>
          <x:t xml:space="preserve"/>
        </x:is>
      </x:c>
      <x:c r="E292" s="8" t="inlineStr">
        <x:is>
          <x:t xml:space="preserve"/>
        </x:is>
      </x:c>
      <x:c r="F292" s="7" t="inlineStr">
        <x:is>
          <x:t xml:space="preserve"/>
        </x:is>
      </x:c>
      <x:c r="G292" s="8" t="inlineStr">
        <x:is>
          <x:t xml:space="preserve"/>
        </x:is>
      </x:c>
      <x:c r="H292" s="7">
        <x:f>IF(OR(E292="",F292="Complete"),"", MAX(0, TODAY()-E292))</x:f>
      </x:c>
      <x:c r="I292" s="6" t="inlineStr">
        <x:is>
          <x:t xml:space="preserve"/>
        </x:is>
      </x:c>
      <x:c r="J292" s="6" t="inlineStr">
        <x:is>
          <x:t xml:space="preserve"/>
        </x:is>
      </x:c>
    </x:row>
    <x:row r="293">
      <x:c r="A293" s="7">
        <x:f>IF(C293="","", "ACT-"&amp;TEXT(ROW()-1,"00000"))</x:f>
      </x:c>
      <x:c r="B293" s="7" t="inlineStr">
        <x:is>
          <x:t xml:space="preserve"/>
        </x:is>
      </x:c>
      <x:c r="C293" s="6" t="inlineStr">
        <x:is>
          <x:t xml:space="preserve"/>
        </x:is>
      </x:c>
      <x:c r="D293" s="6" t="inlineStr">
        <x:is>
          <x:t xml:space="preserve"/>
        </x:is>
      </x:c>
      <x:c r="E293" s="8" t="inlineStr">
        <x:is>
          <x:t xml:space="preserve"/>
        </x:is>
      </x:c>
      <x:c r="F293" s="7" t="inlineStr">
        <x:is>
          <x:t xml:space="preserve"/>
        </x:is>
      </x:c>
      <x:c r="G293" s="8" t="inlineStr">
        <x:is>
          <x:t xml:space="preserve"/>
        </x:is>
      </x:c>
      <x:c r="H293" s="7">
        <x:f>IF(OR(E293="",F293="Complete"),"", MAX(0, TODAY()-E293))</x:f>
      </x:c>
      <x:c r="I293" s="6" t="inlineStr">
        <x:is>
          <x:t xml:space="preserve"/>
        </x:is>
      </x:c>
      <x:c r="J293" s="6" t="inlineStr">
        <x:is>
          <x:t xml:space="preserve"/>
        </x:is>
      </x:c>
    </x:row>
    <x:row r="294">
      <x:c r="A294" s="7">
        <x:f>IF(C294="","", "ACT-"&amp;TEXT(ROW()-1,"00000"))</x:f>
      </x:c>
      <x:c r="B294" s="7" t="inlineStr">
        <x:is>
          <x:t xml:space="preserve"/>
        </x:is>
      </x:c>
      <x:c r="C294" s="6" t="inlineStr">
        <x:is>
          <x:t xml:space="preserve"/>
        </x:is>
      </x:c>
      <x:c r="D294" s="6" t="inlineStr">
        <x:is>
          <x:t xml:space="preserve"/>
        </x:is>
      </x:c>
      <x:c r="E294" s="8" t="inlineStr">
        <x:is>
          <x:t xml:space="preserve"/>
        </x:is>
      </x:c>
      <x:c r="F294" s="7" t="inlineStr">
        <x:is>
          <x:t xml:space="preserve"/>
        </x:is>
      </x:c>
      <x:c r="G294" s="8" t="inlineStr">
        <x:is>
          <x:t xml:space="preserve"/>
        </x:is>
      </x:c>
      <x:c r="H294" s="7">
        <x:f>IF(OR(E294="",F294="Complete"),"", MAX(0, TODAY()-E294))</x:f>
      </x:c>
      <x:c r="I294" s="6" t="inlineStr">
        <x:is>
          <x:t xml:space="preserve"/>
        </x:is>
      </x:c>
      <x:c r="J294" s="6" t="inlineStr">
        <x:is>
          <x:t xml:space="preserve"/>
        </x:is>
      </x:c>
    </x:row>
    <x:row r="295">
      <x:c r="A295" s="7">
        <x:f>IF(C295="","", "ACT-"&amp;TEXT(ROW()-1,"00000"))</x:f>
      </x:c>
      <x:c r="B295" s="7" t="inlineStr">
        <x:is>
          <x:t xml:space="preserve"/>
        </x:is>
      </x:c>
      <x:c r="C295" s="6" t="inlineStr">
        <x:is>
          <x:t xml:space="preserve"/>
        </x:is>
      </x:c>
      <x:c r="D295" s="6" t="inlineStr">
        <x:is>
          <x:t xml:space="preserve"/>
        </x:is>
      </x:c>
      <x:c r="E295" s="8" t="inlineStr">
        <x:is>
          <x:t xml:space="preserve"/>
        </x:is>
      </x:c>
      <x:c r="F295" s="7" t="inlineStr">
        <x:is>
          <x:t xml:space="preserve"/>
        </x:is>
      </x:c>
      <x:c r="G295" s="8" t="inlineStr">
        <x:is>
          <x:t xml:space="preserve"/>
        </x:is>
      </x:c>
      <x:c r="H295" s="7">
        <x:f>IF(OR(E295="",F295="Complete"),"", MAX(0, TODAY()-E295))</x:f>
      </x:c>
      <x:c r="I295" s="6" t="inlineStr">
        <x:is>
          <x:t xml:space="preserve"/>
        </x:is>
      </x:c>
      <x:c r="J295" s="6" t="inlineStr">
        <x:is>
          <x:t xml:space="preserve"/>
        </x:is>
      </x:c>
    </x:row>
    <x:row r="296">
      <x:c r="A296" s="7">
        <x:f>IF(C296="","", "ACT-"&amp;TEXT(ROW()-1,"00000"))</x:f>
      </x:c>
      <x:c r="B296" s="7" t="inlineStr">
        <x:is>
          <x:t xml:space="preserve"/>
        </x:is>
      </x:c>
      <x:c r="C296" s="6" t="inlineStr">
        <x:is>
          <x:t xml:space="preserve"/>
        </x:is>
      </x:c>
      <x:c r="D296" s="6" t="inlineStr">
        <x:is>
          <x:t xml:space="preserve"/>
        </x:is>
      </x:c>
      <x:c r="E296" s="8" t="inlineStr">
        <x:is>
          <x:t xml:space="preserve"/>
        </x:is>
      </x:c>
      <x:c r="F296" s="7" t="inlineStr">
        <x:is>
          <x:t xml:space="preserve"/>
        </x:is>
      </x:c>
      <x:c r="G296" s="8" t="inlineStr">
        <x:is>
          <x:t xml:space="preserve"/>
        </x:is>
      </x:c>
      <x:c r="H296" s="7">
        <x:f>IF(OR(E296="",F296="Complete"),"", MAX(0, TODAY()-E296))</x:f>
      </x:c>
      <x:c r="I296" s="6" t="inlineStr">
        <x:is>
          <x:t xml:space="preserve"/>
        </x:is>
      </x:c>
      <x:c r="J296" s="6" t="inlineStr">
        <x:is>
          <x:t xml:space="preserve"/>
        </x:is>
      </x:c>
    </x:row>
    <x:row r="297">
      <x:c r="A297" s="7">
        <x:f>IF(C297="","", "ACT-"&amp;TEXT(ROW()-1,"00000"))</x:f>
      </x:c>
      <x:c r="B297" s="7" t="inlineStr">
        <x:is>
          <x:t xml:space="preserve"/>
        </x:is>
      </x:c>
      <x:c r="C297" s="6" t="inlineStr">
        <x:is>
          <x:t xml:space="preserve"/>
        </x:is>
      </x:c>
      <x:c r="D297" s="6" t="inlineStr">
        <x:is>
          <x:t xml:space="preserve"/>
        </x:is>
      </x:c>
      <x:c r="E297" s="8" t="inlineStr">
        <x:is>
          <x:t xml:space="preserve"/>
        </x:is>
      </x:c>
      <x:c r="F297" s="7" t="inlineStr">
        <x:is>
          <x:t xml:space="preserve"/>
        </x:is>
      </x:c>
      <x:c r="G297" s="8" t="inlineStr">
        <x:is>
          <x:t xml:space="preserve"/>
        </x:is>
      </x:c>
      <x:c r="H297" s="7">
        <x:f>IF(OR(E297="",F297="Complete"),"", MAX(0, TODAY()-E297))</x:f>
      </x:c>
      <x:c r="I297" s="6" t="inlineStr">
        <x:is>
          <x:t xml:space="preserve"/>
        </x:is>
      </x:c>
      <x:c r="J297" s="6" t="inlineStr">
        <x:is>
          <x:t xml:space="preserve"/>
        </x:is>
      </x:c>
    </x:row>
    <x:row r="298">
      <x:c r="A298" s="7">
        <x:f>IF(C298="","", "ACT-"&amp;TEXT(ROW()-1,"00000"))</x:f>
      </x:c>
      <x:c r="B298" s="7" t="inlineStr">
        <x:is>
          <x:t xml:space="preserve"/>
        </x:is>
      </x:c>
      <x:c r="C298" s="6" t="inlineStr">
        <x:is>
          <x:t xml:space="preserve"/>
        </x:is>
      </x:c>
      <x:c r="D298" s="6" t="inlineStr">
        <x:is>
          <x:t xml:space="preserve"/>
        </x:is>
      </x:c>
      <x:c r="E298" s="8" t="inlineStr">
        <x:is>
          <x:t xml:space="preserve"/>
        </x:is>
      </x:c>
      <x:c r="F298" s="7" t="inlineStr">
        <x:is>
          <x:t xml:space="preserve"/>
        </x:is>
      </x:c>
      <x:c r="G298" s="8" t="inlineStr">
        <x:is>
          <x:t xml:space="preserve"/>
        </x:is>
      </x:c>
      <x:c r="H298" s="7">
        <x:f>IF(OR(E298="",F298="Complete"),"", MAX(0, TODAY()-E298))</x:f>
      </x:c>
      <x:c r="I298" s="6" t="inlineStr">
        <x:is>
          <x:t xml:space="preserve"/>
        </x:is>
      </x:c>
      <x:c r="J298" s="6" t="inlineStr">
        <x:is>
          <x:t xml:space="preserve"/>
        </x:is>
      </x:c>
    </x:row>
    <x:row r="299">
      <x:c r="A299" s="7">
        <x:f>IF(C299="","", "ACT-"&amp;TEXT(ROW()-1,"00000"))</x:f>
      </x:c>
      <x:c r="B299" s="7" t="inlineStr">
        <x:is>
          <x:t xml:space="preserve"/>
        </x:is>
      </x:c>
      <x:c r="C299" s="6" t="inlineStr">
        <x:is>
          <x:t xml:space="preserve"/>
        </x:is>
      </x:c>
      <x:c r="D299" s="6" t="inlineStr">
        <x:is>
          <x:t xml:space="preserve"/>
        </x:is>
      </x:c>
      <x:c r="E299" s="8" t="inlineStr">
        <x:is>
          <x:t xml:space="preserve"/>
        </x:is>
      </x:c>
      <x:c r="F299" s="7" t="inlineStr">
        <x:is>
          <x:t xml:space="preserve"/>
        </x:is>
      </x:c>
      <x:c r="G299" s="8" t="inlineStr">
        <x:is>
          <x:t xml:space="preserve"/>
        </x:is>
      </x:c>
      <x:c r="H299" s="7">
        <x:f>IF(OR(E299="",F299="Complete"),"", MAX(0, TODAY()-E299))</x:f>
      </x:c>
      <x:c r="I299" s="6" t="inlineStr">
        <x:is>
          <x:t xml:space="preserve"/>
        </x:is>
      </x:c>
      <x:c r="J299" s="6" t="inlineStr">
        <x:is>
          <x:t xml:space="preserve"/>
        </x:is>
      </x:c>
    </x:row>
    <x:row r="300">
      <x:c r="A300" s="7">
        <x:f>IF(C300="","", "ACT-"&amp;TEXT(ROW()-1,"00000"))</x:f>
      </x:c>
      <x:c r="B300" s="7" t="inlineStr">
        <x:is>
          <x:t xml:space="preserve"/>
        </x:is>
      </x:c>
      <x:c r="C300" s="6" t="inlineStr">
        <x:is>
          <x:t xml:space="preserve"/>
        </x:is>
      </x:c>
      <x:c r="D300" s="6" t="inlineStr">
        <x:is>
          <x:t xml:space="preserve"/>
        </x:is>
      </x:c>
      <x:c r="E300" s="8" t="inlineStr">
        <x:is>
          <x:t xml:space="preserve"/>
        </x:is>
      </x:c>
      <x:c r="F300" s="7" t="inlineStr">
        <x:is>
          <x:t xml:space="preserve"/>
        </x:is>
      </x:c>
      <x:c r="G300" s="8" t="inlineStr">
        <x:is>
          <x:t xml:space="preserve"/>
        </x:is>
      </x:c>
      <x:c r="H300" s="7">
        <x:f>IF(OR(E300="",F300="Complete"),"", MAX(0, TODAY()-E300))</x:f>
      </x:c>
      <x:c r="I300" s="6" t="inlineStr">
        <x:is>
          <x:t xml:space="preserve"/>
        </x:is>
      </x:c>
      <x:c r="J300" s="6" t="inlineStr">
        <x:is>
          <x:t xml:space="preserve"/>
        </x:is>
      </x:c>
    </x:row>
    <x:row r="301">
      <x:c r="A301" s="7">
        <x:f>IF(C301="","", "ACT-"&amp;TEXT(ROW()-1,"00000"))</x:f>
      </x:c>
      <x:c r="B301" s="7" t="inlineStr">
        <x:is>
          <x:t xml:space="preserve"/>
        </x:is>
      </x:c>
      <x:c r="C301" s="6" t="inlineStr">
        <x:is>
          <x:t xml:space="preserve"/>
        </x:is>
      </x:c>
      <x:c r="D301" s="6" t="inlineStr">
        <x:is>
          <x:t xml:space="preserve"/>
        </x:is>
      </x:c>
      <x:c r="E301" s="8" t="inlineStr">
        <x:is>
          <x:t xml:space="preserve"/>
        </x:is>
      </x:c>
      <x:c r="F301" s="7" t="inlineStr">
        <x:is>
          <x:t xml:space="preserve"/>
        </x:is>
      </x:c>
      <x:c r="G301" s="8" t="inlineStr">
        <x:is>
          <x:t xml:space="preserve"/>
        </x:is>
      </x:c>
      <x:c r="H301" s="7">
        <x:f>IF(OR(E301="",F301="Complete"),"", MAX(0, TODAY()-E301))</x:f>
      </x:c>
      <x:c r="I301" s="6" t="inlineStr">
        <x:is>
          <x:t xml:space="preserve"/>
        </x:is>
      </x:c>
      <x:c r="J301" s="6" t="inlineStr">
        <x:is>
          <x:t xml:space="preserve"/>
        </x:is>
      </x:c>
    </x:row>
    <x:row r="302">
      <x:c r="A302" s="7">
        <x:f>IF(C302="","", "ACT-"&amp;TEXT(ROW()-1,"00000"))</x:f>
      </x:c>
      <x:c r="B302" s="7" t="inlineStr">
        <x:is>
          <x:t xml:space="preserve"/>
        </x:is>
      </x:c>
      <x:c r="C302" s="6" t="inlineStr">
        <x:is>
          <x:t xml:space="preserve"/>
        </x:is>
      </x:c>
      <x:c r="D302" s="6" t="inlineStr">
        <x:is>
          <x:t xml:space="preserve"/>
        </x:is>
      </x:c>
      <x:c r="E302" s="8" t="inlineStr">
        <x:is>
          <x:t xml:space="preserve"/>
        </x:is>
      </x:c>
      <x:c r="F302" s="7" t="inlineStr">
        <x:is>
          <x:t xml:space="preserve"/>
        </x:is>
      </x:c>
      <x:c r="G302" s="8" t="inlineStr">
        <x:is>
          <x:t xml:space="preserve"/>
        </x:is>
      </x:c>
      <x:c r="H302" s="7">
        <x:f>IF(OR(E302="",F302="Complete"),"", MAX(0, TODAY()-E302))</x:f>
      </x:c>
      <x:c r="I302" s="6" t="inlineStr">
        <x:is>
          <x:t xml:space="preserve"/>
        </x:is>
      </x:c>
      <x:c r="J302" s="6" t="inlineStr">
        <x:is>
          <x:t xml:space="preserve"/>
        </x:is>
      </x:c>
    </x:row>
    <x:row r="303">
      <x:c r="A303" s="7">
        <x:f>IF(C303="","", "ACT-"&amp;TEXT(ROW()-1,"00000"))</x:f>
      </x:c>
      <x:c r="B303" s="7" t="inlineStr">
        <x:is>
          <x:t xml:space="preserve"/>
        </x:is>
      </x:c>
      <x:c r="C303" s="6" t="inlineStr">
        <x:is>
          <x:t xml:space="preserve"/>
        </x:is>
      </x:c>
      <x:c r="D303" s="6" t="inlineStr">
        <x:is>
          <x:t xml:space="preserve"/>
        </x:is>
      </x:c>
      <x:c r="E303" s="8" t="inlineStr">
        <x:is>
          <x:t xml:space="preserve"/>
        </x:is>
      </x:c>
      <x:c r="F303" s="7" t="inlineStr">
        <x:is>
          <x:t xml:space="preserve"/>
        </x:is>
      </x:c>
      <x:c r="G303" s="8" t="inlineStr">
        <x:is>
          <x:t xml:space="preserve"/>
        </x:is>
      </x:c>
      <x:c r="H303" s="7">
        <x:f>IF(OR(E303="",F303="Complete"),"", MAX(0, TODAY()-E303))</x:f>
      </x:c>
      <x:c r="I303" s="6" t="inlineStr">
        <x:is>
          <x:t xml:space="preserve"/>
        </x:is>
      </x:c>
      <x:c r="J303" s="6" t="inlineStr">
        <x:is>
          <x:t xml:space="preserve"/>
        </x:is>
      </x:c>
    </x:row>
    <x:row r="304">
      <x:c r="A304" s="7">
        <x:f>IF(C304="","", "ACT-"&amp;TEXT(ROW()-1,"00000"))</x:f>
      </x:c>
      <x:c r="B304" s="7" t="inlineStr">
        <x:is>
          <x:t xml:space="preserve"/>
        </x:is>
      </x:c>
      <x:c r="C304" s="6" t="inlineStr">
        <x:is>
          <x:t xml:space="preserve"/>
        </x:is>
      </x:c>
      <x:c r="D304" s="6" t="inlineStr">
        <x:is>
          <x:t xml:space="preserve"/>
        </x:is>
      </x:c>
      <x:c r="E304" s="8" t="inlineStr">
        <x:is>
          <x:t xml:space="preserve"/>
        </x:is>
      </x:c>
      <x:c r="F304" s="7" t="inlineStr">
        <x:is>
          <x:t xml:space="preserve"/>
        </x:is>
      </x:c>
      <x:c r="G304" s="8" t="inlineStr">
        <x:is>
          <x:t xml:space="preserve"/>
        </x:is>
      </x:c>
      <x:c r="H304" s="7">
        <x:f>IF(OR(E304="",F304="Complete"),"", MAX(0, TODAY()-E304))</x:f>
      </x:c>
      <x:c r="I304" s="6" t="inlineStr">
        <x:is>
          <x:t xml:space="preserve"/>
        </x:is>
      </x:c>
      <x:c r="J304" s="6" t="inlineStr">
        <x:is>
          <x:t xml:space="preserve"/>
        </x:is>
      </x:c>
    </x:row>
    <x:row r="305">
      <x:c r="A305" s="7">
        <x:f>IF(C305="","", "ACT-"&amp;TEXT(ROW()-1,"00000"))</x:f>
      </x:c>
      <x:c r="B305" s="7" t="inlineStr">
        <x:is>
          <x:t xml:space="preserve"/>
        </x:is>
      </x:c>
      <x:c r="C305" s="6" t="inlineStr">
        <x:is>
          <x:t xml:space="preserve"/>
        </x:is>
      </x:c>
      <x:c r="D305" s="6" t="inlineStr">
        <x:is>
          <x:t xml:space="preserve"/>
        </x:is>
      </x:c>
      <x:c r="E305" s="8" t="inlineStr">
        <x:is>
          <x:t xml:space="preserve"/>
        </x:is>
      </x:c>
      <x:c r="F305" s="7" t="inlineStr">
        <x:is>
          <x:t xml:space="preserve"/>
        </x:is>
      </x:c>
      <x:c r="G305" s="8" t="inlineStr">
        <x:is>
          <x:t xml:space="preserve"/>
        </x:is>
      </x:c>
      <x:c r="H305" s="7">
        <x:f>IF(OR(E305="",F305="Complete"),"", MAX(0, TODAY()-E305))</x:f>
      </x:c>
      <x:c r="I305" s="6" t="inlineStr">
        <x:is>
          <x:t xml:space="preserve"/>
        </x:is>
      </x:c>
      <x:c r="J305" s="6" t="inlineStr">
        <x:is>
          <x:t xml:space="preserve"/>
        </x:is>
      </x:c>
    </x:row>
    <x:row r="306">
      <x:c r="A306" s="7">
        <x:f>IF(C306="","", "ACT-"&amp;TEXT(ROW()-1,"00000"))</x:f>
      </x:c>
      <x:c r="B306" s="7" t="inlineStr">
        <x:is>
          <x:t xml:space="preserve"/>
        </x:is>
      </x:c>
      <x:c r="C306" s="6" t="inlineStr">
        <x:is>
          <x:t xml:space="preserve"/>
        </x:is>
      </x:c>
      <x:c r="D306" s="6" t="inlineStr">
        <x:is>
          <x:t xml:space="preserve"/>
        </x:is>
      </x:c>
      <x:c r="E306" s="8" t="inlineStr">
        <x:is>
          <x:t xml:space="preserve"/>
        </x:is>
      </x:c>
      <x:c r="F306" s="7" t="inlineStr">
        <x:is>
          <x:t xml:space="preserve"/>
        </x:is>
      </x:c>
      <x:c r="G306" s="8" t="inlineStr">
        <x:is>
          <x:t xml:space="preserve"/>
        </x:is>
      </x:c>
      <x:c r="H306" s="7">
        <x:f>IF(OR(E306="",F306="Complete"),"", MAX(0, TODAY()-E306))</x:f>
      </x:c>
      <x:c r="I306" s="6" t="inlineStr">
        <x:is>
          <x:t xml:space="preserve"/>
        </x:is>
      </x:c>
      <x:c r="J306" s="6" t="inlineStr">
        <x:is>
          <x:t xml:space="preserve"/>
        </x:is>
      </x:c>
    </x:row>
    <x:row r="307">
      <x:c r="A307" s="7">
        <x:f>IF(C307="","", "ACT-"&amp;TEXT(ROW()-1,"00000"))</x:f>
      </x:c>
      <x:c r="B307" s="7" t="inlineStr">
        <x:is>
          <x:t xml:space="preserve"/>
        </x:is>
      </x:c>
      <x:c r="C307" s="6" t="inlineStr">
        <x:is>
          <x:t xml:space="preserve"/>
        </x:is>
      </x:c>
      <x:c r="D307" s="6" t="inlineStr">
        <x:is>
          <x:t xml:space="preserve"/>
        </x:is>
      </x:c>
      <x:c r="E307" s="8" t="inlineStr">
        <x:is>
          <x:t xml:space="preserve"/>
        </x:is>
      </x:c>
      <x:c r="F307" s="7" t="inlineStr">
        <x:is>
          <x:t xml:space="preserve"/>
        </x:is>
      </x:c>
      <x:c r="G307" s="8" t="inlineStr">
        <x:is>
          <x:t xml:space="preserve"/>
        </x:is>
      </x:c>
      <x:c r="H307" s="7">
        <x:f>IF(OR(E307="",F307="Complete"),"", MAX(0, TODAY()-E307))</x:f>
      </x:c>
      <x:c r="I307" s="6" t="inlineStr">
        <x:is>
          <x:t xml:space="preserve"/>
        </x:is>
      </x:c>
      <x:c r="J307" s="6" t="inlineStr">
        <x:is>
          <x:t xml:space="preserve"/>
        </x:is>
      </x:c>
    </x:row>
    <x:row r="308">
      <x:c r="A308" s="7">
        <x:f>IF(C308="","", "ACT-"&amp;TEXT(ROW()-1,"00000"))</x:f>
      </x:c>
      <x:c r="B308" s="7" t="inlineStr">
        <x:is>
          <x:t xml:space="preserve"/>
        </x:is>
      </x:c>
      <x:c r="C308" s="6" t="inlineStr">
        <x:is>
          <x:t xml:space="preserve"/>
        </x:is>
      </x:c>
      <x:c r="D308" s="6" t="inlineStr">
        <x:is>
          <x:t xml:space="preserve"/>
        </x:is>
      </x:c>
      <x:c r="E308" s="8" t="inlineStr">
        <x:is>
          <x:t xml:space="preserve"/>
        </x:is>
      </x:c>
      <x:c r="F308" s="7" t="inlineStr">
        <x:is>
          <x:t xml:space="preserve"/>
        </x:is>
      </x:c>
      <x:c r="G308" s="8" t="inlineStr">
        <x:is>
          <x:t xml:space="preserve"/>
        </x:is>
      </x:c>
      <x:c r="H308" s="7">
        <x:f>IF(OR(E308="",F308="Complete"),"", MAX(0, TODAY()-E308))</x:f>
      </x:c>
      <x:c r="I308" s="6" t="inlineStr">
        <x:is>
          <x:t xml:space="preserve"/>
        </x:is>
      </x:c>
      <x:c r="J308" s="6" t="inlineStr">
        <x:is>
          <x:t xml:space="preserve"/>
        </x:is>
      </x:c>
    </x:row>
    <x:row r="309">
      <x:c r="A309" s="7">
        <x:f>IF(C309="","", "ACT-"&amp;TEXT(ROW()-1,"00000"))</x:f>
      </x:c>
      <x:c r="B309" s="7" t="inlineStr">
        <x:is>
          <x:t xml:space="preserve"/>
        </x:is>
      </x:c>
      <x:c r="C309" s="6" t="inlineStr">
        <x:is>
          <x:t xml:space="preserve"/>
        </x:is>
      </x:c>
      <x:c r="D309" s="6" t="inlineStr">
        <x:is>
          <x:t xml:space="preserve"/>
        </x:is>
      </x:c>
      <x:c r="E309" s="8" t="inlineStr">
        <x:is>
          <x:t xml:space="preserve"/>
        </x:is>
      </x:c>
      <x:c r="F309" s="7" t="inlineStr">
        <x:is>
          <x:t xml:space="preserve"/>
        </x:is>
      </x:c>
      <x:c r="G309" s="8" t="inlineStr">
        <x:is>
          <x:t xml:space="preserve"/>
        </x:is>
      </x:c>
      <x:c r="H309" s="7">
        <x:f>IF(OR(E309="",F309="Complete"),"", MAX(0, TODAY()-E309))</x:f>
      </x:c>
      <x:c r="I309" s="6" t="inlineStr">
        <x:is>
          <x:t xml:space="preserve"/>
        </x:is>
      </x:c>
      <x:c r="J309" s="6" t="inlineStr">
        <x:is>
          <x:t xml:space="preserve"/>
        </x:is>
      </x:c>
    </x:row>
    <x:row r="310">
      <x:c r="A310" s="7">
        <x:f>IF(C310="","", "ACT-"&amp;TEXT(ROW()-1,"00000"))</x:f>
      </x:c>
      <x:c r="B310" s="7" t="inlineStr">
        <x:is>
          <x:t xml:space="preserve"/>
        </x:is>
      </x:c>
      <x:c r="C310" s="6" t="inlineStr">
        <x:is>
          <x:t xml:space="preserve"/>
        </x:is>
      </x:c>
      <x:c r="D310" s="6" t="inlineStr">
        <x:is>
          <x:t xml:space="preserve"/>
        </x:is>
      </x:c>
      <x:c r="E310" s="8" t="inlineStr">
        <x:is>
          <x:t xml:space="preserve"/>
        </x:is>
      </x:c>
      <x:c r="F310" s="7" t="inlineStr">
        <x:is>
          <x:t xml:space="preserve"/>
        </x:is>
      </x:c>
      <x:c r="G310" s="8" t="inlineStr">
        <x:is>
          <x:t xml:space="preserve"/>
        </x:is>
      </x:c>
      <x:c r="H310" s="7">
        <x:f>IF(OR(E310="",F310="Complete"),"", MAX(0, TODAY()-E310))</x:f>
      </x:c>
      <x:c r="I310" s="6" t="inlineStr">
        <x:is>
          <x:t xml:space="preserve"/>
        </x:is>
      </x:c>
      <x:c r="J310" s="6" t="inlineStr">
        <x:is>
          <x:t xml:space="preserve"/>
        </x:is>
      </x:c>
    </x:row>
    <x:row r="311">
      <x:c r="A311" s="7">
        <x:f>IF(C311="","", "ACT-"&amp;TEXT(ROW()-1,"00000"))</x:f>
      </x:c>
      <x:c r="B311" s="7" t="inlineStr">
        <x:is>
          <x:t xml:space="preserve"/>
        </x:is>
      </x:c>
      <x:c r="C311" s="6" t="inlineStr">
        <x:is>
          <x:t xml:space="preserve"/>
        </x:is>
      </x:c>
      <x:c r="D311" s="6" t="inlineStr">
        <x:is>
          <x:t xml:space="preserve"/>
        </x:is>
      </x:c>
      <x:c r="E311" s="8" t="inlineStr">
        <x:is>
          <x:t xml:space="preserve"/>
        </x:is>
      </x:c>
      <x:c r="F311" s="7" t="inlineStr">
        <x:is>
          <x:t xml:space="preserve"/>
        </x:is>
      </x:c>
      <x:c r="G311" s="8" t="inlineStr">
        <x:is>
          <x:t xml:space="preserve"/>
        </x:is>
      </x:c>
      <x:c r="H311" s="7">
        <x:f>IF(OR(E311="",F311="Complete"),"", MAX(0, TODAY()-E311))</x:f>
      </x:c>
      <x:c r="I311" s="6" t="inlineStr">
        <x:is>
          <x:t xml:space="preserve"/>
        </x:is>
      </x:c>
      <x:c r="J311" s="6" t="inlineStr">
        <x:is>
          <x:t xml:space="preserve"/>
        </x:is>
      </x:c>
    </x:row>
    <x:row r="312">
      <x:c r="A312" s="7">
        <x:f>IF(C312="","", "ACT-"&amp;TEXT(ROW()-1,"00000"))</x:f>
      </x:c>
      <x:c r="B312" s="7" t="inlineStr">
        <x:is>
          <x:t xml:space="preserve"/>
        </x:is>
      </x:c>
      <x:c r="C312" s="6" t="inlineStr">
        <x:is>
          <x:t xml:space="preserve"/>
        </x:is>
      </x:c>
      <x:c r="D312" s="6" t="inlineStr">
        <x:is>
          <x:t xml:space="preserve"/>
        </x:is>
      </x:c>
      <x:c r="E312" s="8" t="inlineStr">
        <x:is>
          <x:t xml:space="preserve"/>
        </x:is>
      </x:c>
      <x:c r="F312" s="7" t="inlineStr">
        <x:is>
          <x:t xml:space="preserve"/>
        </x:is>
      </x:c>
      <x:c r="G312" s="8" t="inlineStr">
        <x:is>
          <x:t xml:space="preserve"/>
        </x:is>
      </x:c>
      <x:c r="H312" s="7">
        <x:f>IF(OR(E312="",F312="Complete"),"", MAX(0, TODAY()-E312))</x:f>
      </x:c>
      <x:c r="I312" s="6" t="inlineStr">
        <x:is>
          <x:t xml:space="preserve"/>
        </x:is>
      </x:c>
      <x:c r="J312" s="6" t="inlineStr">
        <x:is>
          <x:t xml:space="preserve"/>
        </x:is>
      </x:c>
    </x:row>
    <x:row r="313">
      <x:c r="A313" s="7">
        <x:f>IF(C313="","", "ACT-"&amp;TEXT(ROW()-1,"00000"))</x:f>
      </x:c>
      <x:c r="B313" s="7" t="inlineStr">
        <x:is>
          <x:t xml:space="preserve"/>
        </x:is>
      </x:c>
      <x:c r="C313" s="6" t="inlineStr">
        <x:is>
          <x:t xml:space="preserve"/>
        </x:is>
      </x:c>
      <x:c r="D313" s="6" t="inlineStr">
        <x:is>
          <x:t xml:space="preserve"/>
        </x:is>
      </x:c>
      <x:c r="E313" s="8" t="inlineStr">
        <x:is>
          <x:t xml:space="preserve"/>
        </x:is>
      </x:c>
      <x:c r="F313" s="7" t="inlineStr">
        <x:is>
          <x:t xml:space="preserve"/>
        </x:is>
      </x:c>
      <x:c r="G313" s="8" t="inlineStr">
        <x:is>
          <x:t xml:space="preserve"/>
        </x:is>
      </x:c>
      <x:c r="H313" s="7">
        <x:f>IF(OR(E313="",F313="Complete"),"", MAX(0, TODAY()-E313))</x:f>
      </x:c>
      <x:c r="I313" s="6" t="inlineStr">
        <x:is>
          <x:t xml:space="preserve"/>
        </x:is>
      </x:c>
      <x:c r="J313" s="6" t="inlineStr">
        <x:is>
          <x:t xml:space="preserve"/>
        </x:is>
      </x:c>
    </x:row>
    <x:row r="314">
      <x:c r="A314" s="7">
        <x:f>IF(C314="","", "ACT-"&amp;TEXT(ROW()-1,"00000"))</x:f>
      </x:c>
      <x:c r="B314" s="7" t="inlineStr">
        <x:is>
          <x:t xml:space="preserve"/>
        </x:is>
      </x:c>
      <x:c r="C314" s="6" t="inlineStr">
        <x:is>
          <x:t xml:space="preserve"/>
        </x:is>
      </x:c>
      <x:c r="D314" s="6" t="inlineStr">
        <x:is>
          <x:t xml:space="preserve"/>
        </x:is>
      </x:c>
      <x:c r="E314" s="8" t="inlineStr">
        <x:is>
          <x:t xml:space="preserve"/>
        </x:is>
      </x:c>
      <x:c r="F314" s="7" t="inlineStr">
        <x:is>
          <x:t xml:space="preserve"/>
        </x:is>
      </x:c>
      <x:c r="G314" s="8" t="inlineStr">
        <x:is>
          <x:t xml:space="preserve"/>
        </x:is>
      </x:c>
      <x:c r="H314" s="7">
        <x:f>IF(OR(E314="",F314="Complete"),"", MAX(0, TODAY()-E314))</x:f>
      </x:c>
      <x:c r="I314" s="6" t="inlineStr">
        <x:is>
          <x:t xml:space="preserve"/>
        </x:is>
      </x:c>
      <x:c r="J314" s="6" t="inlineStr">
        <x:is>
          <x:t xml:space="preserve"/>
        </x:is>
      </x:c>
    </x:row>
    <x:row r="315">
      <x:c r="A315" s="7">
        <x:f>IF(C315="","", "ACT-"&amp;TEXT(ROW()-1,"00000"))</x:f>
      </x:c>
      <x:c r="B315" s="7" t="inlineStr">
        <x:is>
          <x:t xml:space="preserve"/>
        </x:is>
      </x:c>
      <x:c r="C315" s="6" t="inlineStr">
        <x:is>
          <x:t xml:space="preserve"/>
        </x:is>
      </x:c>
      <x:c r="D315" s="6" t="inlineStr">
        <x:is>
          <x:t xml:space="preserve"/>
        </x:is>
      </x:c>
      <x:c r="E315" s="8" t="inlineStr">
        <x:is>
          <x:t xml:space="preserve"/>
        </x:is>
      </x:c>
      <x:c r="F315" s="7" t="inlineStr">
        <x:is>
          <x:t xml:space="preserve"/>
        </x:is>
      </x:c>
      <x:c r="G315" s="8" t="inlineStr">
        <x:is>
          <x:t xml:space="preserve"/>
        </x:is>
      </x:c>
      <x:c r="H315" s="7">
        <x:f>IF(OR(E315="",F315="Complete"),"", MAX(0, TODAY()-E315))</x:f>
      </x:c>
      <x:c r="I315" s="6" t="inlineStr">
        <x:is>
          <x:t xml:space="preserve"/>
        </x:is>
      </x:c>
      <x:c r="J315" s="6" t="inlineStr">
        <x:is>
          <x:t xml:space="preserve"/>
        </x:is>
      </x:c>
    </x:row>
    <x:row r="316">
      <x:c r="A316" s="7">
        <x:f>IF(C316="","", "ACT-"&amp;TEXT(ROW()-1,"00000"))</x:f>
      </x:c>
      <x:c r="B316" s="7" t="inlineStr">
        <x:is>
          <x:t xml:space="preserve"/>
        </x:is>
      </x:c>
      <x:c r="C316" s="6" t="inlineStr">
        <x:is>
          <x:t xml:space="preserve"/>
        </x:is>
      </x:c>
      <x:c r="D316" s="6" t="inlineStr">
        <x:is>
          <x:t xml:space="preserve"/>
        </x:is>
      </x:c>
      <x:c r="E316" s="8" t="inlineStr">
        <x:is>
          <x:t xml:space="preserve"/>
        </x:is>
      </x:c>
      <x:c r="F316" s="7" t="inlineStr">
        <x:is>
          <x:t xml:space="preserve"/>
        </x:is>
      </x:c>
      <x:c r="G316" s="8" t="inlineStr">
        <x:is>
          <x:t xml:space="preserve"/>
        </x:is>
      </x:c>
      <x:c r="H316" s="7">
        <x:f>IF(OR(E316="",F316="Complete"),"", MAX(0, TODAY()-E316))</x:f>
      </x:c>
      <x:c r="I316" s="6" t="inlineStr">
        <x:is>
          <x:t xml:space="preserve"/>
        </x:is>
      </x:c>
      <x:c r="J316" s="6" t="inlineStr">
        <x:is>
          <x:t xml:space="preserve"/>
        </x:is>
      </x:c>
    </x:row>
    <x:row r="317">
      <x:c r="A317" s="7">
        <x:f>IF(C317="","", "ACT-"&amp;TEXT(ROW()-1,"00000"))</x:f>
      </x:c>
      <x:c r="B317" s="7" t="inlineStr">
        <x:is>
          <x:t xml:space="preserve"/>
        </x:is>
      </x:c>
      <x:c r="C317" s="6" t="inlineStr">
        <x:is>
          <x:t xml:space="preserve"/>
        </x:is>
      </x:c>
      <x:c r="D317" s="6" t="inlineStr">
        <x:is>
          <x:t xml:space="preserve"/>
        </x:is>
      </x:c>
      <x:c r="E317" s="8" t="inlineStr">
        <x:is>
          <x:t xml:space="preserve"/>
        </x:is>
      </x:c>
      <x:c r="F317" s="7" t="inlineStr">
        <x:is>
          <x:t xml:space="preserve"/>
        </x:is>
      </x:c>
      <x:c r="G317" s="8" t="inlineStr">
        <x:is>
          <x:t xml:space="preserve"/>
        </x:is>
      </x:c>
      <x:c r="H317" s="7">
        <x:f>IF(OR(E317="",F317="Complete"),"", MAX(0, TODAY()-E317))</x:f>
      </x:c>
      <x:c r="I317" s="6" t="inlineStr">
        <x:is>
          <x:t xml:space="preserve"/>
        </x:is>
      </x:c>
      <x:c r="J317" s="6" t="inlineStr">
        <x:is>
          <x:t xml:space="preserve"/>
        </x:is>
      </x:c>
    </x:row>
    <x:row r="318">
      <x:c r="A318" s="7">
        <x:f>IF(C318="","", "ACT-"&amp;TEXT(ROW()-1,"00000"))</x:f>
      </x:c>
      <x:c r="B318" s="7" t="inlineStr">
        <x:is>
          <x:t xml:space="preserve"/>
        </x:is>
      </x:c>
      <x:c r="C318" s="6" t="inlineStr">
        <x:is>
          <x:t xml:space="preserve"/>
        </x:is>
      </x:c>
      <x:c r="D318" s="6" t="inlineStr">
        <x:is>
          <x:t xml:space="preserve"/>
        </x:is>
      </x:c>
      <x:c r="E318" s="8" t="inlineStr">
        <x:is>
          <x:t xml:space="preserve"/>
        </x:is>
      </x:c>
      <x:c r="F318" s="7" t="inlineStr">
        <x:is>
          <x:t xml:space="preserve"/>
        </x:is>
      </x:c>
      <x:c r="G318" s="8" t="inlineStr">
        <x:is>
          <x:t xml:space="preserve"/>
        </x:is>
      </x:c>
      <x:c r="H318" s="7">
        <x:f>IF(OR(E318="",F318="Complete"),"", MAX(0, TODAY()-E318))</x:f>
      </x:c>
      <x:c r="I318" s="6" t="inlineStr">
        <x:is>
          <x:t xml:space="preserve"/>
        </x:is>
      </x:c>
      <x:c r="J318" s="6" t="inlineStr">
        <x:is>
          <x:t xml:space="preserve"/>
        </x:is>
      </x:c>
    </x:row>
    <x:row r="319">
      <x:c r="A319" s="7">
        <x:f>IF(C319="","", "ACT-"&amp;TEXT(ROW()-1,"00000"))</x:f>
      </x:c>
      <x:c r="B319" s="7" t="inlineStr">
        <x:is>
          <x:t xml:space="preserve"/>
        </x:is>
      </x:c>
      <x:c r="C319" s="6" t="inlineStr">
        <x:is>
          <x:t xml:space="preserve"/>
        </x:is>
      </x:c>
      <x:c r="D319" s="6" t="inlineStr">
        <x:is>
          <x:t xml:space="preserve"/>
        </x:is>
      </x:c>
      <x:c r="E319" s="8" t="inlineStr">
        <x:is>
          <x:t xml:space="preserve"/>
        </x:is>
      </x:c>
      <x:c r="F319" s="7" t="inlineStr">
        <x:is>
          <x:t xml:space="preserve"/>
        </x:is>
      </x:c>
      <x:c r="G319" s="8" t="inlineStr">
        <x:is>
          <x:t xml:space="preserve"/>
        </x:is>
      </x:c>
      <x:c r="H319" s="7">
        <x:f>IF(OR(E319="",F319="Complete"),"", MAX(0, TODAY()-E319))</x:f>
      </x:c>
      <x:c r="I319" s="6" t="inlineStr">
        <x:is>
          <x:t xml:space="preserve"/>
        </x:is>
      </x:c>
      <x:c r="J319" s="6" t="inlineStr">
        <x:is>
          <x:t xml:space="preserve"/>
        </x:is>
      </x:c>
    </x:row>
    <x:row r="320">
      <x:c r="A320" s="7">
        <x:f>IF(C320="","", "ACT-"&amp;TEXT(ROW()-1,"00000"))</x:f>
      </x:c>
      <x:c r="B320" s="7" t="inlineStr">
        <x:is>
          <x:t xml:space="preserve"/>
        </x:is>
      </x:c>
      <x:c r="C320" s="6" t="inlineStr">
        <x:is>
          <x:t xml:space="preserve"/>
        </x:is>
      </x:c>
      <x:c r="D320" s="6" t="inlineStr">
        <x:is>
          <x:t xml:space="preserve"/>
        </x:is>
      </x:c>
      <x:c r="E320" s="8" t="inlineStr">
        <x:is>
          <x:t xml:space="preserve"/>
        </x:is>
      </x:c>
      <x:c r="F320" s="7" t="inlineStr">
        <x:is>
          <x:t xml:space="preserve"/>
        </x:is>
      </x:c>
      <x:c r="G320" s="8" t="inlineStr">
        <x:is>
          <x:t xml:space="preserve"/>
        </x:is>
      </x:c>
      <x:c r="H320" s="7">
        <x:f>IF(OR(E320="",F320="Complete"),"", MAX(0, TODAY()-E320))</x:f>
      </x:c>
      <x:c r="I320" s="6" t="inlineStr">
        <x:is>
          <x:t xml:space="preserve"/>
        </x:is>
      </x:c>
      <x:c r="J320" s="6" t="inlineStr">
        <x:is>
          <x:t xml:space="preserve"/>
        </x:is>
      </x:c>
    </x:row>
    <x:row r="321">
      <x:c r="A321" s="7">
        <x:f>IF(C321="","", "ACT-"&amp;TEXT(ROW()-1,"00000"))</x:f>
      </x:c>
      <x:c r="B321" s="7" t="inlineStr">
        <x:is>
          <x:t xml:space="preserve"/>
        </x:is>
      </x:c>
      <x:c r="C321" s="6" t="inlineStr">
        <x:is>
          <x:t xml:space="preserve"/>
        </x:is>
      </x:c>
      <x:c r="D321" s="6" t="inlineStr">
        <x:is>
          <x:t xml:space="preserve"/>
        </x:is>
      </x:c>
      <x:c r="E321" s="8" t="inlineStr">
        <x:is>
          <x:t xml:space="preserve"/>
        </x:is>
      </x:c>
      <x:c r="F321" s="7" t="inlineStr">
        <x:is>
          <x:t xml:space="preserve"/>
        </x:is>
      </x:c>
      <x:c r="G321" s="8" t="inlineStr">
        <x:is>
          <x:t xml:space="preserve"/>
        </x:is>
      </x:c>
      <x:c r="H321" s="7">
        <x:f>IF(OR(E321="",F321="Complete"),"", MAX(0, TODAY()-E321))</x:f>
      </x:c>
      <x:c r="I321" s="6" t="inlineStr">
        <x:is>
          <x:t xml:space="preserve"/>
        </x:is>
      </x:c>
      <x:c r="J321" s="6" t="inlineStr">
        <x:is>
          <x:t xml:space="preserve"/>
        </x:is>
      </x:c>
    </x:row>
    <x:row r="322">
      <x:c r="A322" s="7">
        <x:f>IF(C322="","", "ACT-"&amp;TEXT(ROW()-1,"00000"))</x:f>
      </x:c>
      <x:c r="B322" s="7" t="inlineStr">
        <x:is>
          <x:t xml:space="preserve"/>
        </x:is>
      </x:c>
      <x:c r="C322" s="6" t="inlineStr">
        <x:is>
          <x:t xml:space="preserve"/>
        </x:is>
      </x:c>
      <x:c r="D322" s="6" t="inlineStr">
        <x:is>
          <x:t xml:space="preserve"/>
        </x:is>
      </x:c>
      <x:c r="E322" s="8" t="inlineStr">
        <x:is>
          <x:t xml:space="preserve"/>
        </x:is>
      </x:c>
      <x:c r="F322" s="7" t="inlineStr">
        <x:is>
          <x:t xml:space="preserve"/>
        </x:is>
      </x:c>
      <x:c r="G322" s="8" t="inlineStr">
        <x:is>
          <x:t xml:space="preserve"/>
        </x:is>
      </x:c>
      <x:c r="H322" s="7">
        <x:f>IF(OR(E322="",F322="Complete"),"", MAX(0, TODAY()-E322))</x:f>
      </x:c>
      <x:c r="I322" s="6" t="inlineStr">
        <x:is>
          <x:t xml:space="preserve"/>
        </x:is>
      </x:c>
      <x:c r="J322" s="6" t="inlineStr">
        <x:is>
          <x:t xml:space="preserve"/>
        </x:is>
      </x:c>
    </x:row>
    <x:row r="323">
      <x:c r="A323" s="7">
        <x:f>IF(C323="","", "ACT-"&amp;TEXT(ROW()-1,"00000"))</x:f>
      </x:c>
      <x:c r="B323" s="7" t="inlineStr">
        <x:is>
          <x:t xml:space="preserve"/>
        </x:is>
      </x:c>
      <x:c r="C323" s="6" t="inlineStr">
        <x:is>
          <x:t xml:space="preserve"/>
        </x:is>
      </x:c>
      <x:c r="D323" s="6" t="inlineStr">
        <x:is>
          <x:t xml:space="preserve"/>
        </x:is>
      </x:c>
      <x:c r="E323" s="8" t="inlineStr">
        <x:is>
          <x:t xml:space="preserve"/>
        </x:is>
      </x:c>
      <x:c r="F323" s="7" t="inlineStr">
        <x:is>
          <x:t xml:space="preserve"/>
        </x:is>
      </x:c>
      <x:c r="G323" s="8" t="inlineStr">
        <x:is>
          <x:t xml:space="preserve"/>
        </x:is>
      </x:c>
      <x:c r="H323" s="7">
        <x:f>IF(OR(E323="",F323="Complete"),"", MAX(0, TODAY()-E323))</x:f>
      </x:c>
      <x:c r="I323" s="6" t="inlineStr">
        <x:is>
          <x:t xml:space="preserve"/>
        </x:is>
      </x:c>
      <x:c r="J323" s="6" t="inlineStr">
        <x:is>
          <x:t xml:space="preserve"/>
        </x:is>
      </x:c>
    </x:row>
    <x:row r="324">
      <x:c r="A324" s="7">
        <x:f>IF(C324="","", "ACT-"&amp;TEXT(ROW()-1,"00000"))</x:f>
      </x:c>
      <x:c r="B324" s="7" t="inlineStr">
        <x:is>
          <x:t xml:space="preserve"/>
        </x:is>
      </x:c>
      <x:c r="C324" s="6" t="inlineStr">
        <x:is>
          <x:t xml:space="preserve"/>
        </x:is>
      </x:c>
      <x:c r="D324" s="6" t="inlineStr">
        <x:is>
          <x:t xml:space="preserve"/>
        </x:is>
      </x:c>
      <x:c r="E324" s="8" t="inlineStr">
        <x:is>
          <x:t xml:space="preserve"/>
        </x:is>
      </x:c>
      <x:c r="F324" s="7" t="inlineStr">
        <x:is>
          <x:t xml:space="preserve"/>
        </x:is>
      </x:c>
      <x:c r="G324" s="8" t="inlineStr">
        <x:is>
          <x:t xml:space="preserve"/>
        </x:is>
      </x:c>
      <x:c r="H324" s="7">
        <x:f>IF(OR(E324="",F324="Complete"),"", MAX(0, TODAY()-E324))</x:f>
      </x:c>
      <x:c r="I324" s="6" t="inlineStr">
        <x:is>
          <x:t xml:space="preserve"/>
        </x:is>
      </x:c>
      <x:c r="J324" s="6" t="inlineStr">
        <x:is>
          <x:t xml:space="preserve"/>
        </x:is>
      </x:c>
    </x:row>
    <x:row r="325">
      <x:c r="A325" s="7">
        <x:f>IF(C325="","", "ACT-"&amp;TEXT(ROW()-1,"00000"))</x:f>
      </x:c>
      <x:c r="B325" s="7" t="inlineStr">
        <x:is>
          <x:t xml:space="preserve"/>
        </x:is>
      </x:c>
      <x:c r="C325" s="6" t="inlineStr">
        <x:is>
          <x:t xml:space="preserve"/>
        </x:is>
      </x:c>
      <x:c r="D325" s="6" t="inlineStr">
        <x:is>
          <x:t xml:space="preserve"/>
        </x:is>
      </x:c>
      <x:c r="E325" s="8" t="inlineStr">
        <x:is>
          <x:t xml:space="preserve"/>
        </x:is>
      </x:c>
      <x:c r="F325" s="7" t="inlineStr">
        <x:is>
          <x:t xml:space="preserve"/>
        </x:is>
      </x:c>
      <x:c r="G325" s="8" t="inlineStr">
        <x:is>
          <x:t xml:space="preserve"/>
        </x:is>
      </x:c>
      <x:c r="H325" s="7">
        <x:f>IF(OR(E325="",F325="Complete"),"", MAX(0, TODAY()-E325))</x:f>
      </x:c>
      <x:c r="I325" s="6" t="inlineStr">
        <x:is>
          <x:t xml:space="preserve"/>
        </x:is>
      </x:c>
      <x:c r="J325" s="6" t="inlineStr">
        <x:is>
          <x:t xml:space="preserve"/>
        </x:is>
      </x:c>
    </x:row>
    <x:row r="326">
      <x:c r="A326" s="7">
        <x:f>IF(C326="","", "ACT-"&amp;TEXT(ROW()-1,"00000"))</x:f>
      </x:c>
      <x:c r="B326" s="7" t="inlineStr">
        <x:is>
          <x:t xml:space="preserve"/>
        </x:is>
      </x:c>
      <x:c r="C326" s="6" t="inlineStr">
        <x:is>
          <x:t xml:space="preserve"/>
        </x:is>
      </x:c>
      <x:c r="D326" s="6" t="inlineStr">
        <x:is>
          <x:t xml:space="preserve"/>
        </x:is>
      </x:c>
      <x:c r="E326" s="8" t="inlineStr">
        <x:is>
          <x:t xml:space="preserve"/>
        </x:is>
      </x:c>
      <x:c r="F326" s="7" t="inlineStr">
        <x:is>
          <x:t xml:space="preserve"/>
        </x:is>
      </x:c>
      <x:c r="G326" s="8" t="inlineStr">
        <x:is>
          <x:t xml:space="preserve"/>
        </x:is>
      </x:c>
      <x:c r="H326" s="7">
        <x:f>IF(OR(E326="",F326="Complete"),"", MAX(0, TODAY()-E326))</x:f>
      </x:c>
      <x:c r="I326" s="6" t="inlineStr">
        <x:is>
          <x:t xml:space="preserve"/>
        </x:is>
      </x:c>
      <x:c r="J326" s="6" t="inlineStr">
        <x:is>
          <x:t xml:space="preserve"/>
        </x:is>
      </x:c>
    </x:row>
    <x:row r="327">
      <x:c r="A327" s="7">
        <x:f>IF(C327="","", "ACT-"&amp;TEXT(ROW()-1,"00000"))</x:f>
      </x:c>
      <x:c r="B327" s="7" t="inlineStr">
        <x:is>
          <x:t xml:space="preserve"/>
        </x:is>
      </x:c>
      <x:c r="C327" s="6" t="inlineStr">
        <x:is>
          <x:t xml:space="preserve"/>
        </x:is>
      </x:c>
      <x:c r="D327" s="6" t="inlineStr">
        <x:is>
          <x:t xml:space="preserve"/>
        </x:is>
      </x:c>
      <x:c r="E327" s="8" t="inlineStr">
        <x:is>
          <x:t xml:space="preserve"/>
        </x:is>
      </x:c>
      <x:c r="F327" s="7" t="inlineStr">
        <x:is>
          <x:t xml:space="preserve"/>
        </x:is>
      </x:c>
      <x:c r="G327" s="8" t="inlineStr">
        <x:is>
          <x:t xml:space="preserve"/>
        </x:is>
      </x:c>
      <x:c r="H327" s="7">
        <x:f>IF(OR(E327="",F327="Complete"),"", MAX(0, TODAY()-E327))</x:f>
      </x:c>
      <x:c r="I327" s="6" t="inlineStr">
        <x:is>
          <x:t xml:space="preserve"/>
        </x:is>
      </x:c>
      <x:c r="J327" s="6" t="inlineStr">
        <x:is>
          <x:t xml:space="preserve"/>
        </x:is>
      </x:c>
    </x:row>
    <x:row r="328">
      <x:c r="A328" s="7">
        <x:f>IF(C328="","", "ACT-"&amp;TEXT(ROW()-1,"00000"))</x:f>
      </x:c>
      <x:c r="B328" s="7" t="inlineStr">
        <x:is>
          <x:t xml:space="preserve"/>
        </x:is>
      </x:c>
      <x:c r="C328" s="6" t="inlineStr">
        <x:is>
          <x:t xml:space="preserve"/>
        </x:is>
      </x:c>
      <x:c r="D328" s="6" t="inlineStr">
        <x:is>
          <x:t xml:space="preserve"/>
        </x:is>
      </x:c>
      <x:c r="E328" s="8" t="inlineStr">
        <x:is>
          <x:t xml:space="preserve"/>
        </x:is>
      </x:c>
      <x:c r="F328" s="7" t="inlineStr">
        <x:is>
          <x:t xml:space="preserve"/>
        </x:is>
      </x:c>
      <x:c r="G328" s="8" t="inlineStr">
        <x:is>
          <x:t xml:space="preserve"/>
        </x:is>
      </x:c>
      <x:c r="H328" s="7">
        <x:f>IF(OR(E328="",F328="Complete"),"", MAX(0, TODAY()-E328))</x:f>
      </x:c>
      <x:c r="I328" s="6" t="inlineStr">
        <x:is>
          <x:t xml:space="preserve"/>
        </x:is>
      </x:c>
      <x:c r="J328" s="6" t="inlineStr">
        <x:is>
          <x:t xml:space="preserve"/>
        </x:is>
      </x:c>
    </x:row>
    <x:row r="329">
      <x:c r="A329" s="7">
        <x:f>IF(C329="","", "ACT-"&amp;TEXT(ROW()-1,"00000"))</x:f>
      </x:c>
      <x:c r="B329" s="7" t="inlineStr">
        <x:is>
          <x:t xml:space="preserve"/>
        </x:is>
      </x:c>
      <x:c r="C329" s="6" t="inlineStr">
        <x:is>
          <x:t xml:space="preserve"/>
        </x:is>
      </x:c>
      <x:c r="D329" s="6" t="inlineStr">
        <x:is>
          <x:t xml:space="preserve"/>
        </x:is>
      </x:c>
      <x:c r="E329" s="8" t="inlineStr">
        <x:is>
          <x:t xml:space="preserve"/>
        </x:is>
      </x:c>
      <x:c r="F329" s="7" t="inlineStr">
        <x:is>
          <x:t xml:space="preserve"/>
        </x:is>
      </x:c>
      <x:c r="G329" s="8" t="inlineStr">
        <x:is>
          <x:t xml:space="preserve"/>
        </x:is>
      </x:c>
      <x:c r="H329" s="7">
        <x:f>IF(OR(E329="",F329="Complete"),"", MAX(0, TODAY()-E329))</x:f>
      </x:c>
      <x:c r="I329" s="6" t="inlineStr">
        <x:is>
          <x:t xml:space="preserve"/>
        </x:is>
      </x:c>
      <x:c r="J329" s="6" t="inlineStr">
        <x:is>
          <x:t xml:space="preserve"/>
        </x:is>
      </x:c>
    </x:row>
    <x:row r="330">
      <x:c r="A330" s="7">
        <x:f>IF(C330="","", "ACT-"&amp;TEXT(ROW()-1,"00000"))</x:f>
      </x:c>
      <x:c r="B330" s="7" t="inlineStr">
        <x:is>
          <x:t xml:space="preserve"/>
        </x:is>
      </x:c>
      <x:c r="C330" s="6" t="inlineStr">
        <x:is>
          <x:t xml:space="preserve"/>
        </x:is>
      </x:c>
      <x:c r="D330" s="6" t="inlineStr">
        <x:is>
          <x:t xml:space="preserve"/>
        </x:is>
      </x:c>
      <x:c r="E330" s="8" t="inlineStr">
        <x:is>
          <x:t xml:space="preserve"/>
        </x:is>
      </x:c>
      <x:c r="F330" s="7" t="inlineStr">
        <x:is>
          <x:t xml:space="preserve"/>
        </x:is>
      </x:c>
      <x:c r="G330" s="8" t="inlineStr">
        <x:is>
          <x:t xml:space="preserve"/>
        </x:is>
      </x:c>
      <x:c r="H330" s="7">
        <x:f>IF(OR(E330="",F330="Complete"),"", MAX(0, TODAY()-E330))</x:f>
      </x:c>
      <x:c r="I330" s="6" t="inlineStr">
        <x:is>
          <x:t xml:space="preserve"/>
        </x:is>
      </x:c>
      <x:c r="J330" s="6" t="inlineStr">
        <x:is>
          <x:t xml:space="preserve"/>
        </x:is>
      </x:c>
    </x:row>
    <x:row r="331">
      <x:c r="A331" s="7">
        <x:f>IF(C331="","", "ACT-"&amp;TEXT(ROW()-1,"00000"))</x:f>
      </x:c>
      <x:c r="B331" s="7" t="inlineStr">
        <x:is>
          <x:t xml:space="preserve"/>
        </x:is>
      </x:c>
      <x:c r="C331" s="6" t="inlineStr">
        <x:is>
          <x:t xml:space="preserve"/>
        </x:is>
      </x:c>
      <x:c r="D331" s="6" t="inlineStr">
        <x:is>
          <x:t xml:space="preserve"/>
        </x:is>
      </x:c>
      <x:c r="E331" s="8" t="inlineStr">
        <x:is>
          <x:t xml:space="preserve"/>
        </x:is>
      </x:c>
      <x:c r="F331" s="7" t="inlineStr">
        <x:is>
          <x:t xml:space="preserve"/>
        </x:is>
      </x:c>
      <x:c r="G331" s="8" t="inlineStr">
        <x:is>
          <x:t xml:space="preserve"/>
        </x:is>
      </x:c>
      <x:c r="H331" s="7">
        <x:f>IF(OR(E331="",F331="Complete"),"", MAX(0, TODAY()-E331))</x:f>
      </x:c>
      <x:c r="I331" s="6" t="inlineStr">
        <x:is>
          <x:t xml:space="preserve"/>
        </x:is>
      </x:c>
      <x:c r="J331" s="6" t="inlineStr">
        <x:is>
          <x:t xml:space="preserve"/>
        </x:is>
      </x:c>
    </x:row>
    <x:row r="332">
      <x:c r="A332" s="7">
        <x:f>IF(C332="","", "ACT-"&amp;TEXT(ROW()-1,"00000"))</x:f>
      </x:c>
      <x:c r="B332" s="7" t="inlineStr">
        <x:is>
          <x:t xml:space="preserve"/>
        </x:is>
      </x:c>
      <x:c r="C332" s="6" t="inlineStr">
        <x:is>
          <x:t xml:space="preserve"/>
        </x:is>
      </x:c>
      <x:c r="D332" s="6" t="inlineStr">
        <x:is>
          <x:t xml:space="preserve"/>
        </x:is>
      </x:c>
      <x:c r="E332" s="8" t="inlineStr">
        <x:is>
          <x:t xml:space="preserve"/>
        </x:is>
      </x:c>
      <x:c r="F332" s="7" t="inlineStr">
        <x:is>
          <x:t xml:space="preserve"/>
        </x:is>
      </x:c>
      <x:c r="G332" s="8" t="inlineStr">
        <x:is>
          <x:t xml:space="preserve"/>
        </x:is>
      </x:c>
      <x:c r="H332" s="7">
        <x:f>IF(OR(E332="",F332="Complete"),"", MAX(0, TODAY()-E332))</x:f>
      </x:c>
      <x:c r="I332" s="6" t="inlineStr">
        <x:is>
          <x:t xml:space="preserve"/>
        </x:is>
      </x:c>
      <x:c r="J332" s="6" t="inlineStr">
        <x:is>
          <x:t xml:space="preserve"/>
        </x:is>
      </x:c>
    </x:row>
    <x:row r="333">
      <x:c r="A333" s="7">
        <x:f>IF(C333="","", "ACT-"&amp;TEXT(ROW()-1,"00000"))</x:f>
      </x:c>
      <x:c r="B333" s="7" t="inlineStr">
        <x:is>
          <x:t xml:space="preserve"/>
        </x:is>
      </x:c>
      <x:c r="C333" s="6" t="inlineStr">
        <x:is>
          <x:t xml:space="preserve"/>
        </x:is>
      </x:c>
      <x:c r="D333" s="6" t="inlineStr">
        <x:is>
          <x:t xml:space="preserve"/>
        </x:is>
      </x:c>
      <x:c r="E333" s="8" t="inlineStr">
        <x:is>
          <x:t xml:space="preserve"/>
        </x:is>
      </x:c>
      <x:c r="F333" s="7" t="inlineStr">
        <x:is>
          <x:t xml:space="preserve"/>
        </x:is>
      </x:c>
      <x:c r="G333" s="8" t="inlineStr">
        <x:is>
          <x:t xml:space="preserve"/>
        </x:is>
      </x:c>
      <x:c r="H333" s="7">
        <x:f>IF(OR(E333="",F333="Complete"),"", MAX(0, TODAY()-E333))</x:f>
      </x:c>
      <x:c r="I333" s="6" t="inlineStr">
        <x:is>
          <x:t xml:space="preserve"/>
        </x:is>
      </x:c>
      <x:c r="J333" s="6" t="inlineStr">
        <x:is>
          <x:t xml:space="preserve"/>
        </x:is>
      </x:c>
    </x:row>
    <x:row r="334">
      <x:c r="A334" s="7">
        <x:f>IF(C334="","", "ACT-"&amp;TEXT(ROW()-1,"00000"))</x:f>
      </x:c>
      <x:c r="B334" s="7" t="inlineStr">
        <x:is>
          <x:t xml:space="preserve"/>
        </x:is>
      </x:c>
      <x:c r="C334" s="6" t="inlineStr">
        <x:is>
          <x:t xml:space="preserve"/>
        </x:is>
      </x:c>
      <x:c r="D334" s="6" t="inlineStr">
        <x:is>
          <x:t xml:space="preserve"/>
        </x:is>
      </x:c>
      <x:c r="E334" s="8" t="inlineStr">
        <x:is>
          <x:t xml:space="preserve"/>
        </x:is>
      </x:c>
      <x:c r="F334" s="7" t="inlineStr">
        <x:is>
          <x:t xml:space="preserve"/>
        </x:is>
      </x:c>
      <x:c r="G334" s="8" t="inlineStr">
        <x:is>
          <x:t xml:space="preserve"/>
        </x:is>
      </x:c>
      <x:c r="H334" s="7">
        <x:f>IF(OR(E334="",F334="Complete"),"", MAX(0, TODAY()-E334))</x:f>
      </x:c>
      <x:c r="I334" s="6" t="inlineStr">
        <x:is>
          <x:t xml:space="preserve"/>
        </x:is>
      </x:c>
      <x:c r="J334" s="6" t="inlineStr">
        <x:is>
          <x:t xml:space="preserve"/>
        </x:is>
      </x:c>
    </x:row>
    <x:row r="335">
      <x:c r="A335" s="7">
        <x:f>IF(C335="","", "ACT-"&amp;TEXT(ROW()-1,"00000"))</x:f>
      </x:c>
      <x:c r="B335" s="7" t="inlineStr">
        <x:is>
          <x:t xml:space="preserve"/>
        </x:is>
      </x:c>
      <x:c r="C335" s="6" t="inlineStr">
        <x:is>
          <x:t xml:space="preserve"/>
        </x:is>
      </x:c>
      <x:c r="D335" s="6" t="inlineStr">
        <x:is>
          <x:t xml:space="preserve"/>
        </x:is>
      </x:c>
      <x:c r="E335" s="8" t="inlineStr">
        <x:is>
          <x:t xml:space="preserve"/>
        </x:is>
      </x:c>
      <x:c r="F335" s="7" t="inlineStr">
        <x:is>
          <x:t xml:space="preserve"/>
        </x:is>
      </x:c>
      <x:c r="G335" s="8" t="inlineStr">
        <x:is>
          <x:t xml:space="preserve"/>
        </x:is>
      </x:c>
      <x:c r="H335" s="7">
        <x:f>IF(OR(E335="",F335="Complete"),"", MAX(0, TODAY()-E335))</x:f>
      </x:c>
      <x:c r="I335" s="6" t="inlineStr">
        <x:is>
          <x:t xml:space="preserve"/>
        </x:is>
      </x:c>
      <x:c r="J335" s="6" t="inlineStr">
        <x:is>
          <x:t xml:space="preserve"/>
        </x:is>
      </x:c>
    </x:row>
    <x:row r="336">
      <x:c r="A336" s="7">
        <x:f>IF(C336="","", "ACT-"&amp;TEXT(ROW()-1,"00000"))</x:f>
      </x:c>
      <x:c r="B336" s="7" t="inlineStr">
        <x:is>
          <x:t xml:space="preserve"/>
        </x:is>
      </x:c>
      <x:c r="C336" s="6" t="inlineStr">
        <x:is>
          <x:t xml:space="preserve"/>
        </x:is>
      </x:c>
      <x:c r="D336" s="6" t="inlineStr">
        <x:is>
          <x:t xml:space="preserve"/>
        </x:is>
      </x:c>
      <x:c r="E336" s="8" t="inlineStr">
        <x:is>
          <x:t xml:space="preserve"/>
        </x:is>
      </x:c>
      <x:c r="F336" s="7" t="inlineStr">
        <x:is>
          <x:t xml:space="preserve"/>
        </x:is>
      </x:c>
      <x:c r="G336" s="8" t="inlineStr">
        <x:is>
          <x:t xml:space="preserve"/>
        </x:is>
      </x:c>
      <x:c r="H336" s="7">
        <x:f>IF(OR(E336="",F336="Complete"),"", MAX(0, TODAY()-E336))</x:f>
      </x:c>
      <x:c r="I336" s="6" t="inlineStr">
        <x:is>
          <x:t xml:space="preserve"/>
        </x:is>
      </x:c>
      <x:c r="J336" s="6" t="inlineStr">
        <x:is>
          <x:t xml:space="preserve"/>
        </x:is>
      </x:c>
    </x:row>
    <x:row r="337">
      <x:c r="A337" s="7">
        <x:f>IF(C337="","", "ACT-"&amp;TEXT(ROW()-1,"00000"))</x:f>
      </x:c>
      <x:c r="B337" s="7" t="inlineStr">
        <x:is>
          <x:t xml:space="preserve"/>
        </x:is>
      </x:c>
      <x:c r="C337" s="6" t="inlineStr">
        <x:is>
          <x:t xml:space="preserve"/>
        </x:is>
      </x:c>
      <x:c r="D337" s="6" t="inlineStr">
        <x:is>
          <x:t xml:space="preserve"/>
        </x:is>
      </x:c>
      <x:c r="E337" s="8" t="inlineStr">
        <x:is>
          <x:t xml:space="preserve"/>
        </x:is>
      </x:c>
      <x:c r="F337" s="7" t="inlineStr">
        <x:is>
          <x:t xml:space="preserve"/>
        </x:is>
      </x:c>
      <x:c r="G337" s="8" t="inlineStr">
        <x:is>
          <x:t xml:space="preserve"/>
        </x:is>
      </x:c>
      <x:c r="H337" s="7">
        <x:f>IF(OR(E337="",F337="Complete"),"", MAX(0, TODAY()-E337))</x:f>
      </x:c>
      <x:c r="I337" s="6" t="inlineStr">
        <x:is>
          <x:t xml:space="preserve"/>
        </x:is>
      </x:c>
      <x:c r="J337" s="6" t="inlineStr">
        <x:is>
          <x:t xml:space="preserve"/>
        </x:is>
      </x:c>
    </x:row>
    <x:row r="338">
      <x:c r="A338" s="7">
        <x:f>IF(C338="","", "ACT-"&amp;TEXT(ROW()-1,"00000"))</x:f>
      </x:c>
      <x:c r="B338" s="7" t="inlineStr">
        <x:is>
          <x:t xml:space="preserve"/>
        </x:is>
      </x:c>
      <x:c r="C338" s="6" t="inlineStr">
        <x:is>
          <x:t xml:space="preserve"/>
        </x:is>
      </x:c>
      <x:c r="D338" s="6" t="inlineStr">
        <x:is>
          <x:t xml:space="preserve"/>
        </x:is>
      </x:c>
      <x:c r="E338" s="8" t="inlineStr">
        <x:is>
          <x:t xml:space="preserve"/>
        </x:is>
      </x:c>
      <x:c r="F338" s="7" t="inlineStr">
        <x:is>
          <x:t xml:space="preserve"/>
        </x:is>
      </x:c>
      <x:c r="G338" s="8" t="inlineStr">
        <x:is>
          <x:t xml:space="preserve"/>
        </x:is>
      </x:c>
      <x:c r="H338" s="7">
        <x:f>IF(OR(E338="",F338="Complete"),"", MAX(0, TODAY()-E338))</x:f>
      </x:c>
      <x:c r="I338" s="6" t="inlineStr">
        <x:is>
          <x:t xml:space="preserve"/>
        </x:is>
      </x:c>
      <x:c r="J338" s="6" t="inlineStr">
        <x:is>
          <x:t xml:space="preserve"/>
        </x:is>
      </x:c>
    </x:row>
    <x:row r="339">
      <x:c r="A339" s="7">
        <x:f>IF(C339="","", "ACT-"&amp;TEXT(ROW()-1,"00000"))</x:f>
      </x:c>
      <x:c r="B339" s="7" t="inlineStr">
        <x:is>
          <x:t xml:space="preserve"/>
        </x:is>
      </x:c>
      <x:c r="C339" s="6" t="inlineStr">
        <x:is>
          <x:t xml:space="preserve"/>
        </x:is>
      </x:c>
      <x:c r="D339" s="6" t="inlineStr">
        <x:is>
          <x:t xml:space="preserve"/>
        </x:is>
      </x:c>
      <x:c r="E339" s="8" t="inlineStr">
        <x:is>
          <x:t xml:space="preserve"/>
        </x:is>
      </x:c>
      <x:c r="F339" s="7" t="inlineStr">
        <x:is>
          <x:t xml:space="preserve"/>
        </x:is>
      </x:c>
      <x:c r="G339" s="8" t="inlineStr">
        <x:is>
          <x:t xml:space="preserve"/>
        </x:is>
      </x:c>
      <x:c r="H339" s="7">
        <x:f>IF(OR(E339="",F339="Complete"),"", MAX(0, TODAY()-E339))</x:f>
      </x:c>
      <x:c r="I339" s="6" t="inlineStr">
        <x:is>
          <x:t xml:space="preserve"/>
        </x:is>
      </x:c>
      <x:c r="J339" s="6" t="inlineStr">
        <x:is>
          <x:t xml:space="preserve"/>
        </x:is>
      </x:c>
    </x:row>
    <x:row r="340">
      <x:c r="A340" s="7">
        <x:f>IF(C340="","", "ACT-"&amp;TEXT(ROW()-1,"00000"))</x:f>
      </x:c>
      <x:c r="B340" s="7" t="inlineStr">
        <x:is>
          <x:t xml:space="preserve"/>
        </x:is>
      </x:c>
      <x:c r="C340" s="6" t="inlineStr">
        <x:is>
          <x:t xml:space="preserve"/>
        </x:is>
      </x:c>
      <x:c r="D340" s="6" t="inlineStr">
        <x:is>
          <x:t xml:space="preserve"/>
        </x:is>
      </x:c>
      <x:c r="E340" s="8" t="inlineStr">
        <x:is>
          <x:t xml:space="preserve"/>
        </x:is>
      </x:c>
      <x:c r="F340" s="7" t="inlineStr">
        <x:is>
          <x:t xml:space="preserve"/>
        </x:is>
      </x:c>
      <x:c r="G340" s="8" t="inlineStr">
        <x:is>
          <x:t xml:space="preserve"/>
        </x:is>
      </x:c>
      <x:c r="H340" s="7">
        <x:f>IF(OR(E340="",F340="Complete"),"", MAX(0, TODAY()-E340))</x:f>
      </x:c>
      <x:c r="I340" s="6" t="inlineStr">
        <x:is>
          <x:t xml:space="preserve"/>
        </x:is>
      </x:c>
      <x:c r="J340" s="6" t="inlineStr">
        <x:is>
          <x:t xml:space="preserve"/>
        </x:is>
      </x:c>
    </x:row>
    <x:row r="341">
      <x:c r="A341" s="7">
        <x:f>IF(C341="","", "ACT-"&amp;TEXT(ROW()-1,"00000"))</x:f>
      </x:c>
      <x:c r="B341" s="7" t="inlineStr">
        <x:is>
          <x:t xml:space="preserve"/>
        </x:is>
      </x:c>
      <x:c r="C341" s="6" t="inlineStr">
        <x:is>
          <x:t xml:space="preserve"/>
        </x:is>
      </x:c>
      <x:c r="D341" s="6" t="inlineStr">
        <x:is>
          <x:t xml:space="preserve"/>
        </x:is>
      </x:c>
      <x:c r="E341" s="8" t="inlineStr">
        <x:is>
          <x:t xml:space="preserve"/>
        </x:is>
      </x:c>
      <x:c r="F341" s="7" t="inlineStr">
        <x:is>
          <x:t xml:space="preserve"/>
        </x:is>
      </x:c>
      <x:c r="G341" s="8" t="inlineStr">
        <x:is>
          <x:t xml:space="preserve"/>
        </x:is>
      </x:c>
      <x:c r="H341" s="7">
        <x:f>IF(OR(E341="",F341="Complete"),"", MAX(0, TODAY()-E341))</x:f>
      </x:c>
      <x:c r="I341" s="6" t="inlineStr">
        <x:is>
          <x:t xml:space="preserve"/>
        </x:is>
      </x:c>
      <x:c r="J341" s="6" t="inlineStr">
        <x:is>
          <x:t xml:space="preserve"/>
        </x:is>
      </x:c>
    </x:row>
    <x:row r="342">
      <x:c r="A342" s="7">
        <x:f>IF(C342="","", "ACT-"&amp;TEXT(ROW()-1,"00000"))</x:f>
      </x:c>
      <x:c r="B342" s="7" t="inlineStr">
        <x:is>
          <x:t xml:space="preserve"/>
        </x:is>
      </x:c>
      <x:c r="C342" s="6" t="inlineStr">
        <x:is>
          <x:t xml:space="preserve"/>
        </x:is>
      </x:c>
      <x:c r="D342" s="6" t="inlineStr">
        <x:is>
          <x:t xml:space="preserve"/>
        </x:is>
      </x:c>
      <x:c r="E342" s="8" t="inlineStr">
        <x:is>
          <x:t xml:space="preserve"/>
        </x:is>
      </x:c>
      <x:c r="F342" s="7" t="inlineStr">
        <x:is>
          <x:t xml:space="preserve"/>
        </x:is>
      </x:c>
      <x:c r="G342" s="8" t="inlineStr">
        <x:is>
          <x:t xml:space="preserve"/>
        </x:is>
      </x:c>
      <x:c r="H342" s="7">
        <x:f>IF(OR(E342="",F342="Complete"),"", MAX(0, TODAY()-E342))</x:f>
      </x:c>
      <x:c r="I342" s="6" t="inlineStr">
        <x:is>
          <x:t xml:space="preserve"/>
        </x:is>
      </x:c>
      <x:c r="J342" s="6" t="inlineStr">
        <x:is>
          <x:t xml:space="preserve"/>
        </x:is>
      </x:c>
    </x:row>
    <x:row r="343">
      <x:c r="A343" s="7">
        <x:f>IF(C343="","", "ACT-"&amp;TEXT(ROW()-1,"00000"))</x:f>
      </x:c>
      <x:c r="B343" s="7" t="inlineStr">
        <x:is>
          <x:t xml:space="preserve"/>
        </x:is>
      </x:c>
      <x:c r="C343" s="6" t="inlineStr">
        <x:is>
          <x:t xml:space="preserve"/>
        </x:is>
      </x:c>
      <x:c r="D343" s="6" t="inlineStr">
        <x:is>
          <x:t xml:space="preserve"/>
        </x:is>
      </x:c>
      <x:c r="E343" s="8" t="inlineStr">
        <x:is>
          <x:t xml:space="preserve"/>
        </x:is>
      </x:c>
      <x:c r="F343" s="7" t="inlineStr">
        <x:is>
          <x:t xml:space="preserve"/>
        </x:is>
      </x:c>
      <x:c r="G343" s="8" t="inlineStr">
        <x:is>
          <x:t xml:space="preserve"/>
        </x:is>
      </x:c>
      <x:c r="H343" s="7">
        <x:f>IF(OR(E343="",F343="Complete"),"", MAX(0, TODAY()-E343))</x:f>
      </x:c>
      <x:c r="I343" s="6" t="inlineStr">
        <x:is>
          <x:t xml:space="preserve"/>
        </x:is>
      </x:c>
      <x:c r="J343" s="6" t="inlineStr">
        <x:is>
          <x:t xml:space="preserve"/>
        </x:is>
      </x:c>
    </x:row>
    <x:row r="344">
      <x:c r="A344" s="7">
        <x:f>IF(C344="","", "ACT-"&amp;TEXT(ROW()-1,"00000"))</x:f>
      </x:c>
      <x:c r="B344" s="7" t="inlineStr">
        <x:is>
          <x:t xml:space="preserve"/>
        </x:is>
      </x:c>
      <x:c r="C344" s="6" t="inlineStr">
        <x:is>
          <x:t xml:space="preserve"/>
        </x:is>
      </x:c>
      <x:c r="D344" s="6" t="inlineStr">
        <x:is>
          <x:t xml:space="preserve"/>
        </x:is>
      </x:c>
      <x:c r="E344" s="8" t="inlineStr">
        <x:is>
          <x:t xml:space="preserve"/>
        </x:is>
      </x:c>
      <x:c r="F344" s="7" t="inlineStr">
        <x:is>
          <x:t xml:space="preserve"/>
        </x:is>
      </x:c>
      <x:c r="G344" s="8" t="inlineStr">
        <x:is>
          <x:t xml:space="preserve"/>
        </x:is>
      </x:c>
      <x:c r="H344" s="7">
        <x:f>IF(OR(E344="",F344="Complete"),"", MAX(0, TODAY()-E344))</x:f>
      </x:c>
      <x:c r="I344" s="6" t="inlineStr">
        <x:is>
          <x:t xml:space="preserve"/>
        </x:is>
      </x:c>
      <x:c r="J344" s="6" t="inlineStr">
        <x:is>
          <x:t xml:space="preserve"/>
        </x:is>
      </x:c>
    </x:row>
    <x:row r="345">
      <x:c r="A345" s="7">
        <x:f>IF(C345="","", "ACT-"&amp;TEXT(ROW()-1,"00000"))</x:f>
      </x:c>
      <x:c r="B345" s="7" t="inlineStr">
        <x:is>
          <x:t xml:space="preserve"/>
        </x:is>
      </x:c>
      <x:c r="C345" s="6" t="inlineStr">
        <x:is>
          <x:t xml:space="preserve"/>
        </x:is>
      </x:c>
      <x:c r="D345" s="6" t="inlineStr">
        <x:is>
          <x:t xml:space="preserve"/>
        </x:is>
      </x:c>
      <x:c r="E345" s="8" t="inlineStr">
        <x:is>
          <x:t xml:space="preserve"/>
        </x:is>
      </x:c>
      <x:c r="F345" s="7" t="inlineStr">
        <x:is>
          <x:t xml:space="preserve"/>
        </x:is>
      </x:c>
      <x:c r="G345" s="8" t="inlineStr">
        <x:is>
          <x:t xml:space="preserve"/>
        </x:is>
      </x:c>
      <x:c r="H345" s="7">
        <x:f>IF(OR(E345="",F345="Complete"),"", MAX(0, TODAY()-E345))</x:f>
      </x:c>
      <x:c r="I345" s="6" t="inlineStr">
        <x:is>
          <x:t xml:space="preserve"/>
        </x:is>
      </x:c>
      <x:c r="J345" s="6" t="inlineStr">
        <x:is>
          <x:t xml:space="preserve"/>
        </x:is>
      </x:c>
    </x:row>
    <x:row r="346">
      <x:c r="A346" s="7">
        <x:f>IF(C346="","", "ACT-"&amp;TEXT(ROW()-1,"00000"))</x:f>
      </x:c>
      <x:c r="B346" s="7" t="inlineStr">
        <x:is>
          <x:t xml:space="preserve"/>
        </x:is>
      </x:c>
      <x:c r="C346" s="6" t="inlineStr">
        <x:is>
          <x:t xml:space="preserve"/>
        </x:is>
      </x:c>
      <x:c r="D346" s="6" t="inlineStr">
        <x:is>
          <x:t xml:space="preserve"/>
        </x:is>
      </x:c>
      <x:c r="E346" s="8" t="inlineStr">
        <x:is>
          <x:t xml:space="preserve"/>
        </x:is>
      </x:c>
      <x:c r="F346" s="7" t="inlineStr">
        <x:is>
          <x:t xml:space="preserve"/>
        </x:is>
      </x:c>
      <x:c r="G346" s="8" t="inlineStr">
        <x:is>
          <x:t xml:space="preserve"/>
        </x:is>
      </x:c>
      <x:c r="H346" s="7">
        <x:f>IF(OR(E346="",F346="Complete"),"", MAX(0, TODAY()-E346))</x:f>
      </x:c>
      <x:c r="I346" s="6" t="inlineStr">
        <x:is>
          <x:t xml:space="preserve"/>
        </x:is>
      </x:c>
      <x:c r="J346" s="6" t="inlineStr">
        <x:is>
          <x:t xml:space="preserve"/>
        </x:is>
      </x:c>
    </x:row>
    <x:row r="347">
      <x:c r="A347" s="7">
        <x:f>IF(C347="","", "ACT-"&amp;TEXT(ROW()-1,"00000"))</x:f>
      </x:c>
      <x:c r="B347" s="7" t="inlineStr">
        <x:is>
          <x:t xml:space="preserve"/>
        </x:is>
      </x:c>
      <x:c r="C347" s="6" t="inlineStr">
        <x:is>
          <x:t xml:space="preserve"/>
        </x:is>
      </x:c>
      <x:c r="D347" s="6" t="inlineStr">
        <x:is>
          <x:t xml:space="preserve"/>
        </x:is>
      </x:c>
      <x:c r="E347" s="8" t="inlineStr">
        <x:is>
          <x:t xml:space="preserve"/>
        </x:is>
      </x:c>
      <x:c r="F347" s="7" t="inlineStr">
        <x:is>
          <x:t xml:space="preserve"/>
        </x:is>
      </x:c>
      <x:c r="G347" s="8" t="inlineStr">
        <x:is>
          <x:t xml:space="preserve"/>
        </x:is>
      </x:c>
      <x:c r="H347" s="7">
        <x:f>IF(OR(E347="",F347="Complete"),"", MAX(0, TODAY()-E347))</x:f>
      </x:c>
      <x:c r="I347" s="6" t="inlineStr">
        <x:is>
          <x:t xml:space="preserve"/>
        </x:is>
      </x:c>
      <x:c r="J347" s="6" t="inlineStr">
        <x:is>
          <x:t xml:space="preserve"/>
        </x:is>
      </x:c>
    </x:row>
    <x:row r="348">
      <x:c r="A348" s="7">
        <x:f>IF(C348="","", "ACT-"&amp;TEXT(ROW()-1,"00000"))</x:f>
      </x:c>
      <x:c r="B348" s="7" t="inlineStr">
        <x:is>
          <x:t xml:space="preserve"/>
        </x:is>
      </x:c>
      <x:c r="C348" s="6" t="inlineStr">
        <x:is>
          <x:t xml:space="preserve"/>
        </x:is>
      </x:c>
      <x:c r="D348" s="6" t="inlineStr">
        <x:is>
          <x:t xml:space="preserve"/>
        </x:is>
      </x:c>
      <x:c r="E348" s="8" t="inlineStr">
        <x:is>
          <x:t xml:space="preserve"/>
        </x:is>
      </x:c>
      <x:c r="F348" s="7" t="inlineStr">
        <x:is>
          <x:t xml:space="preserve"/>
        </x:is>
      </x:c>
      <x:c r="G348" s="8" t="inlineStr">
        <x:is>
          <x:t xml:space="preserve"/>
        </x:is>
      </x:c>
      <x:c r="H348" s="7">
        <x:f>IF(OR(E348="",F348="Complete"),"", MAX(0, TODAY()-E348))</x:f>
      </x:c>
      <x:c r="I348" s="6" t="inlineStr">
        <x:is>
          <x:t xml:space="preserve"/>
        </x:is>
      </x:c>
      <x:c r="J348" s="6" t="inlineStr">
        <x:is>
          <x:t xml:space="preserve"/>
        </x:is>
      </x:c>
    </x:row>
    <x:row r="349">
      <x:c r="A349" s="7">
        <x:f>IF(C349="","", "ACT-"&amp;TEXT(ROW()-1,"00000"))</x:f>
      </x:c>
      <x:c r="B349" s="7" t="inlineStr">
        <x:is>
          <x:t xml:space="preserve"/>
        </x:is>
      </x:c>
      <x:c r="C349" s="6" t="inlineStr">
        <x:is>
          <x:t xml:space="preserve"/>
        </x:is>
      </x:c>
      <x:c r="D349" s="6" t="inlineStr">
        <x:is>
          <x:t xml:space="preserve"/>
        </x:is>
      </x:c>
      <x:c r="E349" s="8" t="inlineStr">
        <x:is>
          <x:t xml:space="preserve"/>
        </x:is>
      </x:c>
      <x:c r="F349" s="7" t="inlineStr">
        <x:is>
          <x:t xml:space="preserve"/>
        </x:is>
      </x:c>
      <x:c r="G349" s="8" t="inlineStr">
        <x:is>
          <x:t xml:space="preserve"/>
        </x:is>
      </x:c>
      <x:c r="H349" s="7">
        <x:f>IF(OR(E349="",F349="Complete"),"", MAX(0, TODAY()-E349))</x:f>
      </x:c>
      <x:c r="I349" s="6" t="inlineStr">
        <x:is>
          <x:t xml:space="preserve"/>
        </x:is>
      </x:c>
      <x:c r="J349" s="6" t="inlineStr">
        <x:is>
          <x:t xml:space="preserve"/>
        </x:is>
      </x:c>
    </x:row>
    <x:row r="350">
      <x:c r="A350" s="7">
        <x:f>IF(C350="","", "ACT-"&amp;TEXT(ROW()-1,"00000"))</x:f>
      </x:c>
      <x:c r="B350" s="7" t="inlineStr">
        <x:is>
          <x:t xml:space="preserve"/>
        </x:is>
      </x:c>
      <x:c r="C350" s="6" t="inlineStr">
        <x:is>
          <x:t xml:space="preserve"/>
        </x:is>
      </x:c>
      <x:c r="D350" s="6" t="inlineStr">
        <x:is>
          <x:t xml:space="preserve"/>
        </x:is>
      </x:c>
      <x:c r="E350" s="8" t="inlineStr">
        <x:is>
          <x:t xml:space="preserve"/>
        </x:is>
      </x:c>
      <x:c r="F350" s="7" t="inlineStr">
        <x:is>
          <x:t xml:space="preserve"/>
        </x:is>
      </x:c>
      <x:c r="G350" s="8" t="inlineStr">
        <x:is>
          <x:t xml:space="preserve"/>
        </x:is>
      </x:c>
      <x:c r="H350" s="7">
        <x:f>IF(OR(E350="",F350="Complete"),"", MAX(0, TODAY()-E350))</x:f>
      </x:c>
      <x:c r="I350" s="6" t="inlineStr">
        <x:is>
          <x:t xml:space="preserve"/>
        </x:is>
      </x:c>
      <x:c r="J350" s="6" t="inlineStr">
        <x:is>
          <x:t xml:space="preserve"/>
        </x:is>
      </x:c>
    </x:row>
    <x:row r="351">
      <x:c r="A351" s="7">
        <x:f>IF(C351="","", "ACT-"&amp;TEXT(ROW()-1,"00000"))</x:f>
      </x:c>
      <x:c r="B351" s="7" t="inlineStr">
        <x:is>
          <x:t xml:space="preserve"/>
        </x:is>
      </x:c>
      <x:c r="C351" s="6" t="inlineStr">
        <x:is>
          <x:t xml:space="preserve"/>
        </x:is>
      </x:c>
      <x:c r="D351" s="6" t="inlineStr">
        <x:is>
          <x:t xml:space="preserve"/>
        </x:is>
      </x:c>
      <x:c r="E351" s="8" t="inlineStr">
        <x:is>
          <x:t xml:space="preserve"/>
        </x:is>
      </x:c>
      <x:c r="F351" s="7" t="inlineStr">
        <x:is>
          <x:t xml:space="preserve"/>
        </x:is>
      </x:c>
      <x:c r="G351" s="8" t="inlineStr">
        <x:is>
          <x:t xml:space="preserve"/>
        </x:is>
      </x:c>
      <x:c r="H351" s="7">
        <x:f>IF(OR(E351="",F351="Complete"),"", MAX(0, TODAY()-E351))</x:f>
      </x:c>
      <x:c r="I351" s="6" t="inlineStr">
        <x:is>
          <x:t xml:space="preserve"/>
        </x:is>
      </x:c>
      <x:c r="J351" s="6" t="inlineStr">
        <x:is>
          <x:t xml:space="preserve"/>
        </x:is>
      </x:c>
    </x:row>
    <x:row r="352">
      <x:c r="A352" s="7">
        <x:f>IF(C352="","", "ACT-"&amp;TEXT(ROW()-1,"00000"))</x:f>
      </x:c>
      <x:c r="B352" s="7" t="inlineStr">
        <x:is>
          <x:t xml:space="preserve"/>
        </x:is>
      </x:c>
      <x:c r="C352" s="6" t="inlineStr">
        <x:is>
          <x:t xml:space="preserve"/>
        </x:is>
      </x:c>
      <x:c r="D352" s="6" t="inlineStr">
        <x:is>
          <x:t xml:space="preserve"/>
        </x:is>
      </x:c>
      <x:c r="E352" s="8" t="inlineStr">
        <x:is>
          <x:t xml:space="preserve"/>
        </x:is>
      </x:c>
      <x:c r="F352" s="7" t="inlineStr">
        <x:is>
          <x:t xml:space="preserve"/>
        </x:is>
      </x:c>
      <x:c r="G352" s="8" t="inlineStr">
        <x:is>
          <x:t xml:space="preserve"/>
        </x:is>
      </x:c>
      <x:c r="H352" s="7">
        <x:f>IF(OR(E352="",F352="Complete"),"", MAX(0, TODAY()-E352))</x:f>
      </x:c>
      <x:c r="I352" s="6" t="inlineStr">
        <x:is>
          <x:t xml:space="preserve"/>
        </x:is>
      </x:c>
      <x:c r="J352" s="6" t="inlineStr">
        <x:is>
          <x:t xml:space="preserve"/>
        </x:is>
      </x:c>
    </x:row>
    <x:row r="353">
      <x:c r="A353" s="7">
        <x:f>IF(C353="","", "ACT-"&amp;TEXT(ROW()-1,"00000"))</x:f>
      </x:c>
      <x:c r="B353" s="7" t="inlineStr">
        <x:is>
          <x:t xml:space="preserve"/>
        </x:is>
      </x:c>
      <x:c r="C353" s="6" t="inlineStr">
        <x:is>
          <x:t xml:space="preserve"/>
        </x:is>
      </x:c>
      <x:c r="D353" s="6" t="inlineStr">
        <x:is>
          <x:t xml:space="preserve"/>
        </x:is>
      </x:c>
      <x:c r="E353" s="8" t="inlineStr">
        <x:is>
          <x:t xml:space="preserve"/>
        </x:is>
      </x:c>
      <x:c r="F353" s="7" t="inlineStr">
        <x:is>
          <x:t xml:space="preserve"/>
        </x:is>
      </x:c>
      <x:c r="G353" s="8" t="inlineStr">
        <x:is>
          <x:t xml:space="preserve"/>
        </x:is>
      </x:c>
      <x:c r="H353" s="7">
        <x:f>IF(OR(E353="",F353="Complete"),"", MAX(0, TODAY()-E353))</x:f>
      </x:c>
      <x:c r="I353" s="6" t="inlineStr">
        <x:is>
          <x:t xml:space="preserve"/>
        </x:is>
      </x:c>
      <x:c r="J353" s="6" t="inlineStr">
        <x:is>
          <x:t xml:space="preserve"/>
        </x:is>
      </x:c>
    </x:row>
    <x:row r="354">
      <x:c r="A354" s="7">
        <x:f>IF(C354="","", "ACT-"&amp;TEXT(ROW()-1,"00000"))</x:f>
      </x:c>
      <x:c r="B354" s="7" t="inlineStr">
        <x:is>
          <x:t xml:space="preserve"/>
        </x:is>
      </x:c>
      <x:c r="C354" s="6" t="inlineStr">
        <x:is>
          <x:t xml:space="preserve"/>
        </x:is>
      </x:c>
      <x:c r="D354" s="6" t="inlineStr">
        <x:is>
          <x:t xml:space="preserve"/>
        </x:is>
      </x:c>
      <x:c r="E354" s="8" t="inlineStr">
        <x:is>
          <x:t xml:space="preserve"/>
        </x:is>
      </x:c>
      <x:c r="F354" s="7" t="inlineStr">
        <x:is>
          <x:t xml:space="preserve"/>
        </x:is>
      </x:c>
      <x:c r="G354" s="8" t="inlineStr">
        <x:is>
          <x:t xml:space="preserve"/>
        </x:is>
      </x:c>
      <x:c r="H354" s="7">
        <x:f>IF(OR(E354="",F354="Complete"),"", MAX(0, TODAY()-E354))</x:f>
      </x:c>
      <x:c r="I354" s="6" t="inlineStr">
        <x:is>
          <x:t xml:space="preserve"/>
        </x:is>
      </x:c>
      <x:c r="J354" s="6" t="inlineStr">
        <x:is>
          <x:t xml:space="preserve"/>
        </x:is>
      </x:c>
    </x:row>
    <x:row r="355">
      <x:c r="A355" s="7">
        <x:f>IF(C355="","", "ACT-"&amp;TEXT(ROW()-1,"00000"))</x:f>
      </x:c>
      <x:c r="B355" s="7" t="inlineStr">
        <x:is>
          <x:t xml:space="preserve"/>
        </x:is>
      </x:c>
      <x:c r="C355" s="6" t="inlineStr">
        <x:is>
          <x:t xml:space="preserve"/>
        </x:is>
      </x:c>
      <x:c r="D355" s="6" t="inlineStr">
        <x:is>
          <x:t xml:space="preserve"/>
        </x:is>
      </x:c>
      <x:c r="E355" s="8" t="inlineStr">
        <x:is>
          <x:t xml:space="preserve"/>
        </x:is>
      </x:c>
      <x:c r="F355" s="7" t="inlineStr">
        <x:is>
          <x:t xml:space="preserve"/>
        </x:is>
      </x:c>
      <x:c r="G355" s="8" t="inlineStr">
        <x:is>
          <x:t xml:space="preserve"/>
        </x:is>
      </x:c>
      <x:c r="H355" s="7">
        <x:f>IF(OR(E355="",F355="Complete"),"", MAX(0, TODAY()-E355))</x:f>
      </x:c>
      <x:c r="I355" s="6" t="inlineStr">
        <x:is>
          <x:t xml:space="preserve"/>
        </x:is>
      </x:c>
      <x:c r="J355" s="6" t="inlineStr">
        <x:is>
          <x:t xml:space="preserve"/>
        </x:is>
      </x:c>
    </x:row>
    <x:row r="356">
      <x:c r="A356" s="7">
        <x:f>IF(C356="","", "ACT-"&amp;TEXT(ROW()-1,"00000"))</x:f>
      </x:c>
      <x:c r="B356" s="7" t="inlineStr">
        <x:is>
          <x:t xml:space="preserve"/>
        </x:is>
      </x:c>
      <x:c r="C356" s="6" t="inlineStr">
        <x:is>
          <x:t xml:space="preserve"/>
        </x:is>
      </x:c>
      <x:c r="D356" s="6" t="inlineStr">
        <x:is>
          <x:t xml:space="preserve"/>
        </x:is>
      </x:c>
      <x:c r="E356" s="8" t="inlineStr">
        <x:is>
          <x:t xml:space="preserve"/>
        </x:is>
      </x:c>
      <x:c r="F356" s="7" t="inlineStr">
        <x:is>
          <x:t xml:space="preserve"/>
        </x:is>
      </x:c>
      <x:c r="G356" s="8" t="inlineStr">
        <x:is>
          <x:t xml:space="preserve"/>
        </x:is>
      </x:c>
      <x:c r="H356" s="7">
        <x:f>IF(OR(E356="",F356="Complete"),"", MAX(0, TODAY()-E356))</x:f>
      </x:c>
      <x:c r="I356" s="6" t="inlineStr">
        <x:is>
          <x:t xml:space="preserve"/>
        </x:is>
      </x:c>
      <x:c r="J356" s="6" t="inlineStr">
        <x:is>
          <x:t xml:space="preserve"/>
        </x:is>
      </x:c>
    </x:row>
    <x:row r="357">
      <x:c r="A357" s="7">
        <x:f>IF(C357="","", "ACT-"&amp;TEXT(ROW()-1,"00000"))</x:f>
      </x:c>
      <x:c r="B357" s="7" t="inlineStr">
        <x:is>
          <x:t xml:space="preserve"/>
        </x:is>
      </x:c>
      <x:c r="C357" s="6" t="inlineStr">
        <x:is>
          <x:t xml:space="preserve"/>
        </x:is>
      </x:c>
      <x:c r="D357" s="6" t="inlineStr">
        <x:is>
          <x:t xml:space="preserve"/>
        </x:is>
      </x:c>
      <x:c r="E357" s="8" t="inlineStr">
        <x:is>
          <x:t xml:space="preserve"/>
        </x:is>
      </x:c>
      <x:c r="F357" s="7" t="inlineStr">
        <x:is>
          <x:t xml:space="preserve"/>
        </x:is>
      </x:c>
      <x:c r="G357" s="8" t="inlineStr">
        <x:is>
          <x:t xml:space="preserve"/>
        </x:is>
      </x:c>
      <x:c r="H357" s="7">
        <x:f>IF(OR(E357="",F357="Complete"),"", MAX(0, TODAY()-E357))</x:f>
      </x:c>
      <x:c r="I357" s="6" t="inlineStr">
        <x:is>
          <x:t xml:space="preserve"/>
        </x:is>
      </x:c>
      <x:c r="J357" s="6" t="inlineStr">
        <x:is>
          <x:t xml:space="preserve"/>
        </x:is>
      </x:c>
    </x:row>
    <x:row r="358">
      <x:c r="A358" s="7">
        <x:f>IF(C358="","", "ACT-"&amp;TEXT(ROW()-1,"00000"))</x:f>
      </x:c>
      <x:c r="B358" s="7" t="inlineStr">
        <x:is>
          <x:t xml:space="preserve"/>
        </x:is>
      </x:c>
      <x:c r="C358" s="6" t="inlineStr">
        <x:is>
          <x:t xml:space="preserve"/>
        </x:is>
      </x:c>
      <x:c r="D358" s="6" t="inlineStr">
        <x:is>
          <x:t xml:space="preserve"/>
        </x:is>
      </x:c>
      <x:c r="E358" s="8" t="inlineStr">
        <x:is>
          <x:t xml:space="preserve"/>
        </x:is>
      </x:c>
      <x:c r="F358" s="7" t="inlineStr">
        <x:is>
          <x:t xml:space="preserve"/>
        </x:is>
      </x:c>
      <x:c r="G358" s="8" t="inlineStr">
        <x:is>
          <x:t xml:space="preserve"/>
        </x:is>
      </x:c>
      <x:c r="H358" s="7">
        <x:f>IF(OR(E358="",F358="Complete"),"", MAX(0, TODAY()-E358))</x:f>
      </x:c>
      <x:c r="I358" s="6" t="inlineStr">
        <x:is>
          <x:t xml:space="preserve"/>
        </x:is>
      </x:c>
      <x:c r="J358" s="6" t="inlineStr">
        <x:is>
          <x:t xml:space="preserve"/>
        </x:is>
      </x:c>
    </x:row>
    <x:row r="359">
      <x:c r="A359" s="7">
        <x:f>IF(C359="","", "ACT-"&amp;TEXT(ROW()-1,"00000"))</x:f>
      </x:c>
      <x:c r="B359" s="7" t="inlineStr">
        <x:is>
          <x:t xml:space="preserve"/>
        </x:is>
      </x:c>
      <x:c r="C359" s="6" t="inlineStr">
        <x:is>
          <x:t xml:space="preserve"/>
        </x:is>
      </x:c>
      <x:c r="D359" s="6" t="inlineStr">
        <x:is>
          <x:t xml:space="preserve"/>
        </x:is>
      </x:c>
      <x:c r="E359" s="8" t="inlineStr">
        <x:is>
          <x:t xml:space="preserve"/>
        </x:is>
      </x:c>
      <x:c r="F359" s="7" t="inlineStr">
        <x:is>
          <x:t xml:space="preserve"/>
        </x:is>
      </x:c>
      <x:c r="G359" s="8" t="inlineStr">
        <x:is>
          <x:t xml:space="preserve"/>
        </x:is>
      </x:c>
      <x:c r="H359" s="7">
        <x:f>IF(OR(E359="",F359="Complete"),"", MAX(0, TODAY()-E359))</x:f>
      </x:c>
      <x:c r="I359" s="6" t="inlineStr">
        <x:is>
          <x:t xml:space="preserve"/>
        </x:is>
      </x:c>
      <x:c r="J359" s="6" t="inlineStr">
        <x:is>
          <x:t xml:space="preserve"/>
        </x:is>
      </x:c>
    </x:row>
    <x:row r="360">
      <x:c r="A360" s="7">
        <x:f>IF(C360="","", "ACT-"&amp;TEXT(ROW()-1,"00000"))</x:f>
      </x:c>
      <x:c r="B360" s="7" t="inlineStr">
        <x:is>
          <x:t xml:space="preserve"/>
        </x:is>
      </x:c>
      <x:c r="C360" s="6" t="inlineStr">
        <x:is>
          <x:t xml:space="preserve"/>
        </x:is>
      </x:c>
      <x:c r="D360" s="6" t="inlineStr">
        <x:is>
          <x:t xml:space="preserve"/>
        </x:is>
      </x:c>
      <x:c r="E360" s="8" t="inlineStr">
        <x:is>
          <x:t xml:space="preserve"/>
        </x:is>
      </x:c>
      <x:c r="F360" s="7" t="inlineStr">
        <x:is>
          <x:t xml:space="preserve"/>
        </x:is>
      </x:c>
      <x:c r="G360" s="8" t="inlineStr">
        <x:is>
          <x:t xml:space="preserve"/>
        </x:is>
      </x:c>
      <x:c r="H360" s="7">
        <x:f>IF(OR(E360="",F360="Complete"),"", MAX(0, TODAY()-E360))</x:f>
      </x:c>
      <x:c r="I360" s="6" t="inlineStr">
        <x:is>
          <x:t xml:space="preserve"/>
        </x:is>
      </x:c>
      <x:c r="J360" s="6" t="inlineStr">
        <x:is>
          <x:t xml:space="preserve"/>
        </x:is>
      </x:c>
    </x:row>
    <x:row r="361">
      <x:c r="A361" s="7">
        <x:f>IF(C361="","", "ACT-"&amp;TEXT(ROW()-1,"00000"))</x:f>
      </x:c>
      <x:c r="B361" s="7" t="inlineStr">
        <x:is>
          <x:t xml:space="preserve"/>
        </x:is>
      </x:c>
      <x:c r="C361" s="6" t="inlineStr">
        <x:is>
          <x:t xml:space="preserve"/>
        </x:is>
      </x:c>
      <x:c r="D361" s="6" t="inlineStr">
        <x:is>
          <x:t xml:space="preserve"/>
        </x:is>
      </x:c>
      <x:c r="E361" s="8" t="inlineStr">
        <x:is>
          <x:t xml:space="preserve"/>
        </x:is>
      </x:c>
      <x:c r="F361" s="7" t="inlineStr">
        <x:is>
          <x:t xml:space="preserve"/>
        </x:is>
      </x:c>
      <x:c r="G361" s="8" t="inlineStr">
        <x:is>
          <x:t xml:space="preserve"/>
        </x:is>
      </x:c>
      <x:c r="H361" s="7">
        <x:f>IF(OR(E361="",F361="Complete"),"", MAX(0, TODAY()-E361))</x:f>
      </x:c>
      <x:c r="I361" s="6" t="inlineStr">
        <x:is>
          <x:t xml:space="preserve"/>
        </x:is>
      </x:c>
      <x:c r="J361" s="6" t="inlineStr">
        <x:is>
          <x:t xml:space="preserve"/>
        </x:is>
      </x:c>
    </x:row>
    <x:row r="362">
      <x:c r="A362" s="7">
        <x:f>IF(C362="","", "ACT-"&amp;TEXT(ROW()-1,"00000"))</x:f>
      </x:c>
      <x:c r="B362" s="7" t="inlineStr">
        <x:is>
          <x:t xml:space="preserve"/>
        </x:is>
      </x:c>
      <x:c r="C362" s="6" t="inlineStr">
        <x:is>
          <x:t xml:space="preserve"/>
        </x:is>
      </x:c>
      <x:c r="D362" s="6" t="inlineStr">
        <x:is>
          <x:t xml:space="preserve"/>
        </x:is>
      </x:c>
      <x:c r="E362" s="8" t="inlineStr">
        <x:is>
          <x:t xml:space="preserve"/>
        </x:is>
      </x:c>
      <x:c r="F362" s="7" t="inlineStr">
        <x:is>
          <x:t xml:space="preserve"/>
        </x:is>
      </x:c>
      <x:c r="G362" s="8" t="inlineStr">
        <x:is>
          <x:t xml:space="preserve"/>
        </x:is>
      </x:c>
      <x:c r="H362" s="7">
        <x:f>IF(OR(E362="",F362="Complete"),"", MAX(0, TODAY()-E362))</x:f>
      </x:c>
      <x:c r="I362" s="6" t="inlineStr">
        <x:is>
          <x:t xml:space="preserve"/>
        </x:is>
      </x:c>
      <x:c r="J362" s="6" t="inlineStr">
        <x:is>
          <x:t xml:space="preserve"/>
        </x:is>
      </x:c>
    </x:row>
    <x:row r="363">
      <x:c r="A363" s="7">
        <x:f>IF(C363="","", "ACT-"&amp;TEXT(ROW()-1,"00000"))</x:f>
      </x:c>
      <x:c r="B363" s="7" t="inlineStr">
        <x:is>
          <x:t xml:space="preserve"/>
        </x:is>
      </x:c>
      <x:c r="C363" s="6" t="inlineStr">
        <x:is>
          <x:t xml:space="preserve"/>
        </x:is>
      </x:c>
      <x:c r="D363" s="6" t="inlineStr">
        <x:is>
          <x:t xml:space="preserve"/>
        </x:is>
      </x:c>
      <x:c r="E363" s="8" t="inlineStr">
        <x:is>
          <x:t xml:space="preserve"/>
        </x:is>
      </x:c>
      <x:c r="F363" s="7" t="inlineStr">
        <x:is>
          <x:t xml:space="preserve"/>
        </x:is>
      </x:c>
      <x:c r="G363" s="8" t="inlineStr">
        <x:is>
          <x:t xml:space="preserve"/>
        </x:is>
      </x:c>
      <x:c r="H363" s="7">
        <x:f>IF(OR(E363="",F363="Complete"),"", MAX(0, TODAY()-E363))</x:f>
      </x:c>
      <x:c r="I363" s="6" t="inlineStr">
        <x:is>
          <x:t xml:space="preserve"/>
        </x:is>
      </x:c>
      <x:c r="J363" s="6" t="inlineStr">
        <x:is>
          <x:t xml:space="preserve"/>
        </x:is>
      </x:c>
    </x:row>
    <x:row r="364">
      <x:c r="A364" s="7">
        <x:f>IF(C364="","", "ACT-"&amp;TEXT(ROW()-1,"00000"))</x:f>
      </x:c>
      <x:c r="B364" s="7" t="inlineStr">
        <x:is>
          <x:t xml:space="preserve"/>
        </x:is>
      </x:c>
      <x:c r="C364" s="6" t="inlineStr">
        <x:is>
          <x:t xml:space="preserve"/>
        </x:is>
      </x:c>
      <x:c r="D364" s="6" t="inlineStr">
        <x:is>
          <x:t xml:space="preserve"/>
        </x:is>
      </x:c>
      <x:c r="E364" s="8" t="inlineStr">
        <x:is>
          <x:t xml:space="preserve"/>
        </x:is>
      </x:c>
      <x:c r="F364" s="7" t="inlineStr">
        <x:is>
          <x:t xml:space="preserve"/>
        </x:is>
      </x:c>
      <x:c r="G364" s="8" t="inlineStr">
        <x:is>
          <x:t xml:space="preserve"/>
        </x:is>
      </x:c>
      <x:c r="H364" s="7">
        <x:f>IF(OR(E364="",F364="Complete"),"", MAX(0, TODAY()-E364))</x:f>
      </x:c>
      <x:c r="I364" s="6" t="inlineStr">
        <x:is>
          <x:t xml:space="preserve"/>
        </x:is>
      </x:c>
      <x:c r="J364" s="6" t="inlineStr">
        <x:is>
          <x:t xml:space="preserve"/>
        </x:is>
      </x:c>
    </x:row>
    <x:row r="365">
      <x:c r="A365" s="7">
        <x:f>IF(C365="","", "ACT-"&amp;TEXT(ROW()-1,"00000"))</x:f>
      </x:c>
      <x:c r="B365" s="7" t="inlineStr">
        <x:is>
          <x:t xml:space="preserve"/>
        </x:is>
      </x:c>
      <x:c r="C365" s="6" t="inlineStr">
        <x:is>
          <x:t xml:space="preserve"/>
        </x:is>
      </x:c>
      <x:c r="D365" s="6" t="inlineStr">
        <x:is>
          <x:t xml:space="preserve"/>
        </x:is>
      </x:c>
      <x:c r="E365" s="8" t="inlineStr">
        <x:is>
          <x:t xml:space="preserve"/>
        </x:is>
      </x:c>
      <x:c r="F365" s="7" t="inlineStr">
        <x:is>
          <x:t xml:space="preserve"/>
        </x:is>
      </x:c>
      <x:c r="G365" s="8" t="inlineStr">
        <x:is>
          <x:t xml:space="preserve"/>
        </x:is>
      </x:c>
      <x:c r="H365" s="7">
        <x:f>IF(OR(E365="",F365="Complete"),"", MAX(0, TODAY()-E365))</x:f>
      </x:c>
      <x:c r="I365" s="6" t="inlineStr">
        <x:is>
          <x:t xml:space="preserve"/>
        </x:is>
      </x:c>
      <x:c r="J365" s="6" t="inlineStr">
        <x:is>
          <x:t xml:space="preserve"/>
        </x:is>
      </x:c>
    </x:row>
    <x:row r="366">
      <x:c r="A366" s="7">
        <x:f>IF(C366="","", "ACT-"&amp;TEXT(ROW()-1,"00000"))</x:f>
      </x:c>
      <x:c r="B366" s="7" t="inlineStr">
        <x:is>
          <x:t xml:space="preserve"/>
        </x:is>
      </x:c>
      <x:c r="C366" s="6" t="inlineStr">
        <x:is>
          <x:t xml:space="preserve"/>
        </x:is>
      </x:c>
      <x:c r="D366" s="6" t="inlineStr">
        <x:is>
          <x:t xml:space="preserve"/>
        </x:is>
      </x:c>
      <x:c r="E366" s="8" t="inlineStr">
        <x:is>
          <x:t xml:space="preserve"/>
        </x:is>
      </x:c>
      <x:c r="F366" s="7" t="inlineStr">
        <x:is>
          <x:t xml:space="preserve"/>
        </x:is>
      </x:c>
      <x:c r="G366" s="8" t="inlineStr">
        <x:is>
          <x:t xml:space="preserve"/>
        </x:is>
      </x:c>
      <x:c r="H366" s="7">
        <x:f>IF(OR(E366="",F366="Complete"),"", MAX(0, TODAY()-E366))</x:f>
      </x:c>
      <x:c r="I366" s="6" t="inlineStr">
        <x:is>
          <x:t xml:space="preserve"/>
        </x:is>
      </x:c>
      <x:c r="J366" s="6" t="inlineStr">
        <x:is>
          <x:t xml:space="preserve"/>
        </x:is>
      </x:c>
    </x:row>
    <x:row r="367">
      <x:c r="A367" s="7">
        <x:f>IF(C367="","", "ACT-"&amp;TEXT(ROW()-1,"00000"))</x:f>
      </x:c>
      <x:c r="B367" s="7" t="inlineStr">
        <x:is>
          <x:t xml:space="preserve"/>
        </x:is>
      </x:c>
      <x:c r="C367" s="6" t="inlineStr">
        <x:is>
          <x:t xml:space="preserve"/>
        </x:is>
      </x:c>
      <x:c r="D367" s="6" t="inlineStr">
        <x:is>
          <x:t xml:space="preserve"/>
        </x:is>
      </x:c>
      <x:c r="E367" s="8" t="inlineStr">
        <x:is>
          <x:t xml:space="preserve"/>
        </x:is>
      </x:c>
      <x:c r="F367" s="7" t="inlineStr">
        <x:is>
          <x:t xml:space="preserve"/>
        </x:is>
      </x:c>
      <x:c r="G367" s="8" t="inlineStr">
        <x:is>
          <x:t xml:space="preserve"/>
        </x:is>
      </x:c>
      <x:c r="H367" s="7">
        <x:f>IF(OR(E367="",F367="Complete"),"", MAX(0, TODAY()-E367))</x:f>
      </x:c>
      <x:c r="I367" s="6" t="inlineStr">
        <x:is>
          <x:t xml:space="preserve"/>
        </x:is>
      </x:c>
      <x:c r="J367" s="6" t="inlineStr">
        <x:is>
          <x:t xml:space="preserve"/>
        </x:is>
      </x:c>
    </x:row>
    <x:row r="368">
      <x:c r="A368" s="7">
        <x:f>IF(C368="","", "ACT-"&amp;TEXT(ROW()-1,"00000"))</x:f>
      </x:c>
      <x:c r="B368" s="7" t="inlineStr">
        <x:is>
          <x:t xml:space="preserve"/>
        </x:is>
      </x:c>
      <x:c r="C368" s="6" t="inlineStr">
        <x:is>
          <x:t xml:space="preserve"/>
        </x:is>
      </x:c>
      <x:c r="D368" s="6" t="inlineStr">
        <x:is>
          <x:t xml:space="preserve"/>
        </x:is>
      </x:c>
      <x:c r="E368" s="8" t="inlineStr">
        <x:is>
          <x:t xml:space="preserve"/>
        </x:is>
      </x:c>
      <x:c r="F368" s="7" t="inlineStr">
        <x:is>
          <x:t xml:space="preserve"/>
        </x:is>
      </x:c>
      <x:c r="G368" s="8" t="inlineStr">
        <x:is>
          <x:t xml:space="preserve"/>
        </x:is>
      </x:c>
      <x:c r="H368" s="7">
        <x:f>IF(OR(E368="",F368="Complete"),"", MAX(0, TODAY()-E368))</x:f>
      </x:c>
      <x:c r="I368" s="6" t="inlineStr">
        <x:is>
          <x:t xml:space="preserve"/>
        </x:is>
      </x:c>
      <x:c r="J368" s="6" t="inlineStr">
        <x:is>
          <x:t xml:space="preserve"/>
        </x:is>
      </x:c>
    </x:row>
    <x:row r="369">
      <x:c r="A369" s="7">
        <x:f>IF(C369="","", "ACT-"&amp;TEXT(ROW()-1,"00000"))</x:f>
      </x:c>
      <x:c r="B369" s="7" t="inlineStr">
        <x:is>
          <x:t xml:space="preserve"/>
        </x:is>
      </x:c>
      <x:c r="C369" s="6" t="inlineStr">
        <x:is>
          <x:t xml:space="preserve"/>
        </x:is>
      </x:c>
      <x:c r="D369" s="6" t="inlineStr">
        <x:is>
          <x:t xml:space="preserve"/>
        </x:is>
      </x:c>
      <x:c r="E369" s="8" t="inlineStr">
        <x:is>
          <x:t xml:space="preserve"/>
        </x:is>
      </x:c>
      <x:c r="F369" s="7" t="inlineStr">
        <x:is>
          <x:t xml:space="preserve"/>
        </x:is>
      </x:c>
      <x:c r="G369" s="8" t="inlineStr">
        <x:is>
          <x:t xml:space="preserve"/>
        </x:is>
      </x:c>
      <x:c r="H369" s="7">
        <x:f>IF(OR(E369="",F369="Complete"),"", MAX(0, TODAY()-E369))</x:f>
      </x:c>
      <x:c r="I369" s="6" t="inlineStr">
        <x:is>
          <x:t xml:space="preserve"/>
        </x:is>
      </x:c>
      <x:c r="J369" s="6" t="inlineStr">
        <x:is>
          <x:t xml:space="preserve"/>
        </x:is>
      </x:c>
    </x:row>
    <x:row r="370">
      <x:c r="A370" s="7">
        <x:f>IF(C370="","", "ACT-"&amp;TEXT(ROW()-1,"00000"))</x:f>
      </x:c>
      <x:c r="B370" s="7" t="inlineStr">
        <x:is>
          <x:t xml:space="preserve"/>
        </x:is>
      </x:c>
      <x:c r="C370" s="6" t="inlineStr">
        <x:is>
          <x:t xml:space="preserve"/>
        </x:is>
      </x:c>
      <x:c r="D370" s="6" t="inlineStr">
        <x:is>
          <x:t xml:space="preserve"/>
        </x:is>
      </x:c>
      <x:c r="E370" s="8" t="inlineStr">
        <x:is>
          <x:t xml:space="preserve"/>
        </x:is>
      </x:c>
      <x:c r="F370" s="7" t="inlineStr">
        <x:is>
          <x:t xml:space="preserve"/>
        </x:is>
      </x:c>
      <x:c r="G370" s="8" t="inlineStr">
        <x:is>
          <x:t xml:space="preserve"/>
        </x:is>
      </x:c>
      <x:c r="H370" s="7">
        <x:f>IF(OR(E370="",F370="Complete"),"", MAX(0, TODAY()-E370))</x:f>
      </x:c>
      <x:c r="I370" s="6" t="inlineStr">
        <x:is>
          <x:t xml:space="preserve"/>
        </x:is>
      </x:c>
      <x:c r="J370" s="6" t="inlineStr">
        <x:is>
          <x:t xml:space="preserve"/>
        </x:is>
      </x:c>
    </x:row>
    <x:row r="371">
      <x:c r="A371" s="7">
        <x:f>IF(C371="","", "ACT-"&amp;TEXT(ROW()-1,"00000"))</x:f>
      </x:c>
      <x:c r="B371" s="7" t="inlineStr">
        <x:is>
          <x:t xml:space="preserve"/>
        </x:is>
      </x:c>
      <x:c r="C371" s="6" t="inlineStr">
        <x:is>
          <x:t xml:space="preserve"/>
        </x:is>
      </x:c>
      <x:c r="D371" s="6" t="inlineStr">
        <x:is>
          <x:t xml:space="preserve"/>
        </x:is>
      </x:c>
      <x:c r="E371" s="8" t="inlineStr">
        <x:is>
          <x:t xml:space="preserve"/>
        </x:is>
      </x:c>
      <x:c r="F371" s="7" t="inlineStr">
        <x:is>
          <x:t xml:space="preserve"/>
        </x:is>
      </x:c>
      <x:c r="G371" s="8" t="inlineStr">
        <x:is>
          <x:t xml:space="preserve"/>
        </x:is>
      </x:c>
      <x:c r="H371" s="7">
        <x:f>IF(OR(E371="",F371="Complete"),"", MAX(0, TODAY()-E371))</x:f>
      </x:c>
      <x:c r="I371" s="6" t="inlineStr">
        <x:is>
          <x:t xml:space="preserve"/>
        </x:is>
      </x:c>
      <x:c r="J371" s="6" t="inlineStr">
        <x:is>
          <x:t xml:space="preserve"/>
        </x:is>
      </x:c>
    </x:row>
    <x:row r="372">
      <x:c r="A372" s="7">
        <x:f>IF(C372="","", "ACT-"&amp;TEXT(ROW()-1,"00000"))</x:f>
      </x:c>
      <x:c r="B372" s="7" t="inlineStr">
        <x:is>
          <x:t xml:space="preserve"/>
        </x:is>
      </x:c>
      <x:c r="C372" s="6" t="inlineStr">
        <x:is>
          <x:t xml:space="preserve"/>
        </x:is>
      </x:c>
      <x:c r="D372" s="6" t="inlineStr">
        <x:is>
          <x:t xml:space="preserve"/>
        </x:is>
      </x:c>
      <x:c r="E372" s="8" t="inlineStr">
        <x:is>
          <x:t xml:space="preserve"/>
        </x:is>
      </x:c>
      <x:c r="F372" s="7" t="inlineStr">
        <x:is>
          <x:t xml:space="preserve"/>
        </x:is>
      </x:c>
      <x:c r="G372" s="8" t="inlineStr">
        <x:is>
          <x:t xml:space="preserve"/>
        </x:is>
      </x:c>
      <x:c r="H372" s="7">
        <x:f>IF(OR(E372="",F372="Complete"),"", MAX(0, TODAY()-E372))</x:f>
      </x:c>
      <x:c r="I372" s="6" t="inlineStr">
        <x:is>
          <x:t xml:space="preserve"/>
        </x:is>
      </x:c>
      <x:c r="J372" s="6" t="inlineStr">
        <x:is>
          <x:t xml:space="preserve"/>
        </x:is>
      </x:c>
    </x:row>
    <x:row r="373">
      <x:c r="A373" s="7">
        <x:f>IF(C373="","", "ACT-"&amp;TEXT(ROW()-1,"00000"))</x:f>
      </x:c>
      <x:c r="B373" s="7" t="inlineStr">
        <x:is>
          <x:t xml:space="preserve"/>
        </x:is>
      </x:c>
      <x:c r="C373" s="6" t="inlineStr">
        <x:is>
          <x:t xml:space="preserve"/>
        </x:is>
      </x:c>
      <x:c r="D373" s="6" t="inlineStr">
        <x:is>
          <x:t xml:space="preserve"/>
        </x:is>
      </x:c>
      <x:c r="E373" s="8" t="inlineStr">
        <x:is>
          <x:t xml:space="preserve"/>
        </x:is>
      </x:c>
      <x:c r="F373" s="7" t="inlineStr">
        <x:is>
          <x:t xml:space="preserve"/>
        </x:is>
      </x:c>
      <x:c r="G373" s="8" t="inlineStr">
        <x:is>
          <x:t xml:space="preserve"/>
        </x:is>
      </x:c>
      <x:c r="H373" s="7">
        <x:f>IF(OR(E373="",F373="Complete"),"", MAX(0, TODAY()-E373))</x:f>
      </x:c>
      <x:c r="I373" s="6" t="inlineStr">
        <x:is>
          <x:t xml:space="preserve"/>
        </x:is>
      </x:c>
      <x:c r="J373" s="6" t="inlineStr">
        <x:is>
          <x:t xml:space="preserve"/>
        </x:is>
      </x:c>
    </x:row>
    <x:row r="374">
      <x:c r="A374" s="7">
        <x:f>IF(C374="","", "ACT-"&amp;TEXT(ROW()-1,"00000"))</x:f>
      </x:c>
      <x:c r="B374" s="7" t="inlineStr">
        <x:is>
          <x:t xml:space="preserve"/>
        </x:is>
      </x:c>
      <x:c r="C374" s="6" t="inlineStr">
        <x:is>
          <x:t xml:space="preserve"/>
        </x:is>
      </x:c>
      <x:c r="D374" s="6" t="inlineStr">
        <x:is>
          <x:t xml:space="preserve"/>
        </x:is>
      </x:c>
      <x:c r="E374" s="8" t="inlineStr">
        <x:is>
          <x:t xml:space="preserve"/>
        </x:is>
      </x:c>
      <x:c r="F374" s="7" t="inlineStr">
        <x:is>
          <x:t xml:space="preserve"/>
        </x:is>
      </x:c>
      <x:c r="G374" s="8" t="inlineStr">
        <x:is>
          <x:t xml:space="preserve"/>
        </x:is>
      </x:c>
      <x:c r="H374" s="7">
        <x:f>IF(OR(E374="",F374="Complete"),"", MAX(0, TODAY()-E374))</x:f>
      </x:c>
      <x:c r="I374" s="6" t="inlineStr">
        <x:is>
          <x:t xml:space="preserve"/>
        </x:is>
      </x:c>
      <x:c r="J374" s="6" t="inlineStr">
        <x:is>
          <x:t xml:space="preserve"/>
        </x:is>
      </x:c>
    </x:row>
    <x:row r="375">
      <x:c r="A375" s="7">
        <x:f>IF(C375="","", "ACT-"&amp;TEXT(ROW()-1,"00000"))</x:f>
      </x:c>
      <x:c r="B375" s="7" t="inlineStr">
        <x:is>
          <x:t xml:space="preserve"/>
        </x:is>
      </x:c>
      <x:c r="C375" s="6" t="inlineStr">
        <x:is>
          <x:t xml:space="preserve"/>
        </x:is>
      </x:c>
      <x:c r="D375" s="6" t="inlineStr">
        <x:is>
          <x:t xml:space="preserve"/>
        </x:is>
      </x:c>
      <x:c r="E375" s="8" t="inlineStr">
        <x:is>
          <x:t xml:space="preserve"/>
        </x:is>
      </x:c>
      <x:c r="F375" s="7" t="inlineStr">
        <x:is>
          <x:t xml:space="preserve"/>
        </x:is>
      </x:c>
      <x:c r="G375" s="8" t="inlineStr">
        <x:is>
          <x:t xml:space="preserve"/>
        </x:is>
      </x:c>
      <x:c r="H375" s="7">
        <x:f>IF(OR(E375="",F375="Complete"),"", MAX(0, TODAY()-E375))</x:f>
      </x:c>
      <x:c r="I375" s="6" t="inlineStr">
        <x:is>
          <x:t xml:space="preserve"/>
        </x:is>
      </x:c>
      <x:c r="J375" s="6" t="inlineStr">
        <x:is>
          <x:t xml:space="preserve"/>
        </x:is>
      </x:c>
    </x:row>
    <x:row r="376">
      <x:c r="A376" s="7">
        <x:f>IF(C376="","", "ACT-"&amp;TEXT(ROW()-1,"00000"))</x:f>
      </x:c>
      <x:c r="B376" s="7" t="inlineStr">
        <x:is>
          <x:t xml:space="preserve"/>
        </x:is>
      </x:c>
      <x:c r="C376" s="6" t="inlineStr">
        <x:is>
          <x:t xml:space="preserve"/>
        </x:is>
      </x:c>
      <x:c r="D376" s="6" t="inlineStr">
        <x:is>
          <x:t xml:space="preserve"/>
        </x:is>
      </x:c>
      <x:c r="E376" s="8" t="inlineStr">
        <x:is>
          <x:t xml:space="preserve"/>
        </x:is>
      </x:c>
      <x:c r="F376" s="7" t="inlineStr">
        <x:is>
          <x:t xml:space="preserve"/>
        </x:is>
      </x:c>
      <x:c r="G376" s="8" t="inlineStr">
        <x:is>
          <x:t xml:space="preserve"/>
        </x:is>
      </x:c>
      <x:c r="H376" s="7">
        <x:f>IF(OR(E376="",F376="Complete"),"", MAX(0, TODAY()-E376))</x:f>
      </x:c>
      <x:c r="I376" s="6" t="inlineStr">
        <x:is>
          <x:t xml:space="preserve"/>
        </x:is>
      </x:c>
      <x:c r="J376" s="6" t="inlineStr">
        <x:is>
          <x:t xml:space="preserve"/>
        </x:is>
      </x:c>
    </x:row>
    <x:row r="377">
      <x:c r="A377" s="7">
        <x:f>IF(C377="","", "ACT-"&amp;TEXT(ROW()-1,"00000"))</x:f>
      </x:c>
      <x:c r="B377" s="7" t="inlineStr">
        <x:is>
          <x:t xml:space="preserve"/>
        </x:is>
      </x:c>
      <x:c r="C377" s="6" t="inlineStr">
        <x:is>
          <x:t xml:space="preserve"/>
        </x:is>
      </x:c>
      <x:c r="D377" s="6" t="inlineStr">
        <x:is>
          <x:t xml:space="preserve"/>
        </x:is>
      </x:c>
      <x:c r="E377" s="8" t="inlineStr">
        <x:is>
          <x:t xml:space="preserve"/>
        </x:is>
      </x:c>
      <x:c r="F377" s="7" t="inlineStr">
        <x:is>
          <x:t xml:space="preserve"/>
        </x:is>
      </x:c>
      <x:c r="G377" s="8" t="inlineStr">
        <x:is>
          <x:t xml:space="preserve"/>
        </x:is>
      </x:c>
      <x:c r="H377" s="7">
        <x:f>IF(OR(E377="",F377="Complete"),"", MAX(0, TODAY()-E377))</x:f>
      </x:c>
      <x:c r="I377" s="6" t="inlineStr">
        <x:is>
          <x:t xml:space="preserve"/>
        </x:is>
      </x:c>
      <x:c r="J377" s="6" t="inlineStr">
        <x:is>
          <x:t xml:space="preserve"/>
        </x:is>
      </x:c>
    </x:row>
    <x:row r="378">
      <x:c r="A378" s="7">
        <x:f>IF(C378="","", "ACT-"&amp;TEXT(ROW()-1,"00000"))</x:f>
      </x:c>
      <x:c r="B378" s="7" t="inlineStr">
        <x:is>
          <x:t xml:space="preserve"/>
        </x:is>
      </x:c>
      <x:c r="C378" s="6" t="inlineStr">
        <x:is>
          <x:t xml:space="preserve"/>
        </x:is>
      </x:c>
      <x:c r="D378" s="6" t="inlineStr">
        <x:is>
          <x:t xml:space="preserve"/>
        </x:is>
      </x:c>
      <x:c r="E378" s="8" t="inlineStr">
        <x:is>
          <x:t xml:space="preserve"/>
        </x:is>
      </x:c>
      <x:c r="F378" s="7" t="inlineStr">
        <x:is>
          <x:t xml:space="preserve"/>
        </x:is>
      </x:c>
      <x:c r="G378" s="8" t="inlineStr">
        <x:is>
          <x:t xml:space="preserve"/>
        </x:is>
      </x:c>
      <x:c r="H378" s="7">
        <x:f>IF(OR(E378="",F378="Complete"),"", MAX(0, TODAY()-E378))</x:f>
      </x:c>
      <x:c r="I378" s="6" t="inlineStr">
        <x:is>
          <x:t xml:space="preserve"/>
        </x:is>
      </x:c>
      <x:c r="J378" s="6" t="inlineStr">
        <x:is>
          <x:t xml:space="preserve"/>
        </x:is>
      </x:c>
    </x:row>
    <x:row r="379">
      <x:c r="A379" s="7">
        <x:f>IF(C379="","", "ACT-"&amp;TEXT(ROW()-1,"00000"))</x:f>
      </x:c>
      <x:c r="B379" s="7" t="inlineStr">
        <x:is>
          <x:t xml:space="preserve"/>
        </x:is>
      </x:c>
      <x:c r="C379" s="6" t="inlineStr">
        <x:is>
          <x:t xml:space="preserve"/>
        </x:is>
      </x:c>
      <x:c r="D379" s="6" t="inlineStr">
        <x:is>
          <x:t xml:space="preserve"/>
        </x:is>
      </x:c>
      <x:c r="E379" s="8" t="inlineStr">
        <x:is>
          <x:t xml:space="preserve"/>
        </x:is>
      </x:c>
      <x:c r="F379" s="7" t="inlineStr">
        <x:is>
          <x:t xml:space="preserve"/>
        </x:is>
      </x:c>
      <x:c r="G379" s="8" t="inlineStr">
        <x:is>
          <x:t xml:space="preserve"/>
        </x:is>
      </x:c>
      <x:c r="H379" s="7">
        <x:f>IF(OR(E379="",F379="Complete"),"", MAX(0, TODAY()-E379))</x:f>
      </x:c>
      <x:c r="I379" s="6" t="inlineStr">
        <x:is>
          <x:t xml:space="preserve"/>
        </x:is>
      </x:c>
      <x:c r="J379" s="6" t="inlineStr">
        <x:is>
          <x:t xml:space="preserve"/>
        </x:is>
      </x:c>
    </x:row>
    <x:row r="380">
      <x:c r="A380" s="7">
        <x:f>IF(C380="","", "ACT-"&amp;TEXT(ROW()-1,"00000"))</x:f>
      </x:c>
      <x:c r="B380" s="7" t="inlineStr">
        <x:is>
          <x:t xml:space="preserve"/>
        </x:is>
      </x:c>
      <x:c r="C380" s="6" t="inlineStr">
        <x:is>
          <x:t xml:space="preserve"/>
        </x:is>
      </x:c>
      <x:c r="D380" s="6" t="inlineStr">
        <x:is>
          <x:t xml:space="preserve"/>
        </x:is>
      </x:c>
      <x:c r="E380" s="8" t="inlineStr">
        <x:is>
          <x:t xml:space="preserve"/>
        </x:is>
      </x:c>
      <x:c r="F380" s="7" t="inlineStr">
        <x:is>
          <x:t xml:space="preserve"/>
        </x:is>
      </x:c>
      <x:c r="G380" s="8" t="inlineStr">
        <x:is>
          <x:t xml:space="preserve"/>
        </x:is>
      </x:c>
      <x:c r="H380" s="7">
        <x:f>IF(OR(E380="",F380="Complete"),"", MAX(0, TODAY()-E380))</x:f>
      </x:c>
      <x:c r="I380" s="6" t="inlineStr">
        <x:is>
          <x:t xml:space="preserve"/>
        </x:is>
      </x:c>
      <x:c r="J380" s="6" t="inlineStr">
        <x:is>
          <x:t xml:space="preserve"/>
        </x:is>
      </x:c>
    </x:row>
    <x:row r="381">
      <x:c r="A381" s="7">
        <x:f>IF(C381="","", "ACT-"&amp;TEXT(ROW()-1,"00000"))</x:f>
      </x:c>
      <x:c r="B381" s="7" t="inlineStr">
        <x:is>
          <x:t xml:space="preserve"/>
        </x:is>
      </x:c>
      <x:c r="C381" s="6" t="inlineStr">
        <x:is>
          <x:t xml:space="preserve"/>
        </x:is>
      </x:c>
      <x:c r="D381" s="6" t="inlineStr">
        <x:is>
          <x:t xml:space="preserve"/>
        </x:is>
      </x:c>
      <x:c r="E381" s="8" t="inlineStr">
        <x:is>
          <x:t xml:space="preserve"/>
        </x:is>
      </x:c>
      <x:c r="F381" s="7" t="inlineStr">
        <x:is>
          <x:t xml:space="preserve"/>
        </x:is>
      </x:c>
      <x:c r="G381" s="8" t="inlineStr">
        <x:is>
          <x:t xml:space="preserve"/>
        </x:is>
      </x:c>
      <x:c r="H381" s="7">
        <x:f>IF(OR(E381="",F381="Complete"),"", MAX(0, TODAY()-E381))</x:f>
      </x:c>
      <x:c r="I381" s="6" t="inlineStr">
        <x:is>
          <x:t xml:space="preserve"/>
        </x:is>
      </x:c>
      <x:c r="J381" s="6" t="inlineStr">
        <x:is>
          <x:t xml:space="preserve"/>
        </x:is>
      </x:c>
    </x:row>
    <x:row r="382">
      <x:c r="A382" s="7">
        <x:f>IF(C382="","", "ACT-"&amp;TEXT(ROW()-1,"00000"))</x:f>
      </x:c>
      <x:c r="B382" s="7" t="inlineStr">
        <x:is>
          <x:t xml:space="preserve"/>
        </x:is>
      </x:c>
      <x:c r="C382" s="6" t="inlineStr">
        <x:is>
          <x:t xml:space="preserve"/>
        </x:is>
      </x:c>
      <x:c r="D382" s="6" t="inlineStr">
        <x:is>
          <x:t xml:space="preserve"/>
        </x:is>
      </x:c>
      <x:c r="E382" s="8" t="inlineStr">
        <x:is>
          <x:t xml:space="preserve"/>
        </x:is>
      </x:c>
      <x:c r="F382" s="7" t="inlineStr">
        <x:is>
          <x:t xml:space="preserve"/>
        </x:is>
      </x:c>
      <x:c r="G382" s="8" t="inlineStr">
        <x:is>
          <x:t xml:space="preserve"/>
        </x:is>
      </x:c>
      <x:c r="H382" s="7">
        <x:f>IF(OR(E382="",F382="Complete"),"", MAX(0, TODAY()-E382))</x:f>
      </x:c>
      <x:c r="I382" s="6" t="inlineStr">
        <x:is>
          <x:t xml:space="preserve"/>
        </x:is>
      </x:c>
      <x:c r="J382" s="6" t="inlineStr">
        <x:is>
          <x:t xml:space="preserve"/>
        </x:is>
      </x:c>
    </x:row>
    <x:row r="383">
      <x:c r="A383" s="7">
        <x:f>IF(C383="","", "ACT-"&amp;TEXT(ROW()-1,"00000"))</x:f>
      </x:c>
      <x:c r="B383" s="7" t="inlineStr">
        <x:is>
          <x:t xml:space="preserve"/>
        </x:is>
      </x:c>
      <x:c r="C383" s="6" t="inlineStr">
        <x:is>
          <x:t xml:space="preserve"/>
        </x:is>
      </x:c>
      <x:c r="D383" s="6" t="inlineStr">
        <x:is>
          <x:t xml:space="preserve"/>
        </x:is>
      </x:c>
      <x:c r="E383" s="8" t="inlineStr">
        <x:is>
          <x:t xml:space="preserve"/>
        </x:is>
      </x:c>
      <x:c r="F383" s="7" t="inlineStr">
        <x:is>
          <x:t xml:space="preserve"/>
        </x:is>
      </x:c>
      <x:c r="G383" s="8" t="inlineStr">
        <x:is>
          <x:t xml:space="preserve"/>
        </x:is>
      </x:c>
      <x:c r="H383" s="7">
        <x:f>IF(OR(E383="",F383="Complete"),"", MAX(0, TODAY()-E383))</x:f>
      </x:c>
      <x:c r="I383" s="6" t="inlineStr">
        <x:is>
          <x:t xml:space="preserve"/>
        </x:is>
      </x:c>
      <x:c r="J383" s="6" t="inlineStr">
        <x:is>
          <x:t xml:space="preserve"/>
        </x:is>
      </x:c>
    </x:row>
    <x:row r="384">
      <x:c r="A384" s="7">
        <x:f>IF(C384="","", "ACT-"&amp;TEXT(ROW()-1,"00000"))</x:f>
      </x:c>
      <x:c r="B384" s="7" t="inlineStr">
        <x:is>
          <x:t xml:space="preserve"/>
        </x:is>
      </x:c>
      <x:c r="C384" s="6" t="inlineStr">
        <x:is>
          <x:t xml:space="preserve"/>
        </x:is>
      </x:c>
      <x:c r="D384" s="6" t="inlineStr">
        <x:is>
          <x:t xml:space="preserve"/>
        </x:is>
      </x:c>
      <x:c r="E384" s="8" t="inlineStr">
        <x:is>
          <x:t xml:space="preserve"/>
        </x:is>
      </x:c>
      <x:c r="F384" s="7" t="inlineStr">
        <x:is>
          <x:t xml:space="preserve"/>
        </x:is>
      </x:c>
      <x:c r="G384" s="8" t="inlineStr">
        <x:is>
          <x:t xml:space="preserve"/>
        </x:is>
      </x:c>
      <x:c r="H384" s="7">
        <x:f>IF(OR(E384="",F384="Complete"),"", MAX(0, TODAY()-E384))</x:f>
      </x:c>
      <x:c r="I384" s="6" t="inlineStr">
        <x:is>
          <x:t xml:space="preserve"/>
        </x:is>
      </x:c>
      <x:c r="J384" s="6" t="inlineStr">
        <x:is>
          <x:t xml:space="preserve"/>
        </x:is>
      </x:c>
    </x:row>
    <x:row r="385">
      <x:c r="A385" s="7">
        <x:f>IF(C385="","", "ACT-"&amp;TEXT(ROW()-1,"00000"))</x:f>
      </x:c>
      <x:c r="B385" s="7" t="inlineStr">
        <x:is>
          <x:t xml:space="preserve"/>
        </x:is>
      </x:c>
      <x:c r="C385" s="6" t="inlineStr">
        <x:is>
          <x:t xml:space="preserve"/>
        </x:is>
      </x:c>
      <x:c r="D385" s="6" t="inlineStr">
        <x:is>
          <x:t xml:space="preserve"/>
        </x:is>
      </x:c>
      <x:c r="E385" s="8" t="inlineStr">
        <x:is>
          <x:t xml:space="preserve"/>
        </x:is>
      </x:c>
      <x:c r="F385" s="7" t="inlineStr">
        <x:is>
          <x:t xml:space="preserve"/>
        </x:is>
      </x:c>
      <x:c r="G385" s="8" t="inlineStr">
        <x:is>
          <x:t xml:space="preserve"/>
        </x:is>
      </x:c>
      <x:c r="H385" s="7">
        <x:f>IF(OR(E385="",F385="Complete"),"", MAX(0, TODAY()-E385))</x:f>
      </x:c>
      <x:c r="I385" s="6" t="inlineStr">
        <x:is>
          <x:t xml:space="preserve"/>
        </x:is>
      </x:c>
      <x:c r="J385" s="6" t="inlineStr">
        <x:is>
          <x:t xml:space="preserve"/>
        </x:is>
      </x:c>
    </x:row>
    <x:row r="386">
      <x:c r="A386" s="7">
        <x:f>IF(C386="","", "ACT-"&amp;TEXT(ROW()-1,"00000"))</x:f>
      </x:c>
      <x:c r="B386" s="7" t="inlineStr">
        <x:is>
          <x:t xml:space="preserve"/>
        </x:is>
      </x:c>
      <x:c r="C386" s="6" t="inlineStr">
        <x:is>
          <x:t xml:space="preserve"/>
        </x:is>
      </x:c>
      <x:c r="D386" s="6" t="inlineStr">
        <x:is>
          <x:t xml:space="preserve"/>
        </x:is>
      </x:c>
      <x:c r="E386" s="8" t="inlineStr">
        <x:is>
          <x:t xml:space="preserve"/>
        </x:is>
      </x:c>
      <x:c r="F386" s="7" t="inlineStr">
        <x:is>
          <x:t xml:space="preserve"/>
        </x:is>
      </x:c>
      <x:c r="G386" s="8" t="inlineStr">
        <x:is>
          <x:t xml:space="preserve"/>
        </x:is>
      </x:c>
      <x:c r="H386" s="7">
        <x:f>IF(OR(E386="",F386="Complete"),"", MAX(0, TODAY()-E386))</x:f>
      </x:c>
      <x:c r="I386" s="6" t="inlineStr">
        <x:is>
          <x:t xml:space="preserve"/>
        </x:is>
      </x:c>
      <x:c r="J386" s="6" t="inlineStr">
        <x:is>
          <x:t xml:space="preserve"/>
        </x:is>
      </x:c>
    </x:row>
    <x:row r="387">
      <x:c r="A387" s="7">
        <x:f>IF(C387="","", "ACT-"&amp;TEXT(ROW()-1,"00000"))</x:f>
      </x:c>
      <x:c r="B387" s="7" t="inlineStr">
        <x:is>
          <x:t xml:space="preserve"/>
        </x:is>
      </x:c>
      <x:c r="C387" s="6" t="inlineStr">
        <x:is>
          <x:t xml:space="preserve"/>
        </x:is>
      </x:c>
      <x:c r="D387" s="6" t="inlineStr">
        <x:is>
          <x:t xml:space="preserve"/>
        </x:is>
      </x:c>
      <x:c r="E387" s="8" t="inlineStr">
        <x:is>
          <x:t xml:space="preserve"/>
        </x:is>
      </x:c>
      <x:c r="F387" s="7" t="inlineStr">
        <x:is>
          <x:t xml:space="preserve"/>
        </x:is>
      </x:c>
      <x:c r="G387" s="8" t="inlineStr">
        <x:is>
          <x:t xml:space="preserve"/>
        </x:is>
      </x:c>
      <x:c r="H387" s="7">
        <x:f>IF(OR(E387="",F387="Complete"),"", MAX(0, TODAY()-E387))</x:f>
      </x:c>
      <x:c r="I387" s="6" t="inlineStr">
        <x:is>
          <x:t xml:space="preserve"/>
        </x:is>
      </x:c>
      <x:c r="J387" s="6" t="inlineStr">
        <x:is>
          <x:t xml:space="preserve"/>
        </x:is>
      </x:c>
    </x:row>
    <x:row r="388">
      <x:c r="A388" s="7">
        <x:f>IF(C388="","", "ACT-"&amp;TEXT(ROW()-1,"00000"))</x:f>
      </x:c>
      <x:c r="B388" s="7" t="inlineStr">
        <x:is>
          <x:t xml:space="preserve"/>
        </x:is>
      </x:c>
      <x:c r="C388" s="6" t="inlineStr">
        <x:is>
          <x:t xml:space="preserve"/>
        </x:is>
      </x:c>
      <x:c r="D388" s="6" t="inlineStr">
        <x:is>
          <x:t xml:space="preserve"/>
        </x:is>
      </x:c>
      <x:c r="E388" s="8" t="inlineStr">
        <x:is>
          <x:t xml:space="preserve"/>
        </x:is>
      </x:c>
      <x:c r="F388" s="7" t="inlineStr">
        <x:is>
          <x:t xml:space="preserve"/>
        </x:is>
      </x:c>
      <x:c r="G388" s="8" t="inlineStr">
        <x:is>
          <x:t xml:space="preserve"/>
        </x:is>
      </x:c>
      <x:c r="H388" s="7">
        <x:f>IF(OR(E388="",F388="Complete"),"", MAX(0, TODAY()-E388))</x:f>
      </x:c>
      <x:c r="I388" s="6" t="inlineStr">
        <x:is>
          <x:t xml:space="preserve"/>
        </x:is>
      </x:c>
      <x:c r="J388" s="6" t="inlineStr">
        <x:is>
          <x:t xml:space="preserve"/>
        </x:is>
      </x:c>
    </x:row>
    <x:row r="389">
      <x:c r="A389" s="7">
        <x:f>IF(C389="","", "ACT-"&amp;TEXT(ROW()-1,"00000"))</x:f>
      </x:c>
      <x:c r="B389" s="7" t="inlineStr">
        <x:is>
          <x:t xml:space="preserve"/>
        </x:is>
      </x:c>
      <x:c r="C389" s="6" t="inlineStr">
        <x:is>
          <x:t xml:space="preserve"/>
        </x:is>
      </x:c>
      <x:c r="D389" s="6" t="inlineStr">
        <x:is>
          <x:t xml:space="preserve"/>
        </x:is>
      </x:c>
      <x:c r="E389" s="8" t="inlineStr">
        <x:is>
          <x:t xml:space="preserve"/>
        </x:is>
      </x:c>
      <x:c r="F389" s="7" t="inlineStr">
        <x:is>
          <x:t xml:space="preserve"/>
        </x:is>
      </x:c>
      <x:c r="G389" s="8" t="inlineStr">
        <x:is>
          <x:t xml:space="preserve"/>
        </x:is>
      </x:c>
      <x:c r="H389" s="7">
        <x:f>IF(OR(E389="",F389="Complete"),"", MAX(0, TODAY()-E389))</x:f>
      </x:c>
      <x:c r="I389" s="6" t="inlineStr">
        <x:is>
          <x:t xml:space="preserve"/>
        </x:is>
      </x:c>
      <x:c r="J389" s="6" t="inlineStr">
        <x:is>
          <x:t xml:space="preserve"/>
        </x:is>
      </x:c>
    </x:row>
    <x:row r="390">
      <x:c r="A390" s="7">
        <x:f>IF(C390="","", "ACT-"&amp;TEXT(ROW()-1,"00000"))</x:f>
      </x:c>
      <x:c r="B390" s="7" t="inlineStr">
        <x:is>
          <x:t xml:space="preserve"/>
        </x:is>
      </x:c>
      <x:c r="C390" s="6" t="inlineStr">
        <x:is>
          <x:t xml:space="preserve"/>
        </x:is>
      </x:c>
      <x:c r="D390" s="6" t="inlineStr">
        <x:is>
          <x:t xml:space="preserve"/>
        </x:is>
      </x:c>
      <x:c r="E390" s="8" t="inlineStr">
        <x:is>
          <x:t xml:space="preserve"/>
        </x:is>
      </x:c>
      <x:c r="F390" s="7" t="inlineStr">
        <x:is>
          <x:t xml:space="preserve"/>
        </x:is>
      </x:c>
      <x:c r="G390" s="8" t="inlineStr">
        <x:is>
          <x:t xml:space="preserve"/>
        </x:is>
      </x:c>
      <x:c r="H390" s="7">
        <x:f>IF(OR(E390="",F390="Complete"),"", MAX(0, TODAY()-E390))</x:f>
      </x:c>
      <x:c r="I390" s="6" t="inlineStr">
        <x:is>
          <x:t xml:space="preserve"/>
        </x:is>
      </x:c>
      <x:c r="J390" s="6" t="inlineStr">
        <x:is>
          <x:t xml:space="preserve"/>
        </x:is>
      </x:c>
    </x:row>
    <x:row r="391">
      <x:c r="A391" s="7">
        <x:f>IF(C391="","", "ACT-"&amp;TEXT(ROW()-1,"00000"))</x:f>
      </x:c>
      <x:c r="B391" s="7" t="inlineStr">
        <x:is>
          <x:t xml:space="preserve"/>
        </x:is>
      </x:c>
      <x:c r="C391" s="6" t="inlineStr">
        <x:is>
          <x:t xml:space="preserve"/>
        </x:is>
      </x:c>
      <x:c r="D391" s="6" t="inlineStr">
        <x:is>
          <x:t xml:space="preserve"/>
        </x:is>
      </x:c>
      <x:c r="E391" s="8" t="inlineStr">
        <x:is>
          <x:t xml:space="preserve"/>
        </x:is>
      </x:c>
      <x:c r="F391" s="7" t="inlineStr">
        <x:is>
          <x:t xml:space="preserve"/>
        </x:is>
      </x:c>
      <x:c r="G391" s="8" t="inlineStr">
        <x:is>
          <x:t xml:space="preserve"/>
        </x:is>
      </x:c>
      <x:c r="H391" s="7">
        <x:f>IF(OR(E391="",F391="Complete"),"", MAX(0, TODAY()-E391))</x:f>
      </x:c>
      <x:c r="I391" s="6" t="inlineStr">
        <x:is>
          <x:t xml:space="preserve"/>
        </x:is>
      </x:c>
      <x:c r="J391" s="6" t="inlineStr">
        <x:is>
          <x:t xml:space="preserve"/>
        </x:is>
      </x:c>
    </x:row>
    <x:row r="392">
      <x:c r="A392" s="7">
        <x:f>IF(C392="","", "ACT-"&amp;TEXT(ROW()-1,"00000"))</x:f>
      </x:c>
      <x:c r="B392" s="7" t="inlineStr">
        <x:is>
          <x:t xml:space="preserve"/>
        </x:is>
      </x:c>
      <x:c r="C392" s="6" t="inlineStr">
        <x:is>
          <x:t xml:space="preserve"/>
        </x:is>
      </x:c>
      <x:c r="D392" s="6" t="inlineStr">
        <x:is>
          <x:t xml:space="preserve"/>
        </x:is>
      </x:c>
      <x:c r="E392" s="8" t="inlineStr">
        <x:is>
          <x:t xml:space="preserve"/>
        </x:is>
      </x:c>
      <x:c r="F392" s="7" t="inlineStr">
        <x:is>
          <x:t xml:space="preserve"/>
        </x:is>
      </x:c>
      <x:c r="G392" s="8" t="inlineStr">
        <x:is>
          <x:t xml:space="preserve"/>
        </x:is>
      </x:c>
      <x:c r="H392" s="7">
        <x:f>IF(OR(E392="",F392="Complete"),"", MAX(0, TODAY()-E392))</x:f>
      </x:c>
      <x:c r="I392" s="6" t="inlineStr">
        <x:is>
          <x:t xml:space="preserve"/>
        </x:is>
      </x:c>
      <x:c r="J392" s="6" t="inlineStr">
        <x:is>
          <x:t xml:space="preserve"/>
        </x:is>
      </x:c>
    </x:row>
    <x:row r="393">
      <x:c r="A393" s="7">
        <x:f>IF(C393="","", "ACT-"&amp;TEXT(ROW()-1,"00000"))</x:f>
      </x:c>
      <x:c r="B393" s="7" t="inlineStr">
        <x:is>
          <x:t xml:space="preserve"/>
        </x:is>
      </x:c>
      <x:c r="C393" s="6" t="inlineStr">
        <x:is>
          <x:t xml:space="preserve"/>
        </x:is>
      </x:c>
      <x:c r="D393" s="6" t="inlineStr">
        <x:is>
          <x:t xml:space="preserve"/>
        </x:is>
      </x:c>
      <x:c r="E393" s="8" t="inlineStr">
        <x:is>
          <x:t xml:space="preserve"/>
        </x:is>
      </x:c>
      <x:c r="F393" s="7" t="inlineStr">
        <x:is>
          <x:t xml:space="preserve"/>
        </x:is>
      </x:c>
      <x:c r="G393" s="8" t="inlineStr">
        <x:is>
          <x:t xml:space="preserve"/>
        </x:is>
      </x:c>
      <x:c r="H393" s="7">
        <x:f>IF(OR(E393="",F393="Complete"),"", MAX(0, TODAY()-E393))</x:f>
      </x:c>
      <x:c r="I393" s="6" t="inlineStr">
        <x:is>
          <x:t xml:space="preserve"/>
        </x:is>
      </x:c>
      <x:c r="J393" s="6" t="inlineStr">
        <x:is>
          <x:t xml:space="preserve"/>
        </x:is>
      </x:c>
    </x:row>
    <x:row r="394">
      <x:c r="A394" s="7">
        <x:f>IF(C394="","", "ACT-"&amp;TEXT(ROW()-1,"00000"))</x:f>
      </x:c>
      <x:c r="B394" s="7" t="inlineStr">
        <x:is>
          <x:t xml:space="preserve"/>
        </x:is>
      </x:c>
      <x:c r="C394" s="6" t="inlineStr">
        <x:is>
          <x:t xml:space="preserve"/>
        </x:is>
      </x:c>
      <x:c r="D394" s="6" t="inlineStr">
        <x:is>
          <x:t xml:space="preserve"/>
        </x:is>
      </x:c>
      <x:c r="E394" s="8" t="inlineStr">
        <x:is>
          <x:t xml:space="preserve"/>
        </x:is>
      </x:c>
      <x:c r="F394" s="7" t="inlineStr">
        <x:is>
          <x:t xml:space="preserve"/>
        </x:is>
      </x:c>
      <x:c r="G394" s="8" t="inlineStr">
        <x:is>
          <x:t xml:space="preserve"/>
        </x:is>
      </x:c>
      <x:c r="H394" s="7">
        <x:f>IF(OR(E394="",F394="Complete"),"", MAX(0, TODAY()-E394))</x:f>
      </x:c>
      <x:c r="I394" s="6" t="inlineStr">
        <x:is>
          <x:t xml:space="preserve"/>
        </x:is>
      </x:c>
      <x:c r="J394" s="6" t="inlineStr">
        <x:is>
          <x:t xml:space="preserve"/>
        </x:is>
      </x:c>
    </x:row>
    <x:row r="395">
      <x:c r="A395" s="7">
        <x:f>IF(C395="","", "ACT-"&amp;TEXT(ROW()-1,"00000"))</x:f>
      </x:c>
      <x:c r="B395" s="7" t="inlineStr">
        <x:is>
          <x:t xml:space="preserve"/>
        </x:is>
      </x:c>
      <x:c r="C395" s="6" t="inlineStr">
        <x:is>
          <x:t xml:space="preserve"/>
        </x:is>
      </x:c>
      <x:c r="D395" s="6" t="inlineStr">
        <x:is>
          <x:t xml:space="preserve"/>
        </x:is>
      </x:c>
      <x:c r="E395" s="8" t="inlineStr">
        <x:is>
          <x:t xml:space="preserve"/>
        </x:is>
      </x:c>
      <x:c r="F395" s="7" t="inlineStr">
        <x:is>
          <x:t xml:space="preserve"/>
        </x:is>
      </x:c>
      <x:c r="G395" s="8" t="inlineStr">
        <x:is>
          <x:t xml:space="preserve"/>
        </x:is>
      </x:c>
      <x:c r="H395" s="7">
        <x:f>IF(OR(E395="",F395="Complete"),"", MAX(0, TODAY()-E395))</x:f>
      </x:c>
      <x:c r="I395" s="6" t="inlineStr">
        <x:is>
          <x:t xml:space="preserve"/>
        </x:is>
      </x:c>
      <x:c r="J395" s="6" t="inlineStr">
        <x:is>
          <x:t xml:space="preserve"/>
        </x:is>
      </x:c>
    </x:row>
    <x:row r="396">
      <x:c r="A396" s="7">
        <x:f>IF(C396="","", "ACT-"&amp;TEXT(ROW()-1,"00000"))</x:f>
      </x:c>
      <x:c r="B396" s="7" t="inlineStr">
        <x:is>
          <x:t xml:space="preserve"/>
        </x:is>
      </x:c>
      <x:c r="C396" s="6" t="inlineStr">
        <x:is>
          <x:t xml:space="preserve"/>
        </x:is>
      </x:c>
      <x:c r="D396" s="6" t="inlineStr">
        <x:is>
          <x:t xml:space="preserve"/>
        </x:is>
      </x:c>
      <x:c r="E396" s="8" t="inlineStr">
        <x:is>
          <x:t xml:space="preserve"/>
        </x:is>
      </x:c>
      <x:c r="F396" s="7" t="inlineStr">
        <x:is>
          <x:t xml:space="preserve"/>
        </x:is>
      </x:c>
      <x:c r="G396" s="8" t="inlineStr">
        <x:is>
          <x:t xml:space="preserve"/>
        </x:is>
      </x:c>
      <x:c r="H396" s="7">
        <x:f>IF(OR(E396="",F396="Complete"),"", MAX(0, TODAY()-E396))</x:f>
      </x:c>
      <x:c r="I396" s="6" t="inlineStr">
        <x:is>
          <x:t xml:space="preserve"/>
        </x:is>
      </x:c>
      <x:c r="J396" s="6" t="inlineStr">
        <x:is>
          <x:t xml:space="preserve"/>
        </x:is>
      </x:c>
    </x:row>
    <x:row r="397">
      <x:c r="A397" s="7">
        <x:f>IF(C397="","", "ACT-"&amp;TEXT(ROW()-1,"00000"))</x:f>
      </x:c>
      <x:c r="B397" s="7" t="inlineStr">
        <x:is>
          <x:t xml:space="preserve"/>
        </x:is>
      </x:c>
      <x:c r="C397" s="6" t="inlineStr">
        <x:is>
          <x:t xml:space="preserve"/>
        </x:is>
      </x:c>
      <x:c r="D397" s="6" t="inlineStr">
        <x:is>
          <x:t xml:space="preserve"/>
        </x:is>
      </x:c>
      <x:c r="E397" s="8" t="inlineStr">
        <x:is>
          <x:t xml:space="preserve"/>
        </x:is>
      </x:c>
      <x:c r="F397" s="7" t="inlineStr">
        <x:is>
          <x:t xml:space="preserve"/>
        </x:is>
      </x:c>
      <x:c r="G397" s="8" t="inlineStr">
        <x:is>
          <x:t xml:space="preserve"/>
        </x:is>
      </x:c>
      <x:c r="H397" s="7">
        <x:f>IF(OR(E397="",F397="Complete"),"", MAX(0, TODAY()-E397))</x:f>
      </x:c>
      <x:c r="I397" s="6" t="inlineStr">
        <x:is>
          <x:t xml:space="preserve"/>
        </x:is>
      </x:c>
      <x:c r="J397" s="6" t="inlineStr">
        <x:is>
          <x:t xml:space="preserve"/>
        </x:is>
      </x:c>
    </x:row>
    <x:row r="398">
      <x:c r="A398" s="7">
        <x:f>IF(C398="","", "ACT-"&amp;TEXT(ROW()-1,"00000"))</x:f>
      </x:c>
      <x:c r="B398" s="7" t="inlineStr">
        <x:is>
          <x:t xml:space="preserve"/>
        </x:is>
      </x:c>
      <x:c r="C398" s="6" t="inlineStr">
        <x:is>
          <x:t xml:space="preserve"/>
        </x:is>
      </x:c>
      <x:c r="D398" s="6" t="inlineStr">
        <x:is>
          <x:t xml:space="preserve"/>
        </x:is>
      </x:c>
      <x:c r="E398" s="8" t="inlineStr">
        <x:is>
          <x:t xml:space="preserve"/>
        </x:is>
      </x:c>
      <x:c r="F398" s="7" t="inlineStr">
        <x:is>
          <x:t xml:space="preserve"/>
        </x:is>
      </x:c>
      <x:c r="G398" s="8" t="inlineStr">
        <x:is>
          <x:t xml:space="preserve"/>
        </x:is>
      </x:c>
      <x:c r="H398" s="7">
        <x:f>IF(OR(E398="",F398="Complete"),"", MAX(0, TODAY()-E398))</x:f>
      </x:c>
      <x:c r="I398" s="6" t="inlineStr">
        <x:is>
          <x:t xml:space="preserve"/>
        </x:is>
      </x:c>
      <x:c r="J398" s="6" t="inlineStr">
        <x:is>
          <x:t xml:space="preserve"/>
        </x:is>
      </x:c>
    </x:row>
    <x:row r="399">
      <x:c r="A399" s="7">
        <x:f>IF(C399="","", "ACT-"&amp;TEXT(ROW()-1,"00000"))</x:f>
      </x:c>
      <x:c r="B399" s="7" t="inlineStr">
        <x:is>
          <x:t xml:space="preserve"/>
        </x:is>
      </x:c>
      <x:c r="C399" s="6" t="inlineStr">
        <x:is>
          <x:t xml:space="preserve"/>
        </x:is>
      </x:c>
      <x:c r="D399" s="6" t="inlineStr">
        <x:is>
          <x:t xml:space="preserve"/>
        </x:is>
      </x:c>
      <x:c r="E399" s="8" t="inlineStr">
        <x:is>
          <x:t xml:space="preserve"/>
        </x:is>
      </x:c>
      <x:c r="F399" s="7" t="inlineStr">
        <x:is>
          <x:t xml:space="preserve"/>
        </x:is>
      </x:c>
      <x:c r="G399" s="8" t="inlineStr">
        <x:is>
          <x:t xml:space="preserve"/>
        </x:is>
      </x:c>
      <x:c r="H399" s="7">
        <x:f>IF(OR(E399="",F399="Complete"),"", MAX(0, TODAY()-E399))</x:f>
      </x:c>
      <x:c r="I399" s="6" t="inlineStr">
        <x:is>
          <x:t xml:space="preserve"/>
        </x:is>
      </x:c>
      <x:c r="J399" s="6" t="inlineStr">
        <x:is>
          <x:t xml:space="preserve"/>
        </x:is>
      </x:c>
    </x:row>
    <x:row r="400">
      <x:c r="A400" s="7">
        <x:f>IF(C400="","", "ACT-"&amp;TEXT(ROW()-1,"00000"))</x:f>
      </x:c>
      <x:c r="B400" s="7" t="inlineStr">
        <x:is>
          <x:t xml:space="preserve"/>
        </x:is>
      </x:c>
      <x:c r="C400" s="6" t="inlineStr">
        <x:is>
          <x:t xml:space="preserve"/>
        </x:is>
      </x:c>
      <x:c r="D400" s="6" t="inlineStr">
        <x:is>
          <x:t xml:space="preserve"/>
        </x:is>
      </x:c>
      <x:c r="E400" s="8" t="inlineStr">
        <x:is>
          <x:t xml:space="preserve"/>
        </x:is>
      </x:c>
      <x:c r="F400" s="7" t="inlineStr">
        <x:is>
          <x:t xml:space="preserve"/>
        </x:is>
      </x:c>
      <x:c r="G400" s="8" t="inlineStr">
        <x:is>
          <x:t xml:space="preserve"/>
        </x:is>
      </x:c>
      <x:c r="H400" s="7">
        <x:f>IF(OR(E400="",F400="Complete"),"", MAX(0, TODAY()-E400))</x:f>
      </x:c>
      <x:c r="I400" s="6" t="inlineStr">
        <x:is>
          <x:t xml:space="preserve"/>
        </x:is>
      </x:c>
      <x:c r="J400" s="6" t="inlineStr">
        <x:is>
          <x:t xml:space="preserve"/>
        </x:is>
      </x:c>
    </x:row>
    <x:row r="401">
      <x:c r="A401" s="7">
        <x:f>IF(C401="","", "ACT-"&amp;TEXT(ROW()-1,"00000"))</x:f>
      </x:c>
      <x:c r="B401" s="7" t="inlineStr">
        <x:is>
          <x:t xml:space="preserve"/>
        </x:is>
      </x:c>
      <x:c r="C401" s="6" t="inlineStr">
        <x:is>
          <x:t xml:space="preserve"/>
        </x:is>
      </x:c>
      <x:c r="D401" s="6" t="inlineStr">
        <x:is>
          <x:t xml:space="preserve"/>
        </x:is>
      </x:c>
      <x:c r="E401" s="8" t="inlineStr">
        <x:is>
          <x:t xml:space="preserve"/>
        </x:is>
      </x:c>
      <x:c r="F401" s="7" t="inlineStr">
        <x:is>
          <x:t xml:space="preserve"/>
        </x:is>
      </x:c>
      <x:c r="G401" s="8" t="inlineStr">
        <x:is>
          <x:t xml:space="preserve"/>
        </x:is>
      </x:c>
      <x:c r="H401" s="7">
        <x:f>IF(OR(E401="",F401="Complete"),"", MAX(0, TODAY()-E401))</x:f>
      </x:c>
      <x:c r="I401" s="6" t="inlineStr">
        <x:is>
          <x:t xml:space="preserve"/>
        </x:is>
      </x:c>
      <x:c r="J401" s="6" t="inlineStr">
        <x:is>
          <x:t xml:space="preserve"/>
        </x:is>
      </x:c>
    </x:row>
  </x:sheetData>
  <x:conditionalFormatting sqref="A2:J401">
    <x:cfRule type="expression" dxfId="0" priority="1">
      <x:formula>$H2&gt;0</x:formula>
    </x:cfRule>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0" customWidth="1"/>
    <x:col min="2" max="2" width="28" customWidth="1"/>
    <x:col min="3" max="3" width="18" customWidth="1"/>
    <x:col min="4" max="4" width="28" customWidth="1"/>
    <x:col min="5" max="5" width="28" customWidth="1"/>
    <x:col min="6" max="6" width="22" customWidth="1"/>
    <x:col min="7" max="7" width="18" customWidth="1"/>
    <x:col min="8" max="8" width="32" customWidth="1"/>
    <x:col min="9" max="9" width="12" customWidth="1"/>
    <x:col min="10" max="10" width="16" customWidth="1"/>
    <x:col min="11" max="11" width="12" customWidth="1"/>
    <x:col min="12" max="12" width="14" customWidth="1"/>
    <x:col min="13" max="13" width="14" customWidth="1"/>
    <x:col min="14" max="14" width="12" customWidth="1"/>
    <x:col min="15" max="15" width="14" customWidth="1"/>
    <x:col min="16" max="16" width="14" customWidth="1"/>
    <x:col min="17" max="17" width="28" customWidth="1"/>
  </x:cols>
  <x:sheetData>
    <x:row r="1" ht="28" customHeight="1">
      <x:c r="A1" s="5" t="inlineStr">
        <x:is>
          <x:t xml:space="preserve">Audit ID</x:t>
        </x:is>
      </x:c>
      <x:c r="B1" s="5" t="inlineStr">
        <x:is>
          <x:t xml:space="preserve">Audit Name</x:t>
        </x:is>
      </x:c>
      <x:c r="C1" s="5" t="inlineStr">
        <x:is>
          <x:t xml:space="preserve">Area / Process</x:t>
        </x:is>
      </x:c>
      <x:c r="D1" s="5" t="inlineStr">
        <x:is>
          <x:t xml:space="preserve">Objectives</x:t>
        </x:is>
      </x:c>
      <x:c r="E1" s="5" t="inlineStr">
        <x:is>
          <x:t xml:space="preserve">Scope</x:t>
        </x:is>
      </x:c>
      <x:c r="F1" s="5" t="inlineStr">
        <x:is>
          <x:t xml:space="preserve">Key Risks</x:t>
        </x:is>
      </x:c>
      <x:c r="G1" s="5" t="inlineStr">
        <x:is>
          <x:t xml:space="preserve">Key Controls (IDs)</x:t>
        </x:is>
      </x:c>
      <x:c r="H1" s="5" t="inlineStr">
        <x:is>
          <x:t xml:space="preserve">Procedures / Test Steps</x:t>
        </x:is>
      </x:c>
      <x:c r="I1" s="5" t="inlineStr">
        <x:is>
          <x:t xml:space="preserve">Frequency</x:t>
        </x:is>
      </x:c>
      <x:c r="J1" s="5" t="inlineStr">
        <x:is>
          <x:t xml:space="preserve">Lead</x:t>
        </x:is>
      </x:c>
      <x:c r="K1" s="5" t="inlineStr">
        <x:is>
          <x:t xml:space="preserve">Planned Month</x:t>
        </x:is>
      </x:c>
      <x:c r="L1" s="5" t="inlineStr">
        <x:is>
          <x:t xml:space="preserve">Planned Start</x:t>
        </x:is>
      </x:c>
      <x:c r="M1" s="5" t="inlineStr">
        <x:is>
          <x:t xml:space="preserve">Planned End</x:t>
        </x:is>
      </x:c>
      <x:c r="N1" s="5" t="inlineStr">
        <x:is>
          <x:t xml:space="preserve">Status</x:t>
        </x:is>
      </x:c>
      <x:c r="O1" s="5" t="inlineStr">
        <x:is>
          <x:t xml:space="preserve">Report Date</x:t>
        </x:is>
      </x:c>
      <x:c r="P1" s="5" t="inlineStr">
        <x:is>
          <x:t xml:space="preserve">Issue ID(s)</x:t>
        </x:is>
      </x:c>
      <x:c r="Q1" s="5" t="inlineStr">
        <x:is>
          <x:t xml:space="preserve">Notes</x:t>
        </x:is>
      </x:c>
    </x:row>
    <x:row r="2" ht="70" customHeight="1">
      <x:c r="A2" s="7" t="inlineStr">
        <x:is>
          <x:t xml:space="preserve">AUD-001</x:t>
        </x:is>
      </x:c>
      <x:c r="B2" s="6" t="inlineStr">
        <x:is>
          <x:t xml:space="preserve">Code of Conduct &amp; Speak-up Program</x:t>
        </x:is>
      </x:c>
      <x:c r="C2" s="6" t="inlineStr">
        <x:is>
          <x:t xml:space="preserve">Governance/Compliance</x:t>
        </x:is>
      </x:c>
      <x:c r="D2" s="6" t="inlineStr">
        <x:is>
          <x:t xml:space="preserve">Assess design and operating effectiveness of CoBC communication and speak-up channels</x:t>
        </x:is>
      </x:c>
      <x:c r="E2" s="6" t="inlineStr">
        <x:is>
          <x:t xml:space="preserve">CoBC comms, onboarding &amp; annual certification, hotline operations, training completion</x:t>
        </x:is>
      </x:c>
      <x:c r="F2" s="6" t="inlineStr">
        <x:is>
          <x:t xml:space="preserve">Bribery/Corruption, Retaliation risk, Non-compliance culture</x:t>
        </x:is>
      </x:c>
      <x:c r="G2" s="7" t="inlineStr">
        <x:is>
          <x:t xml:space="preserve">MCS01</x:t>
        </x:is>
      </x:c>
      <x:c r="H2" s="6" t="inlineStr">
        <x:is>
          <x:t xml:space="preserve">Interview HR/Compliance; inspect onboarding packs; sample annual attestations; review hotline metrics and case handling</x:t>
        </x:is>
      </x:c>
      <x:c r="I2" s="7" t="inlineStr">
        <x:is>
          <x:t xml:space="preserve">Annual</x:t>
        </x:is>
      </x:c>
      <x:c r="J2" s="6" t="inlineStr">
        <x:is>
          <x:t xml:space="preserve">Internal Audit</x:t>
        </x:is>
      </x:c>
      <x:c r="K2" s="7" t="inlineStr">
        <x:is>
          <x:t xml:space="preserve">Mar</x:t>
        </x:is>
      </x:c>
      <x:c r="L2" s="8" t="n">
        <x:v>46082</x:v>
      </x:c>
      <x:c r="M2" s="8" t="n">
        <x:v>46109</x:v>
      </x:c>
      <x:c r="N2" s="7" t="inlineStr">
        <x:is>
          <x:t xml:space="preserve">Planned</x:t>
        </x:is>
      </x:c>
      <x:c r="O2" s="8" t="inlineStr">
        <x:is>
          <x:t xml:space="preserve"/>
        </x:is>
      </x:c>
      <x:c r="P2" s="7" t="inlineStr">
        <x:is>
          <x:t xml:space="preserve"/>
        </x:is>
      </x:c>
      <x:c r="Q2" s="6" t="inlineStr">
        <x:is>
          <x:t xml:space="preserve"/>
        </x:is>
      </x:c>
    </x:row>
    <x:row r="3" ht="70" customHeight="1">
      <x:c r="A3" s="7" t="inlineStr">
        <x:is>
          <x:t xml:space="preserve">AUD-002</x:t>
        </x:is>
      </x:c>
      <x:c r="B3" s="6" t="inlineStr">
        <x:is>
          <x:t xml:space="preserve">Third-Party / Related Party Compliance</x:t>
        </x:is>
      </x:c>
      <x:c r="C3" s="6" t="inlineStr">
        <x:is>
          <x:t xml:space="preserve">Governance/Compliance</x:t>
        </x:is>
      </x:c>
      <x:c r="D3" s="6" t="inlineStr">
        <x:is>
          <x:t xml:space="preserve">Evaluate controls over related party dealings and approvals</x:t>
        </x:is>
      </x:c>
      <x:c r="E3" s="6" t="inlineStr">
        <x:is>
          <x:t xml:space="preserve">RPT identification, approvals, documentation and register maintenance</x:t>
        </x:is>
      </x:c>
      <x:c r="F3" s="6" t="inlineStr">
        <x:is>
          <x:t xml:space="preserve">Fraud, Conflict of interest</x:t>
        </x:is>
      </x:c>
      <x:c r="G3" s="7" t="inlineStr">
        <x:is>
          <x:t xml:space="preserve">MCS03</x:t>
        </x:is>
      </x:c>
      <x:c r="H3" s="6" t="inlineStr">
        <x:is>
          <x:t xml:space="preserve">Walkthrough approvals; sample RPT transactions; verify legal review and disclosures</x:t>
        </x:is>
      </x:c>
      <x:c r="I3" s="7" t="inlineStr">
        <x:is>
          <x:t xml:space="preserve">Annual</x:t>
        </x:is>
      </x:c>
      <x:c r="J3" s="6" t="inlineStr">
        <x:is>
          <x:t xml:space="preserve">Internal Audit</x:t>
        </x:is>
      </x:c>
      <x:c r="K3" s="7" t="inlineStr">
        <x:is>
          <x:t xml:space="preserve">Jun</x:t>
        </x:is>
      </x:c>
      <x:c r="L3" s="8" t="n">
        <x:v>46174</x:v>
      </x:c>
      <x:c r="M3" s="8" t="n">
        <x:v>46201</x:v>
      </x:c>
      <x:c r="N3" s="7" t="inlineStr">
        <x:is>
          <x:t xml:space="preserve">Planned</x:t>
        </x:is>
      </x:c>
      <x:c r="O3" s="8" t="inlineStr">
        <x:is>
          <x:t xml:space="preserve"/>
        </x:is>
      </x:c>
      <x:c r="P3" s="7" t="inlineStr">
        <x:is>
          <x:t xml:space="preserve"/>
        </x:is>
      </x:c>
      <x:c r="Q3" s="6" t="inlineStr">
        <x:is>
          <x:t xml:space="preserve"/>
        </x:is>
      </x:c>
    </x:row>
    <x:row r="4" ht="35" customHeight="1">
      <x:c r="A4" s="7" t="inlineStr">
        <x:is>
          <x:t xml:space="preserve"/>
        </x:is>
      </x:c>
      <x:c r="B4" s="6" t="inlineStr">
        <x:is>
          <x:t xml:space="preserve"/>
        </x:is>
      </x:c>
      <x:c r="C4" s="6" t="inlineStr">
        <x:is>
          <x:t xml:space="preserve"/>
        </x:is>
      </x:c>
      <x:c r="D4" s="6" t="inlineStr">
        <x:is>
          <x:t xml:space="preserve"/>
        </x:is>
      </x:c>
      <x:c r="E4" s="6" t="inlineStr">
        <x:is>
          <x:t xml:space="preserve"/>
        </x:is>
      </x:c>
      <x:c r="F4" s="6" t="inlineStr">
        <x:is>
          <x:t xml:space="preserve"/>
        </x:is>
      </x:c>
      <x:c r="G4" s="7" t="inlineStr">
        <x:is>
          <x:t xml:space="preserve"/>
        </x:is>
      </x:c>
      <x:c r="H4" s="6" t="inlineStr">
        <x:is>
          <x:t xml:space="preserve"/>
        </x:is>
      </x:c>
      <x:c r="I4" s="7" t="inlineStr">
        <x:is>
          <x:t xml:space="preserve"/>
        </x:is>
      </x:c>
      <x:c r="J4" s="6" t="inlineStr">
        <x:is>
          <x:t xml:space="preserve"/>
        </x:is>
      </x:c>
      <x:c r="K4" s="7" t="inlineStr">
        <x:is>
          <x:t xml:space="preserve"/>
        </x:is>
      </x:c>
      <x:c r="L4" s="7" t="inlineStr">
        <x:is>
          <x:t xml:space="preserve"/>
        </x:is>
      </x:c>
      <x:c r="M4" s="7" t="inlineStr">
        <x:is>
          <x:t xml:space="preserve"/>
        </x:is>
      </x:c>
      <x:c r="N4" s="7" t="inlineStr">
        <x:is>
          <x:t xml:space="preserve"/>
        </x:is>
      </x:c>
      <x:c r="O4" s="7" t="inlineStr">
        <x:is>
          <x:t xml:space="preserve"/>
        </x:is>
      </x:c>
      <x:c r="P4" s="7" t="inlineStr">
        <x:is>
          <x:t xml:space="preserve"/>
        </x:is>
      </x:c>
      <x:c r="Q4" s="6" t="inlineStr">
        <x:is>
          <x:t xml:space="preserve"/>
        </x:is>
      </x:c>
    </x:row>
    <x:row r="5" ht="35" customHeight="1">
      <x:c r="A5" s="7" t="inlineStr">
        <x:is>
          <x:t xml:space="preserve"/>
        </x:is>
      </x:c>
      <x:c r="B5" s="6" t="inlineStr">
        <x:is>
          <x:t xml:space="preserve"/>
        </x:is>
      </x:c>
      <x:c r="C5" s="6" t="inlineStr">
        <x:is>
          <x:t xml:space="preserve"/>
        </x:is>
      </x:c>
      <x:c r="D5" s="6" t="inlineStr">
        <x:is>
          <x:t xml:space="preserve"/>
        </x:is>
      </x:c>
      <x:c r="E5" s="6" t="inlineStr">
        <x:is>
          <x:t xml:space="preserve"/>
        </x:is>
      </x:c>
      <x:c r="F5" s="6" t="inlineStr">
        <x:is>
          <x:t xml:space="preserve"/>
        </x:is>
      </x:c>
      <x:c r="G5" s="7" t="inlineStr">
        <x:is>
          <x:t xml:space="preserve"/>
        </x:is>
      </x:c>
      <x:c r="H5" s="6" t="inlineStr">
        <x:is>
          <x:t xml:space="preserve"/>
        </x:is>
      </x:c>
      <x:c r="I5" s="7" t="inlineStr">
        <x:is>
          <x:t xml:space="preserve"/>
        </x:is>
      </x:c>
      <x:c r="J5" s="6" t="inlineStr">
        <x:is>
          <x:t xml:space="preserve"/>
        </x:is>
      </x:c>
      <x:c r="K5" s="7" t="inlineStr">
        <x:is>
          <x:t xml:space="preserve"/>
        </x:is>
      </x:c>
      <x:c r="L5" s="7" t="inlineStr">
        <x:is>
          <x:t xml:space="preserve"/>
        </x:is>
      </x:c>
      <x:c r="M5" s="7" t="inlineStr">
        <x:is>
          <x:t xml:space="preserve"/>
        </x:is>
      </x:c>
      <x:c r="N5" s="7" t="inlineStr">
        <x:is>
          <x:t xml:space="preserve"/>
        </x:is>
      </x:c>
      <x:c r="O5" s="7" t="inlineStr">
        <x:is>
          <x:t xml:space="preserve"/>
        </x:is>
      </x:c>
      <x:c r="P5" s="7" t="inlineStr">
        <x:is>
          <x:t xml:space="preserve"/>
        </x:is>
      </x:c>
      <x:c r="Q5" s="6" t="inlineStr">
        <x:is>
          <x:t xml:space="preserve"/>
        </x:is>
      </x:c>
    </x:row>
    <x:row r="6" ht="35" customHeight="1">
      <x:c r="A6" s="7" t="inlineStr">
        <x:is>
          <x:t xml:space="preserve"/>
        </x:is>
      </x:c>
      <x:c r="B6" s="6" t="inlineStr">
        <x:is>
          <x:t xml:space="preserve"/>
        </x:is>
      </x:c>
      <x:c r="C6" s="6" t="inlineStr">
        <x:is>
          <x:t xml:space="preserve"/>
        </x:is>
      </x:c>
      <x:c r="D6" s="6" t="inlineStr">
        <x:is>
          <x:t xml:space="preserve"/>
        </x:is>
      </x:c>
      <x:c r="E6" s="6" t="inlineStr">
        <x:is>
          <x:t xml:space="preserve"/>
        </x:is>
      </x:c>
      <x:c r="F6" s="6" t="inlineStr">
        <x:is>
          <x:t xml:space="preserve"/>
        </x:is>
      </x:c>
      <x:c r="G6" s="7" t="inlineStr">
        <x:is>
          <x:t xml:space="preserve"/>
        </x:is>
      </x:c>
      <x:c r="H6" s="6" t="inlineStr">
        <x:is>
          <x:t xml:space="preserve"/>
        </x:is>
      </x:c>
      <x:c r="I6" s="7" t="inlineStr">
        <x:is>
          <x:t xml:space="preserve"/>
        </x:is>
      </x:c>
      <x:c r="J6" s="6" t="inlineStr">
        <x:is>
          <x:t xml:space="preserve"/>
        </x:is>
      </x:c>
      <x:c r="K6" s="7" t="inlineStr">
        <x:is>
          <x:t xml:space="preserve"/>
        </x:is>
      </x:c>
      <x:c r="L6" s="7" t="inlineStr">
        <x:is>
          <x:t xml:space="preserve"/>
        </x:is>
      </x:c>
      <x:c r="M6" s="7" t="inlineStr">
        <x:is>
          <x:t xml:space="preserve"/>
        </x:is>
      </x:c>
      <x:c r="N6" s="7" t="inlineStr">
        <x:is>
          <x:t xml:space="preserve"/>
        </x:is>
      </x:c>
      <x:c r="O6" s="7" t="inlineStr">
        <x:is>
          <x:t xml:space="preserve"/>
        </x:is>
      </x:c>
      <x:c r="P6" s="7" t="inlineStr">
        <x:is>
          <x:t xml:space="preserve"/>
        </x:is>
      </x:c>
      <x:c r="Q6" s="6" t="inlineStr">
        <x:is>
          <x:t xml:space="preserve"/>
        </x:is>
      </x:c>
    </x:row>
    <x:row r="7" ht="35" customHeight="1">
      <x:c r="A7" s="7" t="inlineStr">
        <x:is>
          <x:t xml:space="preserve"/>
        </x:is>
      </x:c>
      <x:c r="B7" s="6" t="inlineStr">
        <x:is>
          <x:t xml:space="preserve"/>
        </x:is>
      </x:c>
      <x:c r="C7" s="6" t="inlineStr">
        <x:is>
          <x:t xml:space="preserve"/>
        </x:is>
      </x:c>
      <x:c r="D7" s="6" t="inlineStr">
        <x:is>
          <x:t xml:space="preserve"/>
        </x:is>
      </x:c>
      <x:c r="E7" s="6" t="inlineStr">
        <x:is>
          <x:t xml:space="preserve"/>
        </x:is>
      </x:c>
      <x:c r="F7" s="6" t="inlineStr">
        <x:is>
          <x:t xml:space="preserve"/>
        </x:is>
      </x:c>
      <x:c r="G7" s="7" t="inlineStr">
        <x:is>
          <x:t xml:space="preserve"/>
        </x:is>
      </x:c>
      <x:c r="H7" s="6" t="inlineStr">
        <x:is>
          <x:t xml:space="preserve"/>
        </x:is>
      </x:c>
      <x:c r="I7" s="7" t="inlineStr">
        <x:is>
          <x:t xml:space="preserve"/>
        </x:is>
      </x:c>
      <x:c r="J7" s="6" t="inlineStr">
        <x:is>
          <x:t xml:space="preserve"/>
        </x:is>
      </x:c>
      <x:c r="K7" s="7" t="inlineStr">
        <x:is>
          <x:t xml:space="preserve"/>
        </x:is>
      </x:c>
      <x:c r="L7" s="7" t="inlineStr">
        <x:is>
          <x:t xml:space="preserve"/>
        </x:is>
      </x:c>
      <x:c r="M7" s="7" t="inlineStr">
        <x:is>
          <x:t xml:space="preserve"/>
        </x:is>
      </x:c>
      <x:c r="N7" s="7" t="inlineStr">
        <x:is>
          <x:t xml:space="preserve"/>
        </x:is>
      </x:c>
      <x:c r="O7" s="7" t="inlineStr">
        <x:is>
          <x:t xml:space="preserve"/>
        </x:is>
      </x:c>
      <x:c r="P7" s="7" t="inlineStr">
        <x:is>
          <x:t xml:space="preserve"/>
        </x:is>
      </x:c>
      <x:c r="Q7" s="6" t="inlineStr">
        <x:is>
          <x:t xml:space="preserve"/>
        </x:is>
      </x:c>
    </x:row>
    <x:row r="8" ht="35" customHeight="1">
      <x:c r="A8" s="7" t="inlineStr">
        <x:is>
          <x:t xml:space="preserve"/>
        </x:is>
      </x:c>
      <x:c r="B8" s="6" t="inlineStr">
        <x:is>
          <x:t xml:space="preserve"/>
        </x:is>
      </x:c>
      <x:c r="C8" s="6" t="inlineStr">
        <x:is>
          <x:t xml:space="preserve"/>
        </x:is>
      </x:c>
      <x:c r="D8" s="6" t="inlineStr">
        <x:is>
          <x:t xml:space="preserve"/>
        </x:is>
      </x:c>
      <x:c r="E8" s="6" t="inlineStr">
        <x:is>
          <x:t xml:space="preserve"/>
        </x:is>
      </x:c>
      <x:c r="F8" s="6" t="inlineStr">
        <x:is>
          <x:t xml:space="preserve"/>
        </x:is>
      </x:c>
      <x:c r="G8" s="7" t="inlineStr">
        <x:is>
          <x:t xml:space="preserve"/>
        </x:is>
      </x:c>
      <x:c r="H8" s="6" t="inlineStr">
        <x:is>
          <x:t xml:space="preserve"/>
        </x:is>
      </x:c>
      <x:c r="I8" s="7" t="inlineStr">
        <x:is>
          <x:t xml:space="preserve"/>
        </x:is>
      </x:c>
      <x:c r="J8" s="6" t="inlineStr">
        <x:is>
          <x:t xml:space="preserve"/>
        </x:is>
      </x:c>
      <x:c r="K8" s="7" t="inlineStr">
        <x:is>
          <x:t xml:space="preserve"/>
        </x:is>
      </x:c>
      <x:c r="L8" s="7" t="inlineStr">
        <x:is>
          <x:t xml:space="preserve"/>
        </x:is>
      </x:c>
      <x:c r="M8" s="7" t="inlineStr">
        <x:is>
          <x:t xml:space="preserve"/>
        </x:is>
      </x:c>
      <x:c r="N8" s="7" t="inlineStr">
        <x:is>
          <x:t xml:space="preserve"/>
        </x:is>
      </x:c>
      <x:c r="O8" s="7" t="inlineStr">
        <x:is>
          <x:t xml:space="preserve"/>
        </x:is>
      </x:c>
      <x:c r="P8" s="7" t="inlineStr">
        <x:is>
          <x:t xml:space="preserve"/>
        </x:is>
      </x:c>
      <x:c r="Q8" s="6" t="inlineStr">
        <x:is>
          <x:t xml:space="preserve"/>
        </x:is>
      </x:c>
    </x:row>
    <x:row r="9" ht="35" customHeight="1">
      <x:c r="A9" s="7" t="inlineStr">
        <x:is>
          <x:t xml:space="preserve"/>
        </x:is>
      </x:c>
      <x:c r="B9" s="6" t="inlineStr">
        <x:is>
          <x:t xml:space="preserve"/>
        </x:is>
      </x:c>
      <x:c r="C9" s="6" t="inlineStr">
        <x:is>
          <x:t xml:space="preserve"/>
        </x:is>
      </x:c>
      <x:c r="D9" s="6" t="inlineStr">
        <x:is>
          <x:t xml:space="preserve"/>
        </x:is>
      </x:c>
      <x:c r="E9" s="6" t="inlineStr">
        <x:is>
          <x:t xml:space="preserve"/>
        </x:is>
      </x:c>
      <x:c r="F9" s="6" t="inlineStr">
        <x:is>
          <x:t xml:space="preserve"/>
        </x:is>
      </x:c>
      <x:c r="G9" s="7" t="inlineStr">
        <x:is>
          <x:t xml:space="preserve"/>
        </x:is>
      </x:c>
      <x:c r="H9" s="6" t="inlineStr">
        <x:is>
          <x:t xml:space="preserve"/>
        </x:is>
      </x:c>
      <x:c r="I9" s="7" t="inlineStr">
        <x:is>
          <x:t xml:space="preserve"/>
        </x:is>
      </x:c>
      <x:c r="J9" s="6" t="inlineStr">
        <x:is>
          <x:t xml:space="preserve"/>
        </x:is>
      </x:c>
      <x:c r="K9" s="7" t="inlineStr">
        <x:is>
          <x:t xml:space="preserve"/>
        </x:is>
      </x:c>
      <x:c r="L9" s="7" t="inlineStr">
        <x:is>
          <x:t xml:space="preserve"/>
        </x:is>
      </x:c>
      <x:c r="M9" s="7" t="inlineStr">
        <x:is>
          <x:t xml:space="preserve"/>
        </x:is>
      </x:c>
      <x:c r="N9" s="7" t="inlineStr">
        <x:is>
          <x:t xml:space="preserve"/>
        </x:is>
      </x:c>
      <x:c r="O9" s="7" t="inlineStr">
        <x:is>
          <x:t xml:space="preserve"/>
        </x:is>
      </x:c>
      <x:c r="P9" s="7" t="inlineStr">
        <x:is>
          <x:t xml:space="preserve"/>
        </x:is>
      </x:c>
      <x:c r="Q9" s="6" t="inlineStr">
        <x:is>
          <x:t xml:space="preserve"/>
        </x:is>
      </x:c>
    </x:row>
    <x:row r="10" ht="35" customHeight="1">
      <x:c r="A10" s="7" t="inlineStr">
        <x:is>
          <x:t xml:space="preserve"/>
        </x:is>
      </x:c>
      <x:c r="B10" s="6" t="inlineStr">
        <x:is>
          <x:t xml:space="preserve"/>
        </x:is>
      </x:c>
      <x:c r="C10" s="6" t="inlineStr">
        <x:is>
          <x:t xml:space="preserve"/>
        </x:is>
      </x:c>
      <x:c r="D10" s="6" t="inlineStr">
        <x:is>
          <x:t xml:space="preserve"/>
        </x:is>
      </x:c>
      <x:c r="E10" s="6" t="inlineStr">
        <x:is>
          <x:t xml:space="preserve"/>
        </x:is>
      </x:c>
      <x:c r="F10" s="6" t="inlineStr">
        <x:is>
          <x:t xml:space="preserve"/>
        </x:is>
      </x:c>
      <x:c r="G10" s="7" t="inlineStr">
        <x:is>
          <x:t xml:space="preserve"/>
        </x:is>
      </x:c>
      <x:c r="H10" s="6" t="inlineStr">
        <x:is>
          <x:t xml:space="preserve"/>
        </x:is>
      </x:c>
      <x:c r="I10" s="7" t="inlineStr">
        <x:is>
          <x:t xml:space="preserve"/>
        </x:is>
      </x:c>
      <x:c r="J10" s="6" t="inlineStr">
        <x:is>
          <x:t xml:space="preserve"/>
        </x:is>
      </x:c>
      <x:c r="K10" s="7" t="inlineStr">
        <x:is>
          <x:t xml:space="preserve"/>
        </x:is>
      </x:c>
      <x:c r="L10" s="7" t="inlineStr">
        <x:is>
          <x:t xml:space="preserve"/>
        </x:is>
      </x:c>
      <x:c r="M10" s="7" t="inlineStr">
        <x:is>
          <x:t xml:space="preserve"/>
        </x:is>
      </x:c>
      <x:c r="N10" s="7" t="inlineStr">
        <x:is>
          <x:t xml:space="preserve"/>
        </x:is>
      </x:c>
      <x:c r="O10" s="7" t="inlineStr">
        <x:is>
          <x:t xml:space="preserve"/>
        </x:is>
      </x:c>
      <x:c r="P10" s="7" t="inlineStr">
        <x:is>
          <x:t xml:space="preserve"/>
        </x:is>
      </x:c>
      <x:c r="Q10" s="6" t="inlineStr">
        <x:is>
          <x:t xml:space="preserve"/>
        </x:is>
      </x:c>
    </x:row>
    <x:row r="11" ht="35" customHeight="1">
      <x:c r="A11" s="7" t="inlineStr">
        <x:is>
          <x:t xml:space="preserve"/>
        </x:is>
      </x:c>
      <x:c r="B11" s="6" t="inlineStr">
        <x:is>
          <x:t xml:space="preserve"/>
        </x:is>
      </x:c>
      <x:c r="C11" s="6" t="inlineStr">
        <x:is>
          <x:t xml:space="preserve"/>
        </x:is>
      </x:c>
      <x:c r="D11" s="6" t="inlineStr">
        <x:is>
          <x:t xml:space="preserve"/>
        </x:is>
      </x:c>
      <x:c r="E11" s="6" t="inlineStr">
        <x:is>
          <x:t xml:space="preserve"/>
        </x:is>
      </x:c>
      <x:c r="F11" s="6" t="inlineStr">
        <x:is>
          <x:t xml:space="preserve"/>
        </x:is>
      </x:c>
      <x:c r="G11" s="7" t="inlineStr">
        <x:is>
          <x:t xml:space="preserve"/>
        </x:is>
      </x:c>
      <x:c r="H11" s="6" t="inlineStr">
        <x:is>
          <x:t xml:space="preserve"/>
        </x:is>
      </x:c>
      <x:c r="I11" s="7" t="inlineStr">
        <x:is>
          <x:t xml:space="preserve"/>
        </x:is>
      </x:c>
      <x:c r="J11" s="6" t="inlineStr">
        <x:is>
          <x:t xml:space="preserve"/>
        </x:is>
      </x:c>
      <x:c r="K11" s="7" t="inlineStr">
        <x:is>
          <x:t xml:space="preserve"/>
        </x:is>
      </x:c>
      <x:c r="L11" s="7" t="inlineStr">
        <x:is>
          <x:t xml:space="preserve"/>
        </x:is>
      </x:c>
      <x:c r="M11" s="7" t="inlineStr">
        <x:is>
          <x:t xml:space="preserve"/>
        </x:is>
      </x:c>
      <x:c r="N11" s="7" t="inlineStr">
        <x:is>
          <x:t xml:space="preserve"/>
        </x:is>
      </x:c>
      <x:c r="O11" s="7" t="inlineStr">
        <x:is>
          <x:t xml:space="preserve"/>
        </x:is>
      </x:c>
      <x:c r="P11" s="7" t="inlineStr">
        <x:is>
          <x:t xml:space="preserve"/>
        </x:is>
      </x:c>
      <x:c r="Q11" s="6" t="inlineStr">
        <x:is>
          <x:t xml:space="preserve"/>
        </x:is>
      </x:c>
    </x:row>
    <x:row r="12" ht="35" customHeight="1">
      <x:c r="A12" s="7" t="inlineStr">
        <x:is>
          <x:t xml:space="preserve"/>
        </x:is>
      </x:c>
      <x:c r="B12" s="6" t="inlineStr">
        <x:is>
          <x:t xml:space="preserve"/>
        </x:is>
      </x:c>
      <x:c r="C12" s="6" t="inlineStr">
        <x:is>
          <x:t xml:space="preserve"/>
        </x:is>
      </x:c>
      <x:c r="D12" s="6" t="inlineStr">
        <x:is>
          <x:t xml:space="preserve"/>
        </x:is>
      </x:c>
      <x:c r="E12" s="6" t="inlineStr">
        <x:is>
          <x:t xml:space="preserve"/>
        </x:is>
      </x:c>
      <x:c r="F12" s="6" t="inlineStr">
        <x:is>
          <x:t xml:space="preserve"/>
        </x:is>
      </x:c>
      <x:c r="G12" s="7" t="inlineStr">
        <x:is>
          <x:t xml:space="preserve"/>
        </x:is>
      </x:c>
      <x:c r="H12" s="6" t="inlineStr">
        <x:is>
          <x:t xml:space="preserve"/>
        </x:is>
      </x:c>
      <x:c r="I12" s="7" t="inlineStr">
        <x:is>
          <x:t xml:space="preserve"/>
        </x:is>
      </x:c>
      <x:c r="J12" s="6" t="inlineStr">
        <x:is>
          <x:t xml:space="preserve"/>
        </x:is>
      </x:c>
      <x:c r="K12" s="7" t="inlineStr">
        <x:is>
          <x:t xml:space="preserve"/>
        </x:is>
      </x:c>
      <x:c r="L12" s="7" t="inlineStr">
        <x:is>
          <x:t xml:space="preserve"/>
        </x:is>
      </x:c>
      <x:c r="M12" s="7" t="inlineStr">
        <x:is>
          <x:t xml:space="preserve"/>
        </x:is>
      </x:c>
      <x:c r="N12" s="7" t="inlineStr">
        <x:is>
          <x:t xml:space="preserve"/>
        </x:is>
      </x:c>
      <x:c r="O12" s="7" t="inlineStr">
        <x:is>
          <x:t xml:space="preserve"/>
        </x:is>
      </x:c>
      <x:c r="P12" s="7" t="inlineStr">
        <x:is>
          <x:t xml:space="preserve"/>
        </x:is>
      </x:c>
      <x:c r="Q12" s="6" t="inlineStr">
        <x:is>
          <x:t xml:space="preserve"/>
        </x:is>
      </x:c>
    </x:row>
    <x:row r="13" ht="35" customHeight="1">
      <x:c r="A13" s="7" t="inlineStr">
        <x:is>
          <x:t xml:space="preserve"/>
        </x:is>
      </x:c>
      <x:c r="B13" s="6" t="inlineStr">
        <x:is>
          <x:t xml:space="preserve"/>
        </x:is>
      </x:c>
      <x:c r="C13" s="6" t="inlineStr">
        <x:is>
          <x:t xml:space="preserve"/>
        </x:is>
      </x:c>
      <x:c r="D13" s="6" t="inlineStr">
        <x:is>
          <x:t xml:space="preserve"/>
        </x:is>
      </x:c>
      <x:c r="E13" s="6" t="inlineStr">
        <x:is>
          <x:t xml:space="preserve"/>
        </x:is>
      </x:c>
      <x:c r="F13" s="6" t="inlineStr">
        <x:is>
          <x:t xml:space="preserve"/>
        </x:is>
      </x:c>
      <x:c r="G13" s="7" t="inlineStr">
        <x:is>
          <x:t xml:space="preserve"/>
        </x:is>
      </x:c>
      <x:c r="H13" s="6" t="inlineStr">
        <x:is>
          <x:t xml:space="preserve"/>
        </x:is>
      </x:c>
      <x:c r="I13" s="7" t="inlineStr">
        <x:is>
          <x:t xml:space="preserve"/>
        </x:is>
      </x:c>
      <x:c r="J13" s="6" t="inlineStr">
        <x:is>
          <x:t xml:space="preserve"/>
        </x:is>
      </x:c>
      <x:c r="K13" s="7" t="inlineStr">
        <x:is>
          <x:t xml:space="preserve"/>
        </x:is>
      </x:c>
      <x:c r="L13" s="7" t="inlineStr">
        <x:is>
          <x:t xml:space="preserve"/>
        </x:is>
      </x:c>
      <x:c r="M13" s="7" t="inlineStr">
        <x:is>
          <x:t xml:space="preserve"/>
        </x:is>
      </x:c>
      <x:c r="N13" s="7" t="inlineStr">
        <x:is>
          <x:t xml:space="preserve"/>
        </x:is>
      </x:c>
      <x:c r="O13" s="7" t="inlineStr">
        <x:is>
          <x:t xml:space="preserve"/>
        </x:is>
      </x:c>
      <x:c r="P13" s="7" t="inlineStr">
        <x:is>
          <x:t xml:space="preserve"/>
        </x:is>
      </x:c>
      <x:c r="Q13" s="6" t="inlineStr">
        <x:is>
          <x:t xml:space="preserve"/>
        </x:is>
      </x:c>
    </x:row>
    <x:row r="14" ht="35" customHeight="1">
      <x:c r="A14" s="7" t="inlineStr">
        <x:is>
          <x:t xml:space="preserve"/>
        </x:is>
      </x:c>
      <x:c r="B14" s="6" t="inlineStr">
        <x:is>
          <x:t xml:space="preserve"/>
        </x:is>
      </x:c>
      <x:c r="C14" s="6" t="inlineStr">
        <x:is>
          <x:t xml:space="preserve"/>
        </x:is>
      </x:c>
      <x:c r="D14" s="6" t="inlineStr">
        <x:is>
          <x:t xml:space="preserve"/>
        </x:is>
      </x:c>
      <x:c r="E14" s="6" t="inlineStr">
        <x:is>
          <x:t xml:space="preserve"/>
        </x:is>
      </x:c>
      <x:c r="F14" s="6" t="inlineStr">
        <x:is>
          <x:t xml:space="preserve"/>
        </x:is>
      </x:c>
      <x:c r="G14" s="7" t="inlineStr">
        <x:is>
          <x:t xml:space="preserve"/>
        </x:is>
      </x:c>
      <x:c r="H14" s="6" t="inlineStr">
        <x:is>
          <x:t xml:space="preserve"/>
        </x:is>
      </x:c>
      <x:c r="I14" s="7" t="inlineStr">
        <x:is>
          <x:t xml:space="preserve"/>
        </x:is>
      </x:c>
      <x:c r="J14" s="6" t="inlineStr">
        <x:is>
          <x:t xml:space="preserve"/>
        </x:is>
      </x:c>
      <x:c r="K14" s="7" t="inlineStr">
        <x:is>
          <x:t xml:space="preserve"/>
        </x:is>
      </x:c>
      <x:c r="L14" s="7" t="inlineStr">
        <x:is>
          <x:t xml:space="preserve"/>
        </x:is>
      </x:c>
      <x:c r="M14" s="7" t="inlineStr">
        <x:is>
          <x:t xml:space="preserve"/>
        </x:is>
      </x:c>
      <x:c r="N14" s="7" t="inlineStr">
        <x:is>
          <x:t xml:space="preserve"/>
        </x:is>
      </x:c>
      <x:c r="O14" s="7" t="inlineStr">
        <x:is>
          <x:t xml:space="preserve"/>
        </x:is>
      </x:c>
      <x:c r="P14" s="7" t="inlineStr">
        <x:is>
          <x:t xml:space="preserve"/>
        </x:is>
      </x:c>
      <x:c r="Q14" s="6" t="inlineStr">
        <x:is>
          <x:t xml:space="preserve"/>
        </x:is>
      </x:c>
    </x:row>
    <x:row r="15" ht="35" customHeight="1">
      <x:c r="A15" s="7" t="inlineStr">
        <x:is>
          <x:t xml:space="preserve"/>
        </x:is>
      </x:c>
      <x:c r="B15" s="6" t="inlineStr">
        <x:is>
          <x:t xml:space="preserve"/>
        </x:is>
      </x:c>
      <x:c r="C15" s="6" t="inlineStr">
        <x:is>
          <x:t xml:space="preserve"/>
        </x:is>
      </x:c>
      <x:c r="D15" s="6" t="inlineStr">
        <x:is>
          <x:t xml:space="preserve"/>
        </x:is>
      </x:c>
      <x:c r="E15" s="6" t="inlineStr">
        <x:is>
          <x:t xml:space="preserve"/>
        </x:is>
      </x:c>
      <x:c r="F15" s="6" t="inlineStr">
        <x:is>
          <x:t xml:space="preserve"/>
        </x:is>
      </x:c>
      <x:c r="G15" s="7" t="inlineStr">
        <x:is>
          <x:t xml:space="preserve"/>
        </x:is>
      </x:c>
      <x:c r="H15" s="6" t="inlineStr">
        <x:is>
          <x:t xml:space="preserve"/>
        </x:is>
      </x:c>
      <x:c r="I15" s="7" t="inlineStr">
        <x:is>
          <x:t xml:space="preserve"/>
        </x:is>
      </x:c>
      <x:c r="J15" s="6" t="inlineStr">
        <x:is>
          <x:t xml:space="preserve"/>
        </x:is>
      </x:c>
      <x:c r="K15" s="7" t="inlineStr">
        <x:is>
          <x:t xml:space="preserve"/>
        </x:is>
      </x:c>
      <x:c r="L15" s="7" t="inlineStr">
        <x:is>
          <x:t xml:space="preserve"/>
        </x:is>
      </x:c>
      <x:c r="M15" s="7" t="inlineStr">
        <x:is>
          <x:t xml:space="preserve"/>
        </x:is>
      </x:c>
      <x:c r="N15" s="7" t="inlineStr">
        <x:is>
          <x:t xml:space="preserve"/>
        </x:is>
      </x:c>
      <x:c r="O15" s="7" t="inlineStr">
        <x:is>
          <x:t xml:space="preserve"/>
        </x:is>
      </x:c>
      <x:c r="P15" s="7" t="inlineStr">
        <x:is>
          <x:t xml:space="preserve"/>
        </x:is>
      </x:c>
      <x:c r="Q15" s="6" t="inlineStr">
        <x:is>
          <x:t xml:space="preserve"/>
        </x:is>
      </x:c>
    </x:row>
    <x:row r="16" ht="35" customHeight="1">
      <x:c r="A16" s="7" t="inlineStr">
        <x:is>
          <x:t xml:space="preserve"/>
        </x:is>
      </x:c>
      <x:c r="B16" s="6" t="inlineStr">
        <x:is>
          <x:t xml:space="preserve"/>
        </x:is>
      </x:c>
      <x:c r="C16" s="6" t="inlineStr">
        <x:is>
          <x:t xml:space="preserve"/>
        </x:is>
      </x:c>
      <x:c r="D16" s="6" t="inlineStr">
        <x:is>
          <x:t xml:space="preserve"/>
        </x:is>
      </x:c>
      <x:c r="E16" s="6" t="inlineStr">
        <x:is>
          <x:t xml:space="preserve"/>
        </x:is>
      </x:c>
      <x:c r="F16" s="6" t="inlineStr">
        <x:is>
          <x:t xml:space="preserve"/>
        </x:is>
      </x:c>
      <x:c r="G16" s="7" t="inlineStr">
        <x:is>
          <x:t xml:space="preserve"/>
        </x:is>
      </x:c>
      <x:c r="H16" s="6" t="inlineStr">
        <x:is>
          <x:t xml:space="preserve"/>
        </x:is>
      </x:c>
      <x:c r="I16" s="7" t="inlineStr">
        <x:is>
          <x:t xml:space="preserve"/>
        </x:is>
      </x:c>
      <x:c r="J16" s="6" t="inlineStr">
        <x:is>
          <x:t xml:space="preserve"/>
        </x:is>
      </x:c>
      <x:c r="K16" s="7" t="inlineStr">
        <x:is>
          <x:t xml:space="preserve"/>
        </x:is>
      </x:c>
      <x:c r="L16" s="7" t="inlineStr">
        <x:is>
          <x:t xml:space="preserve"/>
        </x:is>
      </x:c>
      <x:c r="M16" s="7" t="inlineStr">
        <x:is>
          <x:t xml:space="preserve"/>
        </x:is>
      </x:c>
      <x:c r="N16" s="7" t="inlineStr">
        <x:is>
          <x:t xml:space="preserve"/>
        </x:is>
      </x:c>
      <x:c r="O16" s="7" t="inlineStr">
        <x:is>
          <x:t xml:space="preserve"/>
        </x:is>
      </x:c>
      <x:c r="P16" s="7" t="inlineStr">
        <x:is>
          <x:t xml:space="preserve"/>
        </x:is>
      </x:c>
      <x:c r="Q16" s="6" t="inlineStr">
        <x:is>
          <x:t xml:space="preserve"/>
        </x:is>
      </x:c>
    </x:row>
    <x:row r="17" ht="35" customHeight="1">
      <x:c r="A17" s="7" t="inlineStr">
        <x:is>
          <x:t xml:space="preserve"/>
        </x:is>
      </x:c>
      <x:c r="B17" s="6" t="inlineStr">
        <x:is>
          <x:t xml:space="preserve"/>
        </x:is>
      </x:c>
      <x:c r="C17" s="6" t="inlineStr">
        <x:is>
          <x:t xml:space="preserve"/>
        </x:is>
      </x:c>
      <x:c r="D17" s="6" t="inlineStr">
        <x:is>
          <x:t xml:space="preserve"/>
        </x:is>
      </x:c>
      <x:c r="E17" s="6" t="inlineStr">
        <x:is>
          <x:t xml:space="preserve"/>
        </x:is>
      </x:c>
      <x:c r="F17" s="6" t="inlineStr">
        <x:is>
          <x:t xml:space="preserve"/>
        </x:is>
      </x:c>
      <x:c r="G17" s="7" t="inlineStr">
        <x:is>
          <x:t xml:space="preserve"/>
        </x:is>
      </x:c>
      <x:c r="H17" s="6" t="inlineStr">
        <x:is>
          <x:t xml:space="preserve"/>
        </x:is>
      </x:c>
      <x:c r="I17" s="7" t="inlineStr">
        <x:is>
          <x:t xml:space="preserve"/>
        </x:is>
      </x:c>
      <x:c r="J17" s="6" t="inlineStr">
        <x:is>
          <x:t xml:space="preserve"/>
        </x:is>
      </x:c>
      <x:c r="K17" s="7" t="inlineStr">
        <x:is>
          <x:t xml:space="preserve"/>
        </x:is>
      </x:c>
      <x:c r="L17" s="7" t="inlineStr">
        <x:is>
          <x:t xml:space="preserve"/>
        </x:is>
      </x:c>
      <x:c r="M17" s="7" t="inlineStr">
        <x:is>
          <x:t xml:space="preserve"/>
        </x:is>
      </x:c>
      <x:c r="N17" s="7" t="inlineStr">
        <x:is>
          <x:t xml:space="preserve"/>
        </x:is>
      </x:c>
      <x:c r="O17" s="7" t="inlineStr">
        <x:is>
          <x:t xml:space="preserve"/>
        </x:is>
      </x:c>
      <x:c r="P17" s="7" t="inlineStr">
        <x:is>
          <x:t xml:space="preserve"/>
        </x:is>
      </x:c>
      <x:c r="Q17" s="6" t="inlineStr">
        <x:is>
          <x:t xml:space="preserve"/>
        </x:is>
      </x:c>
    </x:row>
    <x:row r="18" ht="35" customHeight="1">
      <x:c r="A18" s="7" t="inlineStr">
        <x:is>
          <x:t xml:space="preserve"/>
        </x:is>
      </x:c>
      <x:c r="B18" s="6" t="inlineStr">
        <x:is>
          <x:t xml:space="preserve"/>
        </x:is>
      </x:c>
      <x:c r="C18" s="6" t="inlineStr">
        <x:is>
          <x:t xml:space="preserve"/>
        </x:is>
      </x:c>
      <x:c r="D18" s="6" t="inlineStr">
        <x:is>
          <x:t xml:space="preserve"/>
        </x:is>
      </x:c>
      <x:c r="E18" s="6" t="inlineStr">
        <x:is>
          <x:t xml:space="preserve"/>
        </x:is>
      </x:c>
      <x:c r="F18" s="6" t="inlineStr">
        <x:is>
          <x:t xml:space="preserve"/>
        </x:is>
      </x:c>
      <x:c r="G18" s="7" t="inlineStr">
        <x:is>
          <x:t xml:space="preserve"/>
        </x:is>
      </x:c>
      <x:c r="H18" s="6" t="inlineStr">
        <x:is>
          <x:t xml:space="preserve"/>
        </x:is>
      </x:c>
      <x:c r="I18" s="7" t="inlineStr">
        <x:is>
          <x:t xml:space="preserve"/>
        </x:is>
      </x:c>
      <x:c r="J18" s="6" t="inlineStr">
        <x:is>
          <x:t xml:space="preserve"/>
        </x:is>
      </x:c>
      <x:c r="K18" s="7" t="inlineStr">
        <x:is>
          <x:t xml:space="preserve"/>
        </x:is>
      </x:c>
      <x:c r="L18" s="7" t="inlineStr">
        <x:is>
          <x:t xml:space="preserve"/>
        </x:is>
      </x:c>
      <x:c r="M18" s="7" t="inlineStr">
        <x:is>
          <x:t xml:space="preserve"/>
        </x:is>
      </x:c>
      <x:c r="N18" s="7" t="inlineStr">
        <x:is>
          <x:t xml:space="preserve"/>
        </x:is>
      </x:c>
      <x:c r="O18" s="7" t="inlineStr">
        <x:is>
          <x:t xml:space="preserve"/>
        </x:is>
      </x:c>
      <x:c r="P18" s="7" t="inlineStr">
        <x:is>
          <x:t xml:space="preserve"/>
        </x:is>
      </x:c>
      <x:c r="Q18" s="6" t="inlineStr">
        <x:is>
          <x:t xml:space="preserve"/>
        </x:is>
      </x:c>
    </x:row>
    <x:row r="19" ht="35" customHeight="1">
      <x:c r="A19" s="7" t="inlineStr">
        <x:is>
          <x:t xml:space="preserve"/>
        </x:is>
      </x:c>
      <x:c r="B19" s="6" t="inlineStr">
        <x:is>
          <x:t xml:space="preserve"/>
        </x:is>
      </x:c>
      <x:c r="C19" s="6" t="inlineStr">
        <x:is>
          <x:t xml:space="preserve"/>
        </x:is>
      </x:c>
      <x:c r="D19" s="6" t="inlineStr">
        <x:is>
          <x:t xml:space="preserve"/>
        </x:is>
      </x:c>
      <x:c r="E19" s="6" t="inlineStr">
        <x:is>
          <x:t xml:space="preserve"/>
        </x:is>
      </x:c>
      <x:c r="F19" s="6" t="inlineStr">
        <x:is>
          <x:t xml:space="preserve"/>
        </x:is>
      </x:c>
      <x:c r="G19" s="7" t="inlineStr">
        <x:is>
          <x:t xml:space="preserve"/>
        </x:is>
      </x:c>
      <x:c r="H19" s="6" t="inlineStr">
        <x:is>
          <x:t xml:space="preserve"/>
        </x:is>
      </x:c>
      <x:c r="I19" s="7" t="inlineStr">
        <x:is>
          <x:t xml:space="preserve"/>
        </x:is>
      </x:c>
      <x:c r="J19" s="6" t="inlineStr">
        <x:is>
          <x:t xml:space="preserve"/>
        </x:is>
      </x:c>
      <x:c r="K19" s="7" t="inlineStr">
        <x:is>
          <x:t xml:space="preserve"/>
        </x:is>
      </x:c>
      <x:c r="L19" s="7" t="inlineStr">
        <x:is>
          <x:t xml:space="preserve"/>
        </x:is>
      </x:c>
      <x:c r="M19" s="7" t="inlineStr">
        <x:is>
          <x:t xml:space="preserve"/>
        </x:is>
      </x:c>
      <x:c r="N19" s="7" t="inlineStr">
        <x:is>
          <x:t xml:space="preserve"/>
        </x:is>
      </x:c>
      <x:c r="O19" s="7" t="inlineStr">
        <x:is>
          <x:t xml:space="preserve"/>
        </x:is>
      </x:c>
      <x:c r="P19" s="7" t="inlineStr">
        <x:is>
          <x:t xml:space="preserve"/>
        </x:is>
      </x:c>
      <x:c r="Q19" s="6" t="inlineStr">
        <x:is>
          <x:t xml:space="preserve"/>
        </x:is>
      </x:c>
    </x:row>
    <x:row r="20" ht="35" customHeight="1">
      <x:c r="A20" s="7" t="inlineStr">
        <x:is>
          <x:t xml:space="preserve"/>
        </x:is>
      </x:c>
      <x:c r="B20" s="6" t="inlineStr">
        <x:is>
          <x:t xml:space="preserve"/>
        </x:is>
      </x:c>
      <x:c r="C20" s="6" t="inlineStr">
        <x:is>
          <x:t xml:space="preserve"/>
        </x:is>
      </x:c>
      <x:c r="D20" s="6" t="inlineStr">
        <x:is>
          <x:t xml:space="preserve"/>
        </x:is>
      </x:c>
      <x:c r="E20" s="6" t="inlineStr">
        <x:is>
          <x:t xml:space="preserve"/>
        </x:is>
      </x:c>
      <x:c r="F20" s="6" t="inlineStr">
        <x:is>
          <x:t xml:space="preserve"/>
        </x:is>
      </x:c>
      <x:c r="G20" s="7" t="inlineStr">
        <x:is>
          <x:t xml:space="preserve"/>
        </x:is>
      </x:c>
      <x:c r="H20" s="6" t="inlineStr">
        <x:is>
          <x:t xml:space="preserve"/>
        </x:is>
      </x:c>
      <x:c r="I20" s="7" t="inlineStr">
        <x:is>
          <x:t xml:space="preserve"/>
        </x:is>
      </x:c>
      <x:c r="J20" s="6" t="inlineStr">
        <x:is>
          <x:t xml:space="preserve"/>
        </x:is>
      </x:c>
      <x:c r="K20" s="7" t="inlineStr">
        <x:is>
          <x:t xml:space="preserve"/>
        </x:is>
      </x:c>
      <x:c r="L20" s="7" t="inlineStr">
        <x:is>
          <x:t xml:space="preserve"/>
        </x:is>
      </x:c>
      <x:c r="M20" s="7" t="inlineStr">
        <x:is>
          <x:t xml:space="preserve"/>
        </x:is>
      </x:c>
      <x:c r="N20" s="7" t="inlineStr">
        <x:is>
          <x:t xml:space="preserve"/>
        </x:is>
      </x:c>
      <x:c r="O20" s="7" t="inlineStr">
        <x:is>
          <x:t xml:space="preserve"/>
        </x:is>
      </x:c>
      <x:c r="P20" s="7" t="inlineStr">
        <x:is>
          <x:t xml:space="preserve"/>
        </x:is>
      </x:c>
      <x:c r="Q20" s="6" t="inlineStr">
        <x:is>
          <x:t xml:space="preserve"/>
        </x:is>
      </x:c>
    </x:row>
    <x:row r="21" ht="35" customHeight="1">
      <x:c r="A21" s="7" t="inlineStr">
        <x:is>
          <x:t xml:space="preserve"/>
        </x:is>
      </x:c>
      <x:c r="B21" s="6" t="inlineStr">
        <x:is>
          <x:t xml:space="preserve"/>
        </x:is>
      </x:c>
      <x:c r="C21" s="6" t="inlineStr">
        <x:is>
          <x:t xml:space="preserve"/>
        </x:is>
      </x:c>
      <x:c r="D21" s="6" t="inlineStr">
        <x:is>
          <x:t xml:space="preserve"/>
        </x:is>
      </x:c>
      <x:c r="E21" s="6" t="inlineStr">
        <x:is>
          <x:t xml:space="preserve"/>
        </x:is>
      </x:c>
      <x:c r="F21" s="6" t="inlineStr">
        <x:is>
          <x:t xml:space="preserve"/>
        </x:is>
      </x:c>
      <x:c r="G21" s="7" t="inlineStr">
        <x:is>
          <x:t xml:space="preserve"/>
        </x:is>
      </x:c>
      <x:c r="H21" s="6" t="inlineStr">
        <x:is>
          <x:t xml:space="preserve"/>
        </x:is>
      </x:c>
      <x:c r="I21" s="7" t="inlineStr">
        <x:is>
          <x:t xml:space="preserve"/>
        </x:is>
      </x:c>
      <x:c r="J21" s="6" t="inlineStr">
        <x:is>
          <x:t xml:space="preserve"/>
        </x:is>
      </x:c>
      <x:c r="K21" s="7" t="inlineStr">
        <x:is>
          <x:t xml:space="preserve"/>
        </x:is>
      </x:c>
      <x:c r="L21" s="7" t="inlineStr">
        <x:is>
          <x:t xml:space="preserve"/>
        </x:is>
      </x:c>
      <x:c r="M21" s="7" t="inlineStr">
        <x:is>
          <x:t xml:space="preserve"/>
        </x:is>
      </x:c>
      <x:c r="N21" s="7" t="inlineStr">
        <x:is>
          <x:t xml:space="preserve"/>
        </x:is>
      </x:c>
      <x:c r="O21" s="7" t="inlineStr">
        <x:is>
          <x:t xml:space="preserve"/>
        </x:is>
      </x:c>
      <x:c r="P21" s="7" t="inlineStr">
        <x:is>
          <x:t xml:space="preserve"/>
        </x:is>
      </x:c>
      <x:c r="Q21" s="6" t="inlineStr">
        <x:is>
          <x:t xml:space="preserve"/>
        </x:is>
      </x:c>
    </x:row>
    <x:row r="22" ht="35" customHeight="1">
      <x:c r="A22" s="7" t="inlineStr">
        <x:is>
          <x:t xml:space="preserve"/>
        </x:is>
      </x:c>
      <x:c r="B22" s="6" t="inlineStr">
        <x:is>
          <x:t xml:space="preserve"/>
        </x:is>
      </x:c>
      <x:c r="C22" s="6" t="inlineStr">
        <x:is>
          <x:t xml:space="preserve"/>
        </x:is>
      </x:c>
      <x:c r="D22" s="6" t="inlineStr">
        <x:is>
          <x:t xml:space="preserve"/>
        </x:is>
      </x:c>
      <x:c r="E22" s="6" t="inlineStr">
        <x:is>
          <x:t xml:space="preserve"/>
        </x:is>
      </x:c>
      <x:c r="F22" s="6" t="inlineStr">
        <x:is>
          <x:t xml:space="preserve"/>
        </x:is>
      </x:c>
      <x:c r="G22" s="7" t="inlineStr">
        <x:is>
          <x:t xml:space="preserve"/>
        </x:is>
      </x:c>
      <x:c r="H22" s="6" t="inlineStr">
        <x:is>
          <x:t xml:space="preserve"/>
        </x:is>
      </x:c>
      <x:c r="I22" s="7" t="inlineStr">
        <x:is>
          <x:t xml:space="preserve"/>
        </x:is>
      </x:c>
      <x:c r="J22" s="6" t="inlineStr">
        <x:is>
          <x:t xml:space="preserve"/>
        </x:is>
      </x:c>
      <x:c r="K22" s="7" t="inlineStr">
        <x:is>
          <x:t xml:space="preserve"/>
        </x:is>
      </x:c>
      <x:c r="L22" s="7" t="inlineStr">
        <x:is>
          <x:t xml:space="preserve"/>
        </x:is>
      </x:c>
      <x:c r="M22" s="7" t="inlineStr">
        <x:is>
          <x:t xml:space="preserve"/>
        </x:is>
      </x:c>
      <x:c r="N22" s="7" t="inlineStr">
        <x:is>
          <x:t xml:space="preserve"/>
        </x:is>
      </x:c>
      <x:c r="O22" s="7" t="inlineStr">
        <x:is>
          <x:t xml:space="preserve"/>
        </x:is>
      </x:c>
      <x:c r="P22" s="7" t="inlineStr">
        <x:is>
          <x:t xml:space="preserve"/>
        </x:is>
      </x:c>
      <x:c r="Q22" s="6" t="inlineStr">
        <x:is>
          <x:t xml:space="preserve"/>
        </x:is>
      </x:c>
    </x:row>
    <x:row r="23" ht="35" customHeight="1">
      <x:c r="A23" s="7" t="inlineStr">
        <x:is>
          <x:t xml:space="preserve"/>
        </x:is>
      </x:c>
      <x:c r="B23" s="6" t="inlineStr">
        <x:is>
          <x:t xml:space="preserve"/>
        </x:is>
      </x:c>
      <x:c r="C23" s="6" t="inlineStr">
        <x:is>
          <x:t xml:space="preserve"/>
        </x:is>
      </x:c>
      <x:c r="D23" s="6" t="inlineStr">
        <x:is>
          <x:t xml:space="preserve"/>
        </x:is>
      </x:c>
      <x:c r="E23" s="6" t="inlineStr">
        <x:is>
          <x:t xml:space="preserve"/>
        </x:is>
      </x:c>
      <x:c r="F23" s="6" t="inlineStr">
        <x:is>
          <x:t xml:space="preserve"/>
        </x:is>
      </x:c>
      <x:c r="G23" s="7" t="inlineStr">
        <x:is>
          <x:t xml:space="preserve"/>
        </x:is>
      </x:c>
      <x:c r="H23" s="6" t="inlineStr">
        <x:is>
          <x:t xml:space="preserve"/>
        </x:is>
      </x:c>
      <x:c r="I23" s="7" t="inlineStr">
        <x:is>
          <x:t xml:space="preserve"/>
        </x:is>
      </x:c>
      <x:c r="J23" s="6" t="inlineStr">
        <x:is>
          <x:t xml:space="preserve"/>
        </x:is>
      </x:c>
      <x:c r="K23" s="7" t="inlineStr">
        <x:is>
          <x:t xml:space="preserve"/>
        </x:is>
      </x:c>
      <x:c r="L23" s="7" t="inlineStr">
        <x:is>
          <x:t xml:space="preserve"/>
        </x:is>
      </x:c>
      <x:c r="M23" s="7" t="inlineStr">
        <x:is>
          <x:t xml:space="preserve"/>
        </x:is>
      </x:c>
      <x:c r="N23" s="7" t="inlineStr">
        <x:is>
          <x:t xml:space="preserve"/>
        </x:is>
      </x:c>
      <x:c r="O23" s="7" t="inlineStr">
        <x:is>
          <x:t xml:space="preserve"/>
        </x:is>
      </x:c>
      <x:c r="P23" s="7" t="inlineStr">
        <x:is>
          <x:t xml:space="preserve"/>
        </x:is>
      </x:c>
      <x:c r="Q23" s="6" t="inlineStr">
        <x:is>
          <x:t xml:space="preserve"/>
        </x:is>
      </x:c>
    </x:row>
    <x:row r="24" ht="35" customHeight="1">
      <x:c r="A24" s="7" t="inlineStr">
        <x:is>
          <x:t xml:space="preserve"/>
        </x:is>
      </x:c>
      <x:c r="B24" s="6" t="inlineStr">
        <x:is>
          <x:t xml:space="preserve"/>
        </x:is>
      </x:c>
      <x:c r="C24" s="6" t="inlineStr">
        <x:is>
          <x:t xml:space="preserve"/>
        </x:is>
      </x:c>
      <x:c r="D24" s="6" t="inlineStr">
        <x:is>
          <x:t xml:space="preserve"/>
        </x:is>
      </x:c>
      <x:c r="E24" s="6" t="inlineStr">
        <x:is>
          <x:t xml:space="preserve"/>
        </x:is>
      </x:c>
      <x:c r="F24" s="6" t="inlineStr">
        <x:is>
          <x:t xml:space="preserve"/>
        </x:is>
      </x:c>
      <x:c r="G24" s="7" t="inlineStr">
        <x:is>
          <x:t xml:space="preserve"/>
        </x:is>
      </x:c>
      <x:c r="H24" s="6" t="inlineStr">
        <x:is>
          <x:t xml:space="preserve"/>
        </x:is>
      </x:c>
      <x:c r="I24" s="7" t="inlineStr">
        <x:is>
          <x:t xml:space="preserve"/>
        </x:is>
      </x:c>
      <x:c r="J24" s="6" t="inlineStr">
        <x:is>
          <x:t xml:space="preserve"/>
        </x:is>
      </x:c>
      <x:c r="K24" s="7" t="inlineStr">
        <x:is>
          <x:t xml:space="preserve"/>
        </x:is>
      </x:c>
      <x:c r="L24" s="7" t="inlineStr">
        <x:is>
          <x:t xml:space="preserve"/>
        </x:is>
      </x:c>
      <x:c r="M24" s="7" t="inlineStr">
        <x:is>
          <x:t xml:space="preserve"/>
        </x:is>
      </x:c>
      <x:c r="N24" s="7" t="inlineStr">
        <x:is>
          <x:t xml:space="preserve"/>
        </x:is>
      </x:c>
      <x:c r="O24" s="7" t="inlineStr">
        <x:is>
          <x:t xml:space="preserve"/>
        </x:is>
      </x:c>
      <x:c r="P24" s="7" t="inlineStr">
        <x:is>
          <x:t xml:space="preserve"/>
        </x:is>
      </x:c>
      <x:c r="Q24" s="6" t="inlineStr">
        <x:is>
          <x:t xml:space="preserve"/>
        </x:is>
      </x:c>
    </x:row>
    <x:row r="25" ht="35" customHeight="1">
      <x:c r="A25" s="7" t="inlineStr">
        <x:is>
          <x:t xml:space="preserve"/>
        </x:is>
      </x:c>
      <x:c r="B25" s="6" t="inlineStr">
        <x:is>
          <x:t xml:space="preserve"/>
        </x:is>
      </x:c>
      <x:c r="C25" s="6" t="inlineStr">
        <x:is>
          <x:t xml:space="preserve"/>
        </x:is>
      </x:c>
      <x:c r="D25" s="6" t="inlineStr">
        <x:is>
          <x:t xml:space="preserve"/>
        </x:is>
      </x:c>
      <x:c r="E25" s="6" t="inlineStr">
        <x:is>
          <x:t xml:space="preserve"/>
        </x:is>
      </x:c>
      <x:c r="F25" s="6" t="inlineStr">
        <x:is>
          <x:t xml:space="preserve"/>
        </x:is>
      </x:c>
      <x:c r="G25" s="7" t="inlineStr">
        <x:is>
          <x:t xml:space="preserve"/>
        </x:is>
      </x:c>
      <x:c r="H25" s="6" t="inlineStr">
        <x:is>
          <x:t xml:space="preserve"/>
        </x:is>
      </x:c>
      <x:c r="I25" s="7" t="inlineStr">
        <x:is>
          <x:t xml:space="preserve"/>
        </x:is>
      </x:c>
      <x:c r="J25" s="6" t="inlineStr">
        <x:is>
          <x:t xml:space="preserve"/>
        </x:is>
      </x:c>
      <x:c r="K25" s="7" t="inlineStr">
        <x:is>
          <x:t xml:space="preserve"/>
        </x:is>
      </x:c>
      <x:c r="L25" s="7" t="inlineStr">
        <x:is>
          <x:t xml:space="preserve"/>
        </x:is>
      </x:c>
      <x:c r="M25" s="7" t="inlineStr">
        <x:is>
          <x:t xml:space="preserve"/>
        </x:is>
      </x:c>
      <x:c r="N25" s="7" t="inlineStr">
        <x:is>
          <x:t xml:space="preserve"/>
        </x:is>
      </x:c>
      <x:c r="O25" s="7" t="inlineStr">
        <x:is>
          <x:t xml:space="preserve"/>
        </x:is>
      </x:c>
      <x:c r="P25" s="7" t="inlineStr">
        <x:is>
          <x:t xml:space="preserve"/>
        </x:is>
      </x:c>
      <x:c r="Q25" s="6" t="inlineStr">
        <x:is>
          <x:t xml:space="preserve"/>
        </x:is>
      </x:c>
    </x:row>
    <x:row r="26" ht="35" customHeight="1">
      <x:c r="A26" s="7" t="inlineStr">
        <x:is>
          <x:t xml:space="preserve"/>
        </x:is>
      </x:c>
      <x:c r="B26" s="6" t="inlineStr">
        <x:is>
          <x:t xml:space="preserve"/>
        </x:is>
      </x:c>
      <x:c r="C26" s="6" t="inlineStr">
        <x:is>
          <x:t xml:space="preserve"/>
        </x:is>
      </x:c>
      <x:c r="D26" s="6" t="inlineStr">
        <x:is>
          <x:t xml:space="preserve"/>
        </x:is>
      </x:c>
      <x:c r="E26" s="6" t="inlineStr">
        <x:is>
          <x:t xml:space="preserve"/>
        </x:is>
      </x:c>
      <x:c r="F26" s="6" t="inlineStr">
        <x:is>
          <x:t xml:space="preserve"/>
        </x:is>
      </x:c>
      <x:c r="G26" s="7" t="inlineStr">
        <x:is>
          <x:t xml:space="preserve"/>
        </x:is>
      </x:c>
      <x:c r="H26" s="6" t="inlineStr">
        <x:is>
          <x:t xml:space="preserve"/>
        </x:is>
      </x:c>
      <x:c r="I26" s="7" t="inlineStr">
        <x:is>
          <x:t xml:space="preserve"/>
        </x:is>
      </x:c>
      <x:c r="J26" s="6" t="inlineStr">
        <x:is>
          <x:t xml:space="preserve"/>
        </x:is>
      </x:c>
      <x:c r="K26" s="7" t="inlineStr">
        <x:is>
          <x:t xml:space="preserve"/>
        </x:is>
      </x:c>
      <x:c r="L26" s="7" t="inlineStr">
        <x:is>
          <x:t xml:space="preserve"/>
        </x:is>
      </x:c>
      <x:c r="M26" s="7" t="inlineStr">
        <x:is>
          <x:t xml:space="preserve"/>
        </x:is>
      </x:c>
      <x:c r="N26" s="7" t="inlineStr">
        <x:is>
          <x:t xml:space="preserve"/>
        </x:is>
      </x:c>
      <x:c r="O26" s="7" t="inlineStr">
        <x:is>
          <x:t xml:space="preserve"/>
        </x:is>
      </x:c>
      <x:c r="P26" s="7" t="inlineStr">
        <x:is>
          <x:t xml:space="preserve"/>
        </x:is>
      </x:c>
      <x:c r="Q26" s="6" t="inlineStr">
        <x:is>
          <x:t xml:space="preserve"/>
        </x:is>
      </x:c>
    </x:row>
    <x:row r="27" ht="35" customHeight="1">
      <x:c r="A27" s="7" t="inlineStr">
        <x:is>
          <x:t xml:space="preserve"/>
        </x:is>
      </x:c>
      <x:c r="B27" s="6" t="inlineStr">
        <x:is>
          <x:t xml:space="preserve"/>
        </x:is>
      </x:c>
      <x:c r="C27" s="6" t="inlineStr">
        <x:is>
          <x:t xml:space="preserve"/>
        </x:is>
      </x:c>
      <x:c r="D27" s="6" t="inlineStr">
        <x:is>
          <x:t xml:space="preserve"/>
        </x:is>
      </x:c>
      <x:c r="E27" s="6" t="inlineStr">
        <x:is>
          <x:t xml:space="preserve"/>
        </x:is>
      </x:c>
      <x:c r="F27" s="6" t="inlineStr">
        <x:is>
          <x:t xml:space="preserve"/>
        </x:is>
      </x:c>
      <x:c r="G27" s="7" t="inlineStr">
        <x:is>
          <x:t xml:space="preserve"/>
        </x:is>
      </x:c>
      <x:c r="H27" s="6" t="inlineStr">
        <x:is>
          <x:t xml:space="preserve"/>
        </x:is>
      </x:c>
      <x:c r="I27" s="7" t="inlineStr">
        <x:is>
          <x:t xml:space="preserve"/>
        </x:is>
      </x:c>
      <x:c r="J27" s="6" t="inlineStr">
        <x:is>
          <x:t xml:space="preserve"/>
        </x:is>
      </x:c>
      <x:c r="K27" s="7" t="inlineStr">
        <x:is>
          <x:t xml:space="preserve"/>
        </x:is>
      </x:c>
      <x:c r="L27" s="7" t="inlineStr">
        <x:is>
          <x:t xml:space="preserve"/>
        </x:is>
      </x:c>
      <x:c r="M27" s="7" t="inlineStr">
        <x:is>
          <x:t xml:space="preserve"/>
        </x:is>
      </x:c>
      <x:c r="N27" s="7" t="inlineStr">
        <x:is>
          <x:t xml:space="preserve"/>
        </x:is>
      </x:c>
      <x:c r="O27" s="7" t="inlineStr">
        <x:is>
          <x:t xml:space="preserve"/>
        </x:is>
      </x:c>
      <x:c r="P27" s="7" t="inlineStr">
        <x:is>
          <x:t xml:space="preserve"/>
        </x:is>
      </x:c>
      <x:c r="Q27" s="6" t="inlineStr">
        <x:is>
          <x:t xml:space="preserve"/>
        </x:is>
      </x:c>
    </x:row>
    <x:row r="28" ht="35" customHeight="1">
      <x:c r="A28" s="7" t="inlineStr">
        <x:is>
          <x:t xml:space="preserve"/>
        </x:is>
      </x:c>
      <x:c r="B28" s="6" t="inlineStr">
        <x:is>
          <x:t xml:space="preserve"/>
        </x:is>
      </x:c>
      <x:c r="C28" s="6" t="inlineStr">
        <x:is>
          <x:t xml:space="preserve"/>
        </x:is>
      </x:c>
      <x:c r="D28" s="6" t="inlineStr">
        <x:is>
          <x:t xml:space="preserve"/>
        </x:is>
      </x:c>
      <x:c r="E28" s="6" t="inlineStr">
        <x:is>
          <x:t xml:space="preserve"/>
        </x:is>
      </x:c>
      <x:c r="F28" s="6" t="inlineStr">
        <x:is>
          <x:t xml:space="preserve"/>
        </x:is>
      </x:c>
      <x:c r="G28" s="7" t="inlineStr">
        <x:is>
          <x:t xml:space="preserve"/>
        </x:is>
      </x:c>
      <x:c r="H28" s="6" t="inlineStr">
        <x:is>
          <x:t xml:space="preserve"/>
        </x:is>
      </x:c>
      <x:c r="I28" s="7" t="inlineStr">
        <x:is>
          <x:t xml:space="preserve"/>
        </x:is>
      </x:c>
      <x:c r="J28" s="6" t="inlineStr">
        <x:is>
          <x:t xml:space="preserve"/>
        </x:is>
      </x:c>
      <x:c r="K28" s="7" t="inlineStr">
        <x:is>
          <x:t xml:space="preserve"/>
        </x:is>
      </x:c>
      <x:c r="L28" s="7" t="inlineStr">
        <x:is>
          <x:t xml:space="preserve"/>
        </x:is>
      </x:c>
      <x:c r="M28" s="7" t="inlineStr">
        <x:is>
          <x:t xml:space="preserve"/>
        </x:is>
      </x:c>
      <x:c r="N28" s="7" t="inlineStr">
        <x:is>
          <x:t xml:space="preserve"/>
        </x:is>
      </x:c>
      <x:c r="O28" s="7" t="inlineStr">
        <x:is>
          <x:t xml:space="preserve"/>
        </x:is>
      </x:c>
      <x:c r="P28" s="7" t="inlineStr">
        <x:is>
          <x:t xml:space="preserve"/>
        </x:is>
      </x:c>
      <x:c r="Q28" s="6" t="inlineStr">
        <x:is>
          <x:t xml:space="preserve"/>
        </x:is>
      </x:c>
    </x:row>
    <x:row r="29" ht="35" customHeight="1">
      <x:c r="A29" s="7" t="inlineStr">
        <x:is>
          <x:t xml:space="preserve"/>
        </x:is>
      </x:c>
      <x:c r="B29" s="6" t="inlineStr">
        <x:is>
          <x:t xml:space="preserve"/>
        </x:is>
      </x:c>
      <x:c r="C29" s="6" t="inlineStr">
        <x:is>
          <x:t xml:space="preserve"/>
        </x:is>
      </x:c>
      <x:c r="D29" s="6" t="inlineStr">
        <x:is>
          <x:t xml:space="preserve"/>
        </x:is>
      </x:c>
      <x:c r="E29" s="6" t="inlineStr">
        <x:is>
          <x:t xml:space="preserve"/>
        </x:is>
      </x:c>
      <x:c r="F29" s="6" t="inlineStr">
        <x:is>
          <x:t xml:space="preserve"/>
        </x:is>
      </x:c>
      <x:c r="G29" s="7" t="inlineStr">
        <x:is>
          <x:t xml:space="preserve"/>
        </x:is>
      </x:c>
      <x:c r="H29" s="6" t="inlineStr">
        <x:is>
          <x:t xml:space="preserve"/>
        </x:is>
      </x:c>
      <x:c r="I29" s="7" t="inlineStr">
        <x:is>
          <x:t xml:space="preserve"/>
        </x:is>
      </x:c>
      <x:c r="J29" s="6" t="inlineStr">
        <x:is>
          <x:t xml:space="preserve"/>
        </x:is>
      </x:c>
      <x:c r="K29" s="7" t="inlineStr">
        <x:is>
          <x:t xml:space="preserve"/>
        </x:is>
      </x:c>
      <x:c r="L29" s="7" t="inlineStr">
        <x:is>
          <x:t xml:space="preserve"/>
        </x:is>
      </x:c>
      <x:c r="M29" s="7" t="inlineStr">
        <x:is>
          <x:t xml:space="preserve"/>
        </x:is>
      </x:c>
      <x:c r="N29" s="7" t="inlineStr">
        <x:is>
          <x:t xml:space="preserve"/>
        </x:is>
      </x:c>
      <x:c r="O29" s="7" t="inlineStr">
        <x:is>
          <x:t xml:space="preserve"/>
        </x:is>
      </x:c>
      <x:c r="P29" s="7" t="inlineStr">
        <x:is>
          <x:t xml:space="preserve"/>
        </x:is>
      </x:c>
      <x:c r="Q29" s="6" t="inlineStr">
        <x:is>
          <x:t xml:space="preserve"/>
        </x:is>
      </x:c>
    </x:row>
    <x:row r="30" ht="35" customHeight="1">
      <x:c r="A30" s="7" t="inlineStr">
        <x:is>
          <x:t xml:space="preserve"/>
        </x:is>
      </x:c>
      <x:c r="B30" s="6" t="inlineStr">
        <x:is>
          <x:t xml:space="preserve"/>
        </x:is>
      </x:c>
      <x:c r="C30" s="6" t="inlineStr">
        <x:is>
          <x:t xml:space="preserve"/>
        </x:is>
      </x:c>
      <x:c r="D30" s="6" t="inlineStr">
        <x:is>
          <x:t xml:space="preserve"/>
        </x:is>
      </x:c>
      <x:c r="E30" s="6" t="inlineStr">
        <x:is>
          <x:t xml:space="preserve"/>
        </x:is>
      </x:c>
      <x:c r="F30" s="6" t="inlineStr">
        <x:is>
          <x:t xml:space="preserve"/>
        </x:is>
      </x:c>
      <x:c r="G30" s="7" t="inlineStr">
        <x:is>
          <x:t xml:space="preserve"/>
        </x:is>
      </x:c>
      <x:c r="H30" s="6" t="inlineStr">
        <x:is>
          <x:t xml:space="preserve"/>
        </x:is>
      </x:c>
      <x:c r="I30" s="7" t="inlineStr">
        <x:is>
          <x:t xml:space="preserve"/>
        </x:is>
      </x:c>
      <x:c r="J30" s="6" t="inlineStr">
        <x:is>
          <x:t xml:space="preserve"/>
        </x:is>
      </x:c>
      <x:c r="K30" s="7" t="inlineStr">
        <x:is>
          <x:t xml:space="preserve"/>
        </x:is>
      </x:c>
      <x:c r="L30" s="7" t="inlineStr">
        <x:is>
          <x:t xml:space="preserve"/>
        </x:is>
      </x:c>
      <x:c r="M30" s="7" t="inlineStr">
        <x:is>
          <x:t xml:space="preserve"/>
        </x:is>
      </x:c>
      <x:c r="N30" s="7" t="inlineStr">
        <x:is>
          <x:t xml:space="preserve"/>
        </x:is>
      </x:c>
      <x:c r="O30" s="7" t="inlineStr">
        <x:is>
          <x:t xml:space="preserve"/>
        </x:is>
      </x:c>
      <x:c r="P30" s="7" t="inlineStr">
        <x:is>
          <x:t xml:space="preserve"/>
        </x:is>
      </x:c>
      <x:c r="Q30" s="6" t="inlineStr">
        <x:is>
          <x:t xml:space="preserve"/>
        </x:is>
      </x:c>
    </x:row>
    <x:row r="31" ht="35" customHeight="1">
      <x:c r="A31" s="7" t="inlineStr">
        <x:is>
          <x:t xml:space="preserve"/>
        </x:is>
      </x:c>
      <x:c r="B31" s="6" t="inlineStr">
        <x:is>
          <x:t xml:space="preserve"/>
        </x:is>
      </x:c>
      <x:c r="C31" s="6" t="inlineStr">
        <x:is>
          <x:t xml:space="preserve"/>
        </x:is>
      </x:c>
      <x:c r="D31" s="6" t="inlineStr">
        <x:is>
          <x:t xml:space="preserve"/>
        </x:is>
      </x:c>
      <x:c r="E31" s="6" t="inlineStr">
        <x:is>
          <x:t xml:space="preserve"/>
        </x:is>
      </x:c>
      <x:c r="F31" s="6" t="inlineStr">
        <x:is>
          <x:t xml:space="preserve"/>
        </x:is>
      </x:c>
      <x:c r="G31" s="7" t="inlineStr">
        <x:is>
          <x:t xml:space="preserve"/>
        </x:is>
      </x:c>
      <x:c r="H31" s="6" t="inlineStr">
        <x:is>
          <x:t xml:space="preserve"/>
        </x:is>
      </x:c>
      <x:c r="I31" s="7" t="inlineStr">
        <x:is>
          <x:t xml:space="preserve"/>
        </x:is>
      </x:c>
      <x:c r="J31" s="6" t="inlineStr">
        <x:is>
          <x:t xml:space="preserve"/>
        </x:is>
      </x:c>
      <x:c r="K31" s="7" t="inlineStr">
        <x:is>
          <x:t xml:space="preserve"/>
        </x:is>
      </x:c>
      <x:c r="L31" s="7" t="inlineStr">
        <x:is>
          <x:t xml:space="preserve"/>
        </x:is>
      </x:c>
      <x:c r="M31" s="7" t="inlineStr">
        <x:is>
          <x:t xml:space="preserve"/>
        </x:is>
      </x:c>
      <x:c r="N31" s="7" t="inlineStr">
        <x:is>
          <x:t xml:space="preserve"/>
        </x:is>
      </x:c>
      <x:c r="O31" s="7" t="inlineStr">
        <x:is>
          <x:t xml:space="preserve"/>
        </x:is>
      </x:c>
      <x:c r="P31" s="7" t="inlineStr">
        <x:is>
          <x:t xml:space="preserve"/>
        </x:is>
      </x:c>
      <x:c r="Q31" s="6" t="inlineStr">
        <x:is>
          <x:t xml:space="preserve"/>
        </x:is>
      </x:c>
    </x:row>
    <x:row r="32" ht="35" customHeight="1">
      <x:c r="A32" s="7" t="inlineStr">
        <x:is>
          <x:t xml:space="preserve"/>
        </x:is>
      </x:c>
      <x:c r="B32" s="6" t="inlineStr">
        <x:is>
          <x:t xml:space="preserve"/>
        </x:is>
      </x:c>
      <x:c r="C32" s="6" t="inlineStr">
        <x:is>
          <x:t xml:space="preserve"/>
        </x:is>
      </x:c>
      <x:c r="D32" s="6" t="inlineStr">
        <x:is>
          <x:t xml:space="preserve"/>
        </x:is>
      </x:c>
      <x:c r="E32" s="6" t="inlineStr">
        <x:is>
          <x:t xml:space="preserve"/>
        </x:is>
      </x:c>
      <x:c r="F32" s="6" t="inlineStr">
        <x:is>
          <x:t xml:space="preserve"/>
        </x:is>
      </x:c>
      <x:c r="G32" s="7" t="inlineStr">
        <x:is>
          <x:t xml:space="preserve"/>
        </x:is>
      </x:c>
      <x:c r="H32" s="6" t="inlineStr">
        <x:is>
          <x:t xml:space="preserve"/>
        </x:is>
      </x:c>
      <x:c r="I32" s="7" t="inlineStr">
        <x:is>
          <x:t xml:space="preserve"/>
        </x:is>
      </x:c>
      <x:c r="J32" s="6" t="inlineStr">
        <x:is>
          <x:t xml:space="preserve"/>
        </x:is>
      </x:c>
      <x:c r="K32" s="7" t="inlineStr">
        <x:is>
          <x:t xml:space="preserve"/>
        </x:is>
      </x:c>
      <x:c r="L32" s="7" t="inlineStr">
        <x:is>
          <x:t xml:space="preserve"/>
        </x:is>
      </x:c>
      <x:c r="M32" s="7" t="inlineStr">
        <x:is>
          <x:t xml:space="preserve"/>
        </x:is>
      </x:c>
      <x:c r="N32" s="7" t="inlineStr">
        <x:is>
          <x:t xml:space="preserve"/>
        </x:is>
      </x:c>
      <x:c r="O32" s="7" t="inlineStr">
        <x:is>
          <x:t xml:space="preserve"/>
        </x:is>
      </x:c>
      <x:c r="P32" s="7" t="inlineStr">
        <x:is>
          <x:t xml:space="preserve"/>
        </x:is>
      </x:c>
      <x:c r="Q32" s="6" t="inlineStr">
        <x:is>
          <x:t xml:space="preserve"/>
        </x:is>
      </x:c>
    </x:row>
    <x:row r="33" ht="35" customHeight="1">
      <x:c r="A33" s="7" t="inlineStr">
        <x:is>
          <x:t xml:space="preserve"/>
        </x:is>
      </x:c>
      <x:c r="B33" s="6" t="inlineStr">
        <x:is>
          <x:t xml:space="preserve"/>
        </x:is>
      </x:c>
      <x:c r="C33" s="6" t="inlineStr">
        <x:is>
          <x:t xml:space="preserve"/>
        </x:is>
      </x:c>
      <x:c r="D33" s="6" t="inlineStr">
        <x:is>
          <x:t xml:space="preserve"/>
        </x:is>
      </x:c>
      <x:c r="E33" s="6" t="inlineStr">
        <x:is>
          <x:t xml:space="preserve"/>
        </x:is>
      </x:c>
      <x:c r="F33" s="6" t="inlineStr">
        <x:is>
          <x:t xml:space="preserve"/>
        </x:is>
      </x:c>
      <x:c r="G33" s="7" t="inlineStr">
        <x:is>
          <x:t xml:space="preserve"/>
        </x:is>
      </x:c>
      <x:c r="H33" s="6" t="inlineStr">
        <x:is>
          <x:t xml:space="preserve"/>
        </x:is>
      </x:c>
      <x:c r="I33" s="7" t="inlineStr">
        <x:is>
          <x:t xml:space="preserve"/>
        </x:is>
      </x:c>
      <x:c r="J33" s="6" t="inlineStr">
        <x:is>
          <x:t xml:space="preserve"/>
        </x:is>
      </x:c>
      <x:c r="K33" s="7" t="inlineStr">
        <x:is>
          <x:t xml:space="preserve"/>
        </x:is>
      </x:c>
      <x:c r="L33" s="7" t="inlineStr">
        <x:is>
          <x:t xml:space="preserve"/>
        </x:is>
      </x:c>
      <x:c r="M33" s="7" t="inlineStr">
        <x:is>
          <x:t xml:space="preserve"/>
        </x:is>
      </x:c>
      <x:c r="N33" s="7" t="inlineStr">
        <x:is>
          <x:t xml:space="preserve"/>
        </x:is>
      </x:c>
      <x:c r="O33" s="7" t="inlineStr">
        <x:is>
          <x:t xml:space="preserve"/>
        </x:is>
      </x:c>
      <x:c r="P33" s="7" t="inlineStr">
        <x:is>
          <x:t xml:space="preserve"/>
        </x:is>
      </x:c>
      <x:c r="Q33" s="6" t="inlineStr">
        <x:is>
          <x:t xml:space="preserve"/>
        </x:is>
      </x:c>
    </x:row>
    <x:row r="34" ht="35" customHeight="1">
      <x:c r="A34" s="7" t="inlineStr">
        <x:is>
          <x:t xml:space="preserve"/>
        </x:is>
      </x:c>
      <x:c r="B34" s="6" t="inlineStr">
        <x:is>
          <x:t xml:space="preserve"/>
        </x:is>
      </x:c>
      <x:c r="C34" s="6" t="inlineStr">
        <x:is>
          <x:t xml:space="preserve"/>
        </x:is>
      </x:c>
      <x:c r="D34" s="6" t="inlineStr">
        <x:is>
          <x:t xml:space="preserve"/>
        </x:is>
      </x:c>
      <x:c r="E34" s="6" t="inlineStr">
        <x:is>
          <x:t xml:space="preserve"/>
        </x:is>
      </x:c>
      <x:c r="F34" s="6" t="inlineStr">
        <x:is>
          <x:t xml:space="preserve"/>
        </x:is>
      </x:c>
      <x:c r="G34" s="7" t="inlineStr">
        <x:is>
          <x:t xml:space="preserve"/>
        </x:is>
      </x:c>
      <x:c r="H34" s="6" t="inlineStr">
        <x:is>
          <x:t xml:space="preserve"/>
        </x:is>
      </x:c>
      <x:c r="I34" s="7" t="inlineStr">
        <x:is>
          <x:t xml:space="preserve"/>
        </x:is>
      </x:c>
      <x:c r="J34" s="6" t="inlineStr">
        <x:is>
          <x:t xml:space="preserve"/>
        </x:is>
      </x:c>
      <x:c r="K34" s="7" t="inlineStr">
        <x:is>
          <x:t xml:space="preserve"/>
        </x:is>
      </x:c>
      <x:c r="L34" s="7" t="inlineStr">
        <x:is>
          <x:t xml:space="preserve"/>
        </x:is>
      </x:c>
      <x:c r="M34" s="7" t="inlineStr">
        <x:is>
          <x:t xml:space="preserve"/>
        </x:is>
      </x:c>
      <x:c r="N34" s="7" t="inlineStr">
        <x:is>
          <x:t xml:space="preserve"/>
        </x:is>
      </x:c>
      <x:c r="O34" s="7" t="inlineStr">
        <x:is>
          <x:t xml:space="preserve"/>
        </x:is>
      </x:c>
      <x:c r="P34" s="7" t="inlineStr">
        <x:is>
          <x:t xml:space="preserve"/>
        </x:is>
      </x:c>
      <x:c r="Q34" s="6" t="inlineStr">
        <x:is>
          <x:t xml:space="preserve"/>
        </x:is>
      </x:c>
    </x:row>
    <x:row r="35" ht="35" customHeight="1">
      <x:c r="A35" s="7" t="inlineStr">
        <x:is>
          <x:t xml:space="preserve"/>
        </x:is>
      </x:c>
      <x:c r="B35" s="6" t="inlineStr">
        <x:is>
          <x:t xml:space="preserve"/>
        </x:is>
      </x:c>
      <x:c r="C35" s="6" t="inlineStr">
        <x:is>
          <x:t xml:space="preserve"/>
        </x:is>
      </x:c>
      <x:c r="D35" s="6" t="inlineStr">
        <x:is>
          <x:t xml:space="preserve"/>
        </x:is>
      </x:c>
      <x:c r="E35" s="6" t="inlineStr">
        <x:is>
          <x:t xml:space="preserve"/>
        </x:is>
      </x:c>
      <x:c r="F35" s="6" t="inlineStr">
        <x:is>
          <x:t xml:space="preserve"/>
        </x:is>
      </x:c>
      <x:c r="G35" s="7" t="inlineStr">
        <x:is>
          <x:t xml:space="preserve"/>
        </x:is>
      </x:c>
      <x:c r="H35" s="6" t="inlineStr">
        <x:is>
          <x:t xml:space="preserve"/>
        </x:is>
      </x:c>
      <x:c r="I35" s="7" t="inlineStr">
        <x:is>
          <x:t xml:space="preserve"/>
        </x:is>
      </x:c>
      <x:c r="J35" s="6" t="inlineStr">
        <x:is>
          <x:t xml:space="preserve"/>
        </x:is>
      </x:c>
      <x:c r="K35" s="7" t="inlineStr">
        <x:is>
          <x:t xml:space="preserve"/>
        </x:is>
      </x:c>
      <x:c r="L35" s="7" t="inlineStr">
        <x:is>
          <x:t xml:space="preserve"/>
        </x:is>
      </x:c>
      <x:c r="M35" s="7" t="inlineStr">
        <x:is>
          <x:t xml:space="preserve"/>
        </x:is>
      </x:c>
      <x:c r="N35" s="7" t="inlineStr">
        <x:is>
          <x:t xml:space="preserve"/>
        </x:is>
      </x:c>
      <x:c r="O35" s="7" t="inlineStr">
        <x:is>
          <x:t xml:space="preserve"/>
        </x:is>
      </x:c>
      <x:c r="P35" s="7" t="inlineStr">
        <x:is>
          <x:t xml:space="preserve"/>
        </x:is>
      </x:c>
      <x:c r="Q35" s="6" t="inlineStr">
        <x:is>
          <x:t xml:space="preserve"/>
        </x:is>
      </x:c>
    </x:row>
    <x:row r="36" ht="35" customHeight="1">
      <x:c r="A36" s="7" t="inlineStr">
        <x:is>
          <x:t xml:space="preserve"/>
        </x:is>
      </x:c>
      <x:c r="B36" s="6" t="inlineStr">
        <x:is>
          <x:t xml:space="preserve"/>
        </x:is>
      </x:c>
      <x:c r="C36" s="6" t="inlineStr">
        <x:is>
          <x:t xml:space="preserve"/>
        </x:is>
      </x:c>
      <x:c r="D36" s="6" t="inlineStr">
        <x:is>
          <x:t xml:space="preserve"/>
        </x:is>
      </x:c>
      <x:c r="E36" s="6" t="inlineStr">
        <x:is>
          <x:t xml:space="preserve"/>
        </x:is>
      </x:c>
      <x:c r="F36" s="6" t="inlineStr">
        <x:is>
          <x:t xml:space="preserve"/>
        </x:is>
      </x:c>
      <x:c r="G36" s="7" t="inlineStr">
        <x:is>
          <x:t xml:space="preserve"/>
        </x:is>
      </x:c>
      <x:c r="H36" s="6" t="inlineStr">
        <x:is>
          <x:t xml:space="preserve"/>
        </x:is>
      </x:c>
      <x:c r="I36" s="7" t="inlineStr">
        <x:is>
          <x:t xml:space="preserve"/>
        </x:is>
      </x:c>
      <x:c r="J36" s="6" t="inlineStr">
        <x:is>
          <x:t xml:space="preserve"/>
        </x:is>
      </x:c>
      <x:c r="K36" s="7" t="inlineStr">
        <x:is>
          <x:t xml:space="preserve"/>
        </x:is>
      </x:c>
      <x:c r="L36" s="7" t="inlineStr">
        <x:is>
          <x:t xml:space="preserve"/>
        </x:is>
      </x:c>
      <x:c r="M36" s="7" t="inlineStr">
        <x:is>
          <x:t xml:space="preserve"/>
        </x:is>
      </x:c>
      <x:c r="N36" s="7" t="inlineStr">
        <x:is>
          <x:t xml:space="preserve"/>
        </x:is>
      </x:c>
      <x:c r="O36" s="7" t="inlineStr">
        <x:is>
          <x:t xml:space="preserve"/>
        </x:is>
      </x:c>
      <x:c r="P36" s="7" t="inlineStr">
        <x:is>
          <x:t xml:space="preserve"/>
        </x:is>
      </x:c>
      <x:c r="Q36" s="6" t="inlineStr">
        <x:is>
          <x:t xml:space="preserve"/>
        </x:is>
      </x:c>
    </x:row>
    <x:row r="37" ht="35" customHeight="1">
      <x:c r="A37" s="7" t="inlineStr">
        <x:is>
          <x:t xml:space="preserve"/>
        </x:is>
      </x:c>
      <x:c r="B37" s="6" t="inlineStr">
        <x:is>
          <x:t xml:space="preserve"/>
        </x:is>
      </x:c>
      <x:c r="C37" s="6" t="inlineStr">
        <x:is>
          <x:t xml:space="preserve"/>
        </x:is>
      </x:c>
      <x:c r="D37" s="6" t="inlineStr">
        <x:is>
          <x:t xml:space="preserve"/>
        </x:is>
      </x:c>
      <x:c r="E37" s="6" t="inlineStr">
        <x:is>
          <x:t xml:space="preserve"/>
        </x:is>
      </x:c>
      <x:c r="F37" s="6" t="inlineStr">
        <x:is>
          <x:t xml:space="preserve"/>
        </x:is>
      </x:c>
      <x:c r="G37" s="7" t="inlineStr">
        <x:is>
          <x:t xml:space="preserve"/>
        </x:is>
      </x:c>
      <x:c r="H37" s="6" t="inlineStr">
        <x:is>
          <x:t xml:space="preserve"/>
        </x:is>
      </x:c>
      <x:c r="I37" s="7" t="inlineStr">
        <x:is>
          <x:t xml:space="preserve"/>
        </x:is>
      </x:c>
      <x:c r="J37" s="6" t="inlineStr">
        <x:is>
          <x:t xml:space="preserve"/>
        </x:is>
      </x:c>
      <x:c r="K37" s="7" t="inlineStr">
        <x:is>
          <x:t xml:space="preserve"/>
        </x:is>
      </x:c>
      <x:c r="L37" s="7" t="inlineStr">
        <x:is>
          <x:t xml:space="preserve"/>
        </x:is>
      </x:c>
      <x:c r="M37" s="7" t="inlineStr">
        <x:is>
          <x:t xml:space="preserve"/>
        </x:is>
      </x:c>
      <x:c r="N37" s="7" t="inlineStr">
        <x:is>
          <x:t xml:space="preserve"/>
        </x:is>
      </x:c>
      <x:c r="O37" s="7" t="inlineStr">
        <x:is>
          <x:t xml:space="preserve"/>
        </x:is>
      </x:c>
      <x:c r="P37" s="7" t="inlineStr">
        <x:is>
          <x:t xml:space="preserve"/>
        </x:is>
      </x:c>
      <x:c r="Q37" s="6" t="inlineStr">
        <x:is>
          <x:t xml:space="preserve"/>
        </x:is>
      </x:c>
    </x:row>
    <x:row r="38" ht="35" customHeight="1">
      <x:c r="A38" s="7" t="inlineStr">
        <x:is>
          <x:t xml:space="preserve"/>
        </x:is>
      </x:c>
      <x:c r="B38" s="6" t="inlineStr">
        <x:is>
          <x:t xml:space="preserve"/>
        </x:is>
      </x:c>
      <x:c r="C38" s="6" t="inlineStr">
        <x:is>
          <x:t xml:space="preserve"/>
        </x:is>
      </x:c>
      <x:c r="D38" s="6" t="inlineStr">
        <x:is>
          <x:t xml:space="preserve"/>
        </x:is>
      </x:c>
      <x:c r="E38" s="6" t="inlineStr">
        <x:is>
          <x:t xml:space="preserve"/>
        </x:is>
      </x:c>
      <x:c r="F38" s="6" t="inlineStr">
        <x:is>
          <x:t xml:space="preserve"/>
        </x:is>
      </x:c>
      <x:c r="G38" s="7" t="inlineStr">
        <x:is>
          <x:t xml:space="preserve"/>
        </x:is>
      </x:c>
      <x:c r="H38" s="6" t="inlineStr">
        <x:is>
          <x:t xml:space="preserve"/>
        </x:is>
      </x:c>
      <x:c r="I38" s="7" t="inlineStr">
        <x:is>
          <x:t xml:space="preserve"/>
        </x:is>
      </x:c>
      <x:c r="J38" s="6" t="inlineStr">
        <x:is>
          <x:t xml:space="preserve"/>
        </x:is>
      </x:c>
      <x:c r="K38" s="7" t="inlineStr">
        <x:is>
          <x:t xml:space="preserve"/>
        </x:is>
      </x:c>
      <x:c r="L38" s="7" t="inlineStr">
        <x:is>
          <x:t xml:space="preserve"/>
        </x:is>
      </x:c>
      <x:c r="M38" s="7" t="inlineStr">
        <x:is>
          <x:t xml:space="preserve"/>
        </x:is>
      </x:c>
      <x:c r="N38" s="7" t="inlineStr">
        <x:is>
          <x:t xml:space="preserve"/>
        </x:is>
      </x:c>
      <x:c r="O38" s="7" t="inlineStr">
        <x:is>
          <x:t xml:space="preserve"/>
        </x:is>
      </x:c>
      <x:c r="P38" s="7" t="inlineStr">
        <x:is>
          <x:t xml:space="preserve"/>
        </x:is>
      </x:c>
      <x:c r="Q38" s="6" t="inlineStr">
        <x:is>
          <x:t xml:space="preserve"/>
        </x:is>
      </x:c>
    </x:row>
    <x:row r="39" ht="35" customHeight="1">
      <x:c r="A39" s="7" t="inlineStr">
        <x:is>
          <x:t xml:space="preserve"/>
        </x:is>
      </x:c>
      <x:c r="B39" s="6" t="inlineStr">
        <x:is>
          <x:t xml:space="preserve"/>
        </x:is>
      </x:c>
      <x:c r="C39" s="6" t="inlineStr">
        <x:is>
          <x:t xml:space="preserve"/>
        </x:is>
      </x:c>
      <x:c r="D39" s="6" t="inlineStr">
        <x:is>
          <x:t xml:space="preserve"/>
        </x:is>
      </x:c>
      <x:c r="E39" s="6" t="inlineStr">
        <x:is>
          <x:t xml:space="preserve"/>
        </x:is>
      </x:c>
      <x:c r="F39" s="6" t="inlineStr">
        <x:is>
          <x:t xml:space="preserve"/>
        </x:is>
      </x:c>
      <x:c r="G39" s="7" t="inlineStr">
        <x:is>
          <x:t xml:space="preserve"/>
        </x:is>
      </x:c>
      <x:c r="H39" s="6" t="inlineStr">
        <x:is>
          <x:t xml:space="preserve"/>
        </x:is>
      </x:c>
      <x:c r="I39" s="7" t="inlineStr">
        <x:is>
          <x:t xml:space="preserve"/>
        </x:is>
      </x:c>
      <x:c r="J39" s="6" t="inlineStr">
        <x:is>
          <x:t xml:space="preserve"/>
        </x:is>
      </x:c>
      <x:c r="K39" s="7" t="inlineStr">
        <x:is>
          <x:t xml:space="preserve"/>
        </x:is>
      </x:c>
      <x:c r="L39" s="7" t="inlineStr">
        <x:is>
          <x:t xml:space="preserve"/>
        </x:is>
      </x:c>
      <x:c r="M39" s="7" t="inlineStr">
        <x:is>
          <x:t xml:space="preserve"/>
        </x:is>
      </x:c>
      <x:c r="N39" s="7" t="inlineStr">
        <x:is>
          <x:t xml:space="preserve"/>
        </x:is>
      </x:c>
      <x:c r="O39" s="7" t="inlineStr">
        <x:is>
          <x:t xml:space="preserve"/>
        </x:is>
      </x:c>
      <x:c r="P39" s="7" t="inlineStr">
        <x:is>
          <x:t xml:space="preserve"/>
        </x:is>
      </x:c>
      <x:c r="Q39" s="6" t="inlineStr">
        <x:is>
          <x:t xml:space="preserve"/>
        </x:is>
      </x:c>
    </x:row>
    <x:row r="40" ht="35" customHeight="1">
      <x:c r="A40" s="7" t="inlineStr">
        <x:is>
          <x:t xml:space="preserve"/>
        </x:is>
      </x:c>
      <x:c r="B40" s="6" t="inlineStr">
        <x:is>
          <x:t xml:space="preserve"/>
        </x:is>
      </x:c>
      <x:c r="C40" s="6" t="inlineStr">
        <x:is>
          <x:t xml:space="preserve"/>
        </x:is>
      </x:c>
      <x:c r="D40" s="6" t="inlineStr">
        <x:is>
          <x:t xml:space="preserve"/>
        </x:is>
      </x:c>
      <x:c r="E40" s="6" t="inlineStr">
        <x:is>
          <x:t xml:space="preserve"/>
        </x:is>
      </x:c>
      <x:c r="F40" s="6" t="inlineStr">
        <x:is>
          <x:t xml:space="preserve"/>
        </x:is>
      </x:c>
      <x:c r="G40" s="7" t="inlineStr">
        <x:is>
          <x:t xml:space="preserve"/>
        </x:is>
      </x:c>
      <x:c r="H40" s="6" t="inlineStr">
        <x:is>
          <x:t xml:space="preserve"/>
        </x:is>
      </x:c>
      <x:c r="I40" s="7" t="inlineStr">
        <x:is>
          <x:t xml:space="preserve"/>
        </x:is>
      </x:c>
      <x:c r="J40" s="6" t="inlineStr">
        <x:is>
          <x:t xml:space="preserve"/>
        </x:is>
      </x:c>
      <x:c r="K40" s="7" t="inlineStr">
        <x:is>
          <x:t xml:space="preserve"/>
        </x:is>
      </x:c>
      <x:c r="L40" s="7" t="inlineStr">
        <x:is>
          <x:t xml:space="preserve"/>
        </x:is>
      </x:c>
      <x:c r="M40" s="7" t="inlineStr">
        <x:is>
          <x:t xml:space="preserve"/>
        </x:is>
      </x:c>
      <x:c r="N40" s="7" t="inlineStr">
        <x:is>
          <x:t xml:space="preserve"/>
        </x:is>
      </x:c>
      <x:c r="O40" s="7" t="inlineStr">
        <x:is>
          <x:t xml:space="preserve"/>
        </x:is>
      </x:c>
      <x:c r="P40" s="7" t="inlineStr">
        <x:is>
          <x:t xml:space="preserve"/>
        </x:is>
      </x:c>
      <x:c r="Q40" s="6" t="inlineStr">
        <x:is>
          <x:t xml:space="preserve"/>
        </x:is>
      </x:c>
    </x:row>
    <x:row r="41" ht="35" customHeight="1">
      <x:c r="A41" s="7" t="inlineStr">
        <x:is>
          <x:t xml:space="preserve"/>
        </x:is>
      </x:c>
      <x:c r="B41" s="6" t="inlineStr">
        <x:is>
          <x:t xml:space="preserve"/>
        </x:is>
      </x:c>
      <x:c r="C41" s="6" t="inlineStr">
        <x:is>
          <x:t xml:space="preserve"/>
        </x:is>
      </x:c>
      <x:c r="D41" s="6" t="inlineStr">
        <x:is>
          <x:t xml:space="preserve"/>
        </x:is>
      </x:c>
      <x:c r="E41" s="6" t="inlineStr">
        <x:is>
          <x:t xml:space="preserve"/>
        </x:is>
      </x:c>
      <x:c r="F41" s="6" t="inlineStr">
        <x:is>
          <x:t xml:space="preserve"/>
        </x:is>
      </x:c>
      <x:c r="G41" s="7" t="inlineStr">
        <x:is>
          <x:t xml:space="preserve"/>
        </x:is>
      </x:c>
      <x:c r="H41" s="6" t="inlineStr">
        <x:is>
          <x:t xml:space="preserve"/>
        </x:is>
      </x:c>
      <x:c r="I41" s="7" t="inlineStr">
        <x:is>
          <x:t xml:space="preserve"/>
        </x:is>
      </x:c>
      <x:c r="J41" s="6" t="inlineStr">
        <x:is>
          <x:t xml:space="preserve"/>
        </x:is>
      </x:c>
      <x:c r="K41" s="7" t="inlineStr">
        <x:is>
          <x:t xml:space="preserve"/>
        </x:is>
      </x:c>
      <x:c r="L41" s="7" t="inlineStr">
        <x:is>
          <x:t xml:space="preserve"/>
        </x:is>
      </x:c>
      <x:c r="M41" s="7" t="inlineStr">
        <x:is>
          <x:t xml:space="preserve"/>
        </x:is>
      </x:c>
      <x:c r="N41" s="7" t="inlineStr">
        <x:is>
          <x:t xml:space="preserve"/>
        </x:is>
      </x:c>
      <x:c r="O41" s="7" t="inlineStr">
        <x:is>
          <x:t xml:space="preserve"/>
        </x:is>
      </x:c>
      <x:c r="P41" s="7" t="inlineStr">
        <x:is>
          <x:t xml:space="preserve"/>
        </x:is>
      </x:c>
      <x:c r="Q41" s="6" t="inlineStr">
        <x:is>
          <x:t xml:space="preserve"/>
        </x:is>
      </x:c>
    </x:row>
    <x:row r="42" ht="35" customHeight="1">
      <x:c r="A42" s="7" t="inlineStr">
        <x:is>
          <x:t xml:space="preserve"/>
        </x:is>
      </x:c>
      <x:c r="B42" s="6" t="inlineStr">
        <x:is>
          <x:t xml:space="preserve"/>
        </x:is>
      </x:c>
      <x:c r="C42" s="6" t="inlineStr">
        <x:is>
          <x:t xml:space="preserve"/>
        </x:is>
      </x:c>
      <x:c r="D42" s="6" t="inlineStr">
        <x:is>
          <x:t xml:space="preserve"/>
        </x:is>
      </x:c>
      <x:c r="E42" s="6" t="inlineStr">
        <x:is>
          <x:t xml:space="preserve"/>
        </x:is>
      </x:c>
      <x:c r="F42" s="6" t="inlineStr">
        <x:is>
          <x:t xml:space="preserve"/>
        </x:is>
      </x:c>
      <x:c r="G42" s="7" t="inlineStr">
        <x:is>
          <x:t xml:space="preserve"/>
        </x:is>
      </x:c>
      <x:c r="H42" s="6" t="inlineStr">
        <x:is>
          <x:t xml:space="preserve"/>
        </x:is>
      </x:c>
      <x:c r="I42" s="7" t="inlineStr">
        <x:is>
          <x:t xml:space="preserve"/>
        </x:is>
      </x:c>
      <x:c r="J42" s="6" t="inlineStr">
        <x:is>
          <x:t xml:space="preserve"/>
        </x:is>
      </x:c>
      <x:c r="K42" s="7" t="inlineStr">
        <x:is>
          <x:t xml:space="preserve"/>
        </x:is>
      </x:c>
      <x:c r="L42" s="7" t="inlineStr">
        <x:is>
          <x:t xml:space="preserve"/>
        </x:is>
      </x:c>
      <x:c r="M42" s="7" t="inlineStr">
        <x:is>
          <x:t xml:space="preserve"/>
        </x:is>
      </x:c>
      <x:c r="N42" s="7" t="inlineStr">
        <x:is>
          <x:t xml:space="preserve"/>
        </x:is>
      </x:c>
      <x:c r="O42" s="7" t="inlineStr">
        <x:is>
          <x:t xml:space="preserve"/>
        </x:is>
      </x:c>
      <x:c r="P42" s="7" t="inlineStr">
        <x:is>
          <x:t xml:space="preserve"/>
        </x:is>
      </x:c>
      <x:c r="Q42" s="6" t="inlineStr">
        <x:is>
          <x:t xml:space="preserve"/>
        </x:is>
      </x:c>
    </x:row>
    <x:row r="43" ht="35" customHeight="1">
      <x:c r="A43" s="7" t="inlineStr">
        <x:is>
          <x:t xml:space="preserve"/>
        </x:is>
      </x:c>
      <x:c r="B43" s="6" t="inlineStr">
        <x:is>
          <x:t xml:space="preserve"/>
        </x:is>
      </x:c>
      <x:c r="C43" s="6" t="inlineStr">
        <x:is>
          <x:t xml:space="preserve"/>
        </x:is>
      </x:c>
      <x:c r="D43" s="6" t="inlineStr">
        <x:is>
          <x:t xml:space="preserve"/>
        </x:is>
      </x:c>
      <x:c r="E43" s="6" t="inlineStr">
        <x:is>
          <x:t xml:space="preserve"/>
        </x:is>
      </x:c>
      <x:c r="F43" s="6" t="inlineStr">
        <x:is>
          <x:t xml:space="preserve"/>
        </x:is>
      </x:c>
      <x:c r="G43" s="7" t="inlineStr">
        <x:is>
          <x:t xml:space="preserve"/>
        </x:is>
      </x:c>
      <x:c r="H43" s="6" t="inlineStr">
        <x:is>
          <x:t xml:space="preserve"/>
        </x:is>
      </x:c>
      <x:c r="I43" s="7" t="inlineStr">
        <x:is>
          <x:t xml:space="preserve"/>
        </x:is>
      </x:c>
      <x:c r="J43" s="6" t="inlineStr">
        <x:is>
          <x:t xml:space="preserve"/>
        </x:is>
      </x:c>
      <x:c r="K43" s="7" t="inlineStr">
        <x:is>
          <x:t xml:space="preserve"/>
        </x:is>
      </x:c>
      <x:c r="L43" s="7" t="inlineStr">
        <x:is>
          <x:t xml:space="preserve"/>
        </x:is>
      </x:c>
      <x:c r="M43" s="7" t="inlineStr">
        <x:is>
          <x:t xml:space="preserve"/>
        </x:is>
      </x:c>
      <x:c r="N43" s="7" t="inlineStr">
        <x:is>
          <x:t xml:space="preserve"/>
        </x:is>
      </x:c>
      <x:c r="O43" s="7" t="inlineStr">
        <x:is>
          <x:t xml:space="preserve"/>
        </x:is>
      </x:c>
      <x:c r="P43" s="7" t="inlineStr">
        <x:is>
          <x:t xml:space="preserve"/>
        </x:is>
      </x:c>
      <x:c r="Q43" s="6" t="inlineStr">
        <x:is>
          <x:t xml:space="preserve"/>
        </x:is>
      </x:c>
    </x:row>
    <x:row r="44" ht="35" customHeight="1">
      <x:c r="A44" s="7" t="inlineStr">
        <x:is>
          <x:t xml:space="preserve"/>
        </x:is>
      </x:c>
      <x:c r="B44" s="6" t="inlineStr">
        <x:is>
          <x:t xml:space="preserve"/>
        </x:is>
      </x:c>
      <x:c r="C44" s="6" t="inlineStr">
        <x:is>
          <x:t xml:space="preserve"/>
        </x:is>
      </x:c>
      <x:c r="D44" s="6" t="inlineStr">
        <x:is>
          <x:t xml:space="preserve"/>
        </x:is>
      </x:c>
      <x:c r="E44" s="6" t="inlineStr">
        <x:is>
          <x:t xml:space="preserve"/>
        </x:is>
      </x:c>
      <x:c r="F44" s="6" t="inlineStr">
        <x:is>
          <x:t xml:space="preserve"/>
        </x:is>
      </x:c>
      <x:c r="G44" s="7" t="inlineStr">
        <x:is>
          <x:t xml:space="preserve"/>
        </x:is>
      </x:c>
      <x:c r="H44" s="6" t="inlineStr">
        <x:is>
          <x:t xml:space="preserve"/>
        </x:is>
      </x:c>
      <x:c r="I44" s="7" t="inlineStr">
        <x:is>
          <x:t xml:space="preserve"/>
        </x:is>
      </x:c>
      <x:c r="J44" s="6" t="inlineStr">
        <x:is>
          <x:t xml:space="preserve"/>
        </x:is>
      </x:c>
      <x:c r="K44" s="7" t="inlineStr">
        <x:is>
          <x:t xml:space="preserve"/>
        </x:is>
      </x:c>
      <x:c r="L44" s="7" t="inlineStr">
        <x:is>
          <x:t xml:space="preserve"/>
        </x:is>
      </x:c>
      <x:c r="M44" s="7" t="inlineStr">
        <x:is>
          <x:t xml:space="preserve"/>
        </x:is>
      </x:c>
      <x:c r="N44" s="7" t="inlineStr">
        <x:is>
          <x:t xml:space="preserve"/>
        </x:is>
      </x:c>
      <x:c r="O44" s="7" t="inlineStr">
        <x:is>
          <x:t xml:space="preserve"/>
        </x:is>
      </x:c>
      <x:c r="P44" s="7" t="inlineStr">
        <x:is>
          <x:t xml:space="preserve"/>
        </x:is>
      </x:c>
      <x:c r="Q44" s="6" t="inlineStr">
        <x:is>
          <x:t xml:space="preserve"/>
        </x:is>
      </x:c>
    </x:row>
    <x:row r="45" ht="35" customHeight="1">
      <x:c r="A45" s="7" t="inlineStr">
        <x:is>
          <x:t xml:space="preserve"/>
        </x:is>
      </x:c>
      <x:c r="B45" s="6" t="inlineStr">
        <x:is>
          <x:t xml:space="preserve"/>
        </x:is>
      </x:c>
      <x:c r="C45" s="6" t="inlineStr">
        <x:is>
          <x:t xml:space="preserve"/>
        </x:is>
      </x:c>
      <x:c r="D45" s="6" t="inlineStr">
        <x:is>
          <x:t xml:space="preserve"/>
        </x:is>
      </x:c>
      <x:c r="E45" s="6" t="inlineStr">
        <x:is>
          <x:t xml:space="preserve"/>
        </x:is>
      </x:c>
      <x:c r="F45" s="6" t="inlineStr">
        <x:is>
          <x:t xml:space="preserve"/>
        </x:is>
      </x:c>
      <x:c r="G45" s="7" t="inlineStr">
        <x:is>
          <x:t xml:space="preserve"/>
        </x:is>
      </x:c>
      <x:c r="H45" s="6" t="inlineStr">
        <x:is>
          <x:t xml:space="preserve"/>
        </x:is>
      </x:c>
      <x:c r="I45" s="7" t="inlineStr">
        <x:is>
          <x:t xml:space="preserve"/>
        </x:is>
      </x:c>
      <x:c r="J45" s="6" t="inlineStr">
        <x:is>
          <x:t xml:space="preserve"/>
        </x:is>
      </x:c>
      <x:c r="K45" s="7" t="inlineStr">
        <x:is>
          <x:t xml:space="preserve"/>
        </x:is>
      </x:c>
      <x:c r="L45" s="7" t="inlineStr">
        <x:is>
          <x:t xml:space="preserve"/>
        </x:is>
      </x:c>
      <x:c r="M45" s="7" t="inlineStr">
        <x:is>
          <x:t xml:space="preserve"/>
        </x:is>
      </x:c>
      <x:c r="N45" s="7" t="inlineStr">
        <x:is>
          <x:t xml:space="preserve"/>
        </x:is>
      </x:c>
      <x:c r="O45" s="7" t="inlineStr">
        <x:is>
          <x:t xml:space="preserve"/>
        </x:is>
      </x:c>
      <x:c r="P45" s="7" t="inlineStr">
        <x:is>
          <x:t xml:space="preserve"/>
        </x:is>
      </x:c>
      <x:c r="Q45" s="6" t="inlineStr">
        <x:is>
          <x:t xml:space="preserve"/>
        </x:is>
      </x:c>
    </x:row>
    <x:row r="46" ht="35" customHeight="1">
      <x:c r="A46" s="7" t="inlineStr">
        <x:is>
          <x:t xml:space="preserve"/>
        </x:is>
      </x:c>
      <x:c r="B46" s="6" t="inlineStr">
        <x:is>
          <x:t xml:space="preserve"/>
        </x:is>
      </x:c>
      <x:c r="C46" s="6" t="inlineStr">
        <x:is>
          <x:t xml:space="preserve"/>
        </x:is>
      </x:c>
      <x:c r="D46" s="6" t="inlineStr">
        <x:is>
          <x:t xml:space="preserve"/>
        </x:is>
      </x:c>
      <x:c r="E46" s="6" t="inlineStr">
        <x:is>
          <x:t xml:space="preserve"/>
        </x:is>
      </x:c>
      <x:c r="F46" s="6" t="inlineStr">
        <x:is>
          <x:t xml:space="preserve"/>
        </x:is>
      </x:c>
      <x:c r="G46" s="7" t="inlineStr">
        <x:is>
          <x:t xml:space="preserve"/>
        </x:is>
      </x:c>
      <x:c r="H46" s="6" t="inlineStr">
        <x:is>
          <x:t xml:space="preserve"/>
        </x:is>
      </x:c>
      <x:c r="I46" s="7" t="inlineStr">
        <x:is>
          <x:t xml:space="preserve"/>
        </x:is>
      </x:c>
      <x:c r="J46" s="6" t="inlineStr">
        <x:is>
          <x:t xml:space="preserve"/>
        </x:is>
      </x:c>
      <x:c r="K46" s="7" t="inlineStr">
        <x:is>
          <x:t xml:space="preserve"/>
        </x:is>
      </x:c>
      <x:c r="L46" s="7" t="inlineStr">
        <x:is>
          <x:t xml:space="preserve"/>
        </x:is>
      </x:c>
      <x:c r="M46" s="7" t="inlineStr">
        <x:is>
          <x:t xml:space="preserve"/>
        </x:is>
      </x:c>
      <x:c r="N46" s="7" t="inlineStr">
        <x:is>
          <x:t xml:space="preserve"/>
        </x:is>
      </x:c>
      <x:c r="O46" s="7" t="inlineStr">
        <x:is>
          <x:t xml:space="preserve"/>
        </x:is>
      </x:c>
      <x:c r="P46" s="7" t="inlineStr">
        <x:is>
          <x:t xml:space="preserve"/>
        </x:is>
      </x:c>
      <x:c r="Q46" s="6" t="inlineStr">
        <x:is>
          <x:t xml:space="preserve"/>
        </x:is>
      </x:c>
    </x:row>
    <x:row r="47" ht="35" customHeight="1">
      <x:c r="A47" s="7" t="inlineStr">
        <x:is>
          <x:t xml:space="preserve"/>
        </x:is>
      </x:c>
      <x:c r="B47" s="6" t="inlineStr">
        <x:is>
          <x:t xml:space="preserve"/>
        </x:is>
      </x:c>
      <x:c r="C47" s="6" t="inlineStr">
        <x:is>
          <x:t xml:space="preserve"/>
        </x:is>
      </x:c>
      <x:c r="D47" s="6" t="inlineStr">
        <x:is>
          <x:t xml:space="preserve"/>
        </x:is>
      </x:c>
      <x:c r="E47" s="6" t="inlineStr">
        <x:is>
          <x:t xml:space="preserve"/>
        </x:is>
      </x:c>
      <x:c r="F47" s="6" t="inlineStr">
        <x:is>
          <x:t xml:space="preserve"/>
        </x:is>
      </x:c>
      <x:c r="G47" s="7" t="inlineStr">
        <x:is>
          <x:t xml:space="preserve"/>
        </x:is>
      </x:c>
      <x:c r="H47" s="6" t="inlineStr">
        <x:is>
          <x:t xml:space="preserve"/>
        </x:is>
      </x:c>
      <x:c r="I47" s="7" t="inlineStr">
        <x:is>
          <x:t xml:space="preserve"/>
        </x:is>
      </x:c>
      <x:c r="J47" s="6" t="inlineStr">
        <x:is>
          <x:t xml:space="preserve"/>
        </x:is>
      </x:c>
      <x:c r="K47" s="7" t="inlineStr">
        <x:is>
          <x:t xml:space="preserve"/>
        </x:is>
      </x:c>
      <x:c r="L47" s="7" t="inlineStr">
        <x:is>
          <x:t xml:space="preserve"/>
        </x:is>
      </x:c>
      <x:c r="M47" s="7" t="inlineStr">
        <x:is>
          <x:t xml:space="preserve"/>
        </x:is>
      </x:c>
      <x:c r="N47" s="7" t="inlineStr">
        <x:is>
          <x:t xml:space="preserve"/>
        </x:is>
      </x:c>
      <x:c r="O47" s="7" t="inlineStr">
        <x:is>
          <x:t xml:space="preserve"/>
        </x:is>
      </x:c>
      <x:c r="P47" s="7" t="inlineStr">
        <x:is>
          <x:t xml:space="preserve"/>
        </x:is>
      </x:c>
      <x:c r="Q47" s="6" t="inlineStr">
        <x:is>
          <x:t xml:space="preserve"/>
        </x:is>
      </x:c>
    </x:row>
    <x:row r="48" ht="35" customHeight="1">
      <x:c r="A48" s="7" t="inlineStr">
        <x:is>
          <x:t xml:space="preserve"/>
        </x:is>
      </x:c>
      <x:c r="B48" s="6" t="inlineStr">
        <x:is>
          <x:t xml:space="preserve"/>
        </x:is>
      </x:c>
      <x:c r="C48" s="6" t="inlineStr">
        <x:is>
          <x:t xml:space="preserve"/>
        </x:is>
      </x:c>
      <x:c r="D48" s="6" t="inlineStr">
        <x:is>
          <x:t xml:space="preserve"/>
        </x:is>
      </x:c>
      <x:c r="E48" s="6" t="inlineStr">
        <x:is>
          <x:t xml:space="preserve"/>
        </x:is>
      </x:c>
      <x:c r="F48" s="6" t="inlineStr">
        <x:is>
          <x:t xml:space="preserve"/>
        </x:is>
      </x:c>
      <x:c r="G48" s="7" t="inlineStr">
        <x:is>
          <x:t xml:space="preserve"/>
        </x:is>
      </x:c>
      <x:c r="H48" s="6" t="inlineStr">
        <x:is>
          <x:t xml:space="preserve"/>
        </x:is>
      </x:c>
      <x:c r="I48" s="7" t="inlineStr">
        <x:is>
          <x:t xml:space="preserve"/>
        </x:is>
      </x:c>
      <x:c r="J48" s="6" t="inlineStr">
        <x:is>
          <x:t xml:space="preserve"/>
        </x:is>
      </x:c>
      <x:c r="K48" s="7" t="inlineStr">
        <x:is>
          <x:t xml:space="preserve"/>
        </x:is>
      </x:c>
      <x:c r="L48" s="7" t="inlineStr">
        <x:is>
          <x:t xml:space="preserve"/>
        </x:is>
      </x:c>
      <x:c r="M48" s="7" t="inlineStr">
        <x:is>
          <x:t xml:space="preserve"/>
        </x:is>
      </x:c>
      <x:c r="N48" s="7" t="inlineStr">
        <x:is>
          <x:t xml:space="preserve"/>
        </x:is>
      </x:c>
      <x:c r="O48" s="7" t="inlineStr">
        <x:is>
          <x:t xml:space="preserve"/>
        </x:is>
      </x:c>
      <x:c r="P48" s="7" t="inlineStr">
        <x:is>
          <x:t xml:space="preserve"/>
        </x:is>
      </x:c>
      <x:c r="Q48" s="6" t="inlineStr">
        <x:is>
          <x:t xml:space="preserve"/>
        </x:is>
      </x:c>
    </x:row>
    <x:row r="49" ht="35" customHeight="1">
      <x:c r="A49" s="7" t="inlineStr">
        <x:is>
          <x:t xml:space="preserve"/>
        </x:is>
      </x:c>
      <x:c r="B49" s="6" t="inlineStr">
        <x:is>
          <x:t xml:space="preserve"/>
        </x:is>
      </x:c>
      <x:c r="C49" s="6" t="inlineStr">
        <x:is>
          <x:t xml:space="preserve"/>
        </x:is>
      </x:c>
      <x:c r="D49" s="6" t="inlineStr">
        <x:is>
          <x:t xml:space="preserve"/>
        </x:is>
      </x:c>
      <x:c r="E49" s="6" t="inlineStr">
        <x:is>
          <x:t xml:space="preserve"/>
        </x:is>
      </x:c>
      <x:c r="F49" s="6" t="inlineStr">
        <x:is>
          <x:t xml:space="preserve"/>
        </x:is>
      </x:c>
      <x:c r="G49" s="7" t="inlineStr">
        <x:is>
          <x:t xml:space="preserve"/>
        </x:is>
      </x:c>
      <x:c r="H49" s="6" t="inlineStr">
        <x:is>
          <x:t xml:space="preserve"/>
        </x:is>
      </x:c>
      <x:c r="I49" s="7" t="inlineStr">
        <x:is>
          <x:t xml:space="preserve"/>
        </x:is>
      </x:c>
      <x:c r="J49" s="6" t="inlineStr">
        <x:is>
          <x:t xml:space="preserve"/>
        </x:is>
      </x:c>
      <x:c r="K49" s="7" t="inlineStr">
        <x:is>
          <x:t xml:space="preserve"/>
        </x:is>
      </x:c>
      <x:c r="L49" s="7" t="inlineStr">
        <x:is>
          <x:t xml:space="preserve"/>
        </x:is>
      </x:c>
      <x:c r="M49" s="7" t="inlineStr">
        <x:is>
          <x:t xml:space="preserve"/>
        </x:is>
      </x:c>
      <x:c r="N49" s="7" t="inlineStr">
        <x:is>
          <x:t xml:space="preserve"/>
        </x:is>
      </x:c>
      <x:c r="O49" s="7" t="inlineStr">
        <x:is>
          <x:t xml:space="preserve"/>
        </x:is>
      </x:c>
      <x:c r="P49" s="7" t="inlineStr">
        <x:is>
          <x:t xml:space="preserve"/>
        </x:is>
      </x:c>
      <x:c r="Q49" s="6" t="inlineStr">
        <x:is>
          <x:t xml:space="preserve"/>
        </x:is>
      </x:c>
    </x:row>
    <x:row r="50" ht="35" customHeight="1">
      <x:c r="A50" s="7" t="inlineStr">
        <x:is>
          <x:t xml:space="preserve"/>
        </x:is>
      </x:c>
      <x:c r="B50" s="6" t="inlineStr">
        <x:is>
          <x:t xml:space="preserve"/>
        </x:is>
      </x:c>
      <x:c r="C50" s="6" t="inlineStr">
        <x:is>
          <x:t xml:space="preserve"/>
        </x:is>
      </x:c>
      <x:c r="D50" s="6" t="inlineStr">
        <x:is>
          <x:t xml:space="preserve"/>
        </x:is>
      </x:c>
      <x:c r="E50" s="6" t="inlineStr">
        <x:is>
          <x:t xml:space="preserve"/>
        </x:is>
      </x:c>
      <x:c r="F50" s="6" t="inlineStr">
        <x:is>
          <x:t xml:space="preserve"/>
        </x:is>
      </x:c>
      <x:c r="G50" s="7" t="inlineStr">
        <x:is>
          <x:t xml:space="preserve"/>
        </x:is>
      </x:c>
      <x:c r="H50" s="6" t="inlineStr">
        <x:is>
          <x:t xml:space="preserve"/>
        </x:is>
      </x:c>
      <x:c r="I50" s="7" t="inlineStr">
        <x:is>
          <x:t xml:space="preserve"/>
        </x:is>
      </x:c>
      <x:c r="J50" s="6" t="inlineStr">
        <x:is>
          <x:t xml:space="preserve"/>
        </x:is>
      </x:c>
      <x:c r="K50" s="7" t="inlineStr">
        <x:is>
          <x:t xml:space="preserve"/>
        </x:is>
      </x:c>
      <x:c r="L50" s="7" t="inlineStr">
        <x:is>
          <x:t xml:space="preserve"/>
        </x:is>
      </x:c>
      <x:c r="M50" s="7" t="inlineStr">
        <x:is>
          <x:t xml:space="preserve"/>
        </x:is>
      </x:c>
      <x:c r="N50" s="7" t="inlineStr">
        <x:is>
          <x:t xml:space="preserve"/>
        </x:is>
      </x:c>
      <x:c r="O50" s="7" t="inlineStr">
        <x:is>
          <x:t xml:space="preserve"/>
        </x:is>
      </x:c>
      <x:c r="P50" s="7" t="inlineStr">
        <x:is>
          <x:t xml:space="preserve"/>
        </x:is>
      </x:c>
      <x:c r="Q50" s="6" t="inlineStr">
        <x:is>
          <x:t xml:space="preserve"/>
        </x:is>
      </x:c>
    </x:row>
    <x:row r="51" ht="35" customHeight="1">
      <x:c r="A51" s="7" t="inlineStr">
        <x:is>
          <x:t xml:space="preserve"/>
        </x:is>
      </x:c>
      <x:c r="B51" s="6" t="inlineStr">
        <x:is>
          <x:t xml:space="preserve"/>
        </x:is>
      </x:c>
      <x:c r="C51" s="6" t="inlineStr">
        <x:is>
          <x:t xml:space="preserve"/>
        </x:is>
      </x:c>
      <x:c r="D51" s="6" t="inlineStr">
        <x:is>
          <x:t xml:space="preserve"/>
        </x:is>
      </x:c>
      <x:c r="E51" s="6" t="inlineStr">
        <x:is>
          <x:t xml:space="preserve"/>
        </x:is>
      </x:c>
      <x:c r="F51" s="6" t="inlineStr">
        <x:is>
          <x:t xml:space="preserve"/>
        </x:is>
      </x:c>
      <x:c r="G51" s="7" t="inlineStr">
        <x:is>
          <x:t xml:space="preserve"/>
        </x:is>
      </x:c>
      <x:c r="H51" s="6" t="inlineStr">
        <x:is>
          <x:t xml:space="preserve"/>
        </x:is>
      </x:c>
      <x:c r="I51" s="7" t="inlineStr">
        <x:is>
          <x:t xml:space="preserve"/>
        </x:is>
      </x:c>
      <x:c r="J51" s="6" t="inlineStr">
        <x:is>
          <x:t xml:space="preserve"/>
        </x:is>
      </x:c>
      <x:c r="K51" s="7" t="inlineStr">
        <x:is>
          <x:t xml:space="preserve"/>
        </x:is>
      </x:c>
      <x:c r="L51" s="7" t="inlineStr">
        <x:is>
          <x:t xml:space="preserve"/>
        </x:is>
      </x:c>
      <x:c r="M51" s="7" t="inlineStr">
        <x:is>
          <x:t xml:space="preserve"/>
        </x:is>
      </x:c>
      <x:c r="N51" s="7" t="inlineStr">
        <x:is>
          <x:t xml:space="preserve"/>
        </x:is>
      </x:c>
      <x:c r="O51" s="7" t="inlineStr">
        <x:is>
          <x:t xml:space="preserve"/>
        </x:is>
      </x:c>
      <x:c r="P51" s="7" t="inlineStr">
        <x:is>
          <x:t xml:space="preserve"/>
        </x:is>
      </x:c>
      <x:c r="Q51" s="6" t="inlineStr">
        <x:is>
          <x:t xml:space="preserve"/>
        </x:is>
      </x:c>
    </x:row>
    <x:row r="52" ht="35" customHeight="1">
      <x:c r="A52" s="7" t="inlineStr">
        <x:is>
          <x:t xml:space="preserve"/>
        </x:is>
      </x:c>
      <x:c r="B52" s="6" t="inlineStr">
        <x:is>
          <x:t xml:space="preserve"/>
        </x:is>
      </x:c>
      <x:c r="C52" s="6" t="inlineStr">
        <x:is>
          <x:t xml:space="preserve"/>
        </x:is>
      </x:c>
      <x:c r="D52" s="6" t="inlineStr">
        <x:is>
          <x:t xml:space="preserve"/>
        </x:is>
      </x:c>
      <x:c r="E52" s="6" t="inlineStr">
        <x:is>
          <x:t xml:space="preserve"/>
        </x:is>
      </x:c>
      <x:c r="F52" s="6" t="inlineStr">
        <x:is>
          <x:t xml:space="preserve"/>
        </x:is>
      </x:c>
      <x:c r="G52" s="7" t="inlineStr">
        <x:is>
          <x:t xml:space="preserve"/>
        </x:is>
      </x:c>
      <x:c r="H52" s="6" t="inlineStr">
        <x:is>
          <x:t xml:space="preserve"/>
        </x:is>
      </x:c>
      <x:c r="I52" s="7" t="inlineStr">
        <x:is>
          <x:t xml:space="preserve"/>
        </x:is>
      </x:c>
      <x:c r="J52" s="6" t="inlineStr">
        <x:is>
          <x:t xml:space="preserve"/>
        </x:is>
      </x:c>
      <x:c r="K52" s="7" t="inlineStr">
        <x:is>
          <x:t xml:space="preserve"/>
        </x:is>
      </x:c>
      <x:c r="L52" s="7" t="inlineStr">
        <x:is>
          <x:t xml:space="preserve"/>
        </x:is>
      </x:c>
      <x:c r="M52" s="7" t="inlineStr">
        <x:is>
          <x:t xml:space="preserve"/>
        </x:is>
      </x:c>
      <x:c r="N52" s="7" t="inlineStr">
        <x:is>
          <x:t xml:space="preserve"/>
        </x:is>
      </x:c>
      <x:c r="O52" s="7" t="inlineStr">
        <x:is>
          <x:t xml:space="preserve"/>
        </x:is>
      </x:c>
      <x:c r="P52" s="7" t="inlineStr">
        <x:is>
          <x:t xml:space="preserve"/>
        </x:is>
      </x:c>
      <x:c r="Q52" s="6" t="inlineStr">
        <x:is>
          <x:t xml:space="preserve"/>
        </x:is>
      </x:c>
    </x:row>
    <x:row r="53" ht="35" customHeight="1">
      <x:c r="A53" s="7" t="inlineStr">
        <x:is>
          <x:t xml:space="preserve"/>
        </x:is>
      </x:c>
      <x:c r="B53" s="6" t="inlineStr">
        <x:is>
          <x:t xml:space="preserve"/>
        </x:is>
      </x:c>
      <x:c r="C53" s="6" t="inlineStr">
        <x:is>
          <x:t xml:space="preserve"/>
        </x:is>
      </x:c>
      <x:c r="D53" s="6" t="inlineStr">
        <x:is>
          <x:t xml:space="preserve"/>
        </x:is>
      </x:c>
      <x:c r="E53" s="6" t="inlineStr">
        <x:is>
          <x:t xml:space="preserve"/>
        </x:is>
      </x:c>
      <x:c r="F53" s="6" t="inlineStr">
        <x:is>
          <x:t xml:space="preserve"/>
        </x:is>
      </x:c>
      <x:c r="G53" s="7" t="inlineStr">
        <x:is>
          <x:t xml:space="preserve"/>
        </x:is>
      </x:c>
      <x:c r="H53" s="6" t="inlineStr">
        <x:is>
          <x:t xml:space="preserve"/>
        </x:is>
      </x:c>
      <x:c r="I53" s="7" t="inlineStr">
        <x:is>
          <x:t xml:space="preserve"/>
        </x:is>
      </x:c>
      <x:c r="J53" s="6" t="inlineStr">
        <x:is>
          <x:t xml:space="preserve"/>
        </x:is>
      </x:c>
      <x:c r="K53" s="7" t="inlineStr">
        <x:is>
          <x:t xml:space="preserve"/>
        </x:is>
      </x:c>
      <x:c r="L53" s="7" t="inlineStr">
        <x:is>
          <x:t xml:space="preserve"/>
        </x:is>
      </x:c>
      <x:c r="M53" s="7" t="inlineStr">
        <x:is>
          <x:t xml:space="preserve"/>
        </x:is>
      </x:c>
      <x:c r="N53" s="7" t="inlineStr">
        <x:is>
          <x:t xml:space="preserve"/>
        </x:is>
      </x:c>
      <x:c r="O53" s="7" t="inlineStr">
        <x:is>
          <x:t xml:space="preserve"/>
        </x:is>
      </x:c>
      <x:c r="P53" s="7" t="inlineStr">
        <x:is>
          <x:t xml:space="preserve"/>
        </x:is>
      </x:c>
      <x:c r="Q53" s="6" t="inlineStr">
        <x:is>
          <x:t xml:space="preserve"/>
        </x:is>
      </x:c>
    </x:row>
    <x:row r="54" ht="35" customHeight="1">
      <x:c r="A54" s="7" t="inlineStr">
        <x:is>
          <x:t xml:space="preserve"/>
        </x:is>
      </x:c>
      <x:c r="B54" s="6" t="inlineStr">
        <x:is>
          <x:t xml:space="preserve"/>
        </x:is>
      </x:c>
      <x:c r="C54" s="6" t="inlineStr">
        <x:is>
          <x:t xml:space="preserve"/>
        </x:is>
      </x:c>
      <x:c r="D54" s="6" t="inlineStr">
        <x:is>
          <x:t xml:space="preserve"/>
        </x:is>
      </x:c>
      <x:c r="E54" s="6" t="inlineStr">
        <x:is>
          <x:t xml:space="preserve"/>
        </x:is>
      </x:c>
      <x:c r="F54" s="6" t="inlineStr">
        <x:is>
          <x:t xml:space="preserve"/>
        </x:is>
      </x:c>
      <x:c r="G54" s="7" t="inlineStr">
        <x:is>
          <x:t xml:space="preserve"/>
        </x:is>
      </x:c>
      <x:c r="H54" s="6" t="inlineStr">
        <x:is>
          <x:t xml:space="preserve"/>
        </x:is>
      </x:c>
      <x:c r="I54" s="7" t="inlineStr">
        <x:is>
          <x:t xml:space="preserve"/>
        </x:is>
      </x:c>
      <x:c r="J54" s="6" t="inlineStr">
        <x:is>
          <x:t xml:space="preserve"/>
        </x:is>
      </x:c>
      <x:c r="K54" s="7" t="inlineStr">
        <x:is>
          <x:t xml:space="preserve"/>
        </x:is>
      </x:c>
      <x:c r="L54" s="7" t="inlineStr">
        <x:is>
          <x:t xml:space="preserve"/>
        </x:is>
      </x:c>
      <x:c r="M54" s="7" t="inlineStr">
        <x:is>
          <x:t xml:space="preserve"/>
        </x:is>
      </x:c>
      <x:c r="N54" s="7" t="inlineStr">
        <x:is>
          <x:t xml:space="preserve"/>
        </x:is>
      </x:c>
      <x:c r="O54" s="7" t="inlineStr">
        <x:is>
          <x:t xml:space="preserve"/>
        </x:is>
      </x:c>
      <x:c r="P54" s="7" t="inlineStr">
        <x:is>
          <x:t xml:space="preserve"/>
        </x:is>
      </x:c>
      <x:c r="Q54" s="6" t="inlineStr">
        <x:is>
          <x:t xml:space="preserve"/>
        </x:is>
      </x:c>
    </x:row>
    <x:row r="55" ht="35" customHeight="1">
      <x:c r="A55" s="7" t="inlineStr">
        <x:is>
          <x:t xml:space="preserve"/>
        </x:is>
      </x:c>
      <x:c r="B55" s="6" t="inlineStr">
        <x:is>
          <x:t xml:space="preserve"/>
        </x:is>
      </x:c>
      <x:c r="C55" s="6" t="inlineStr">
        <x:is>
          <x:t xml:space="preserve"/>
        </x:is>
      </x:c>
      <x:c r="D55" s="6" t="inlineStr">
        <x:is>
          <x:t xml:space="preserve"/>
        </x:is>
      </x:c>
      <x:c r="E55" s="6" t="inlineStr">
        <x:is>
          <x:t xml:space="preserve"/>
        </x:is>
      </x:c>
      <x:c r="F55" s="6" t="inlineStr">
        <x:is>
          <x:t xml:space="preserve"/>
        </x:is>
      </x:c>
      <x:c r="G55" s="7" t="inlineStr">
        <x:is>
          <x:t xml:space="preserve"/>
        </x:is>
      </x:c>
      <x:c r="H55" s="6" t="inlineStr">
        <x:is>
          <x:t xml:space="preserve"/>
        </x:is>
      </x:c>
      <x:c r="I55" s="7" t="inlineStr">
        <x:is>
          <x:t xml:space="preserve"/>
        </x:is>
      </x:c>
      <x:c r="J55" s="6" t="inlineStr">
        <x:is>
          <x:t xml:space="preserve"/>
        </x:is>
      </x:c>
      <x:c r="K55" s="7" t="inlineStr">
        <x:is>
          <x:t xml:space="preserve"/>
        </x:is>
      </x:c>
      <x:c r="L55" s="7" t="inlineStr">
        <x:is>
          <x:t xml:space="preserve"/>
        </x:is>
      </x:c>
      <x:c r="M55" s="7" t="inlineStr">
        <x:is>
          <x:t xml:space="preserve"/>
        </x:is>
      </x:c>
      <x:c r="N55" s="7" t="inlineStr">
        <x:is>
          <x:t xml:space="preserve"/>
        </x:is>
      </x:c>
      <x:c r="O55" s="7" t="inlineStr">
        <x:is>
          <x:t xml:space="preserve"/>
        </x:is>
      </x:c>
      <x:c r="P55" s="7" t="inlineStr">
        <x:is>
          <x:t xml:space="preserve"/>
        </x:is>
      </x:c>
      <x:c r="Q55" s="6" t="inlineStr">
        <x:is>
          <x:t xml:space="preserve"/>
        </x:is>
      </x:c>
    </x:row>
    <x:row r="56" ht="35" customHeight="1">
      <x:c r="A56" s="7" t="inlineStr">
        <x:is>
          <x:t xml:space="preserve"/>
        </x:is>
      </x:c>
      <x:c r="B56" s="6" t="inlineStr">
        <x:is>
          <x:t xml:space="preserve"/>
        </x:is>
      </x:c>
      <x:c r="C56" s="6" t="inlineStr">
        <x:is>
          <x:t xml:space="preserve"/>
        </x:is>
      </x:c>
      <x:c r="D56" s="6" t="inlineStr">
        <x:is>
          <x:t xml:space="preserve"/>
        </x:is>
      </x:c>
      <x:c r="E56" s="6" t="inlineStr">
        <x:is>
          <x:t xml:space="preserve"/>
        </x:is>
      </x:c>
      <x:c r="F56" s="6" t="inlineStr">
        <x:is>
          <x:t xml:space="preserve"/>
        </x:is>
      </x:c>
      <x:c r="G56" s="7" t="inlineStr">
        <x:is>
          <x:t xml:space="preserve"/>
        </x:is>
      </x:c>
      <x:c r="H56" s="6" t="inlineStr">
        <x:is>
          <x:t xml:space="preserve"/>
        </x:is>
      </x:c>
      <x:c r="I56" s="7" t="inlineStr">
        <x:is>
          <x:t xml:space="preserve"/>
        </x:is>
      </x:c>
      <x:c r="J56" s="6" t="inlineStr">
        <x:is>
          <x:t xml:space="preserve"/>
        </x:is>
      </x:c>
      <x:c r="K56" s="7" t="inlineStr">
        <x:is>
          <x:t xml:space="preserve"/>
        </x:is>
      </x:c>
      <x:c r="L56" s="7" t="inlineStr">
        <x:is>
          <x:t xml:space="preserve"/>
        </x:is>
      </x:c>
      <x:c r="M56" s="7" t="inlineStr">
        <x:is>
          <x:t xml:space="preserve"/>
        </x:is>
      </x:c>
      <x:c r="N56" s="7" t="inlineStr">
        <x:is>
          <x:t xml:space="preserve"/>
        </x:is>
      </x:c>
      <x:c r="O56" s="7" t="inlineStr">
        <x:is>
          <x:t xml:space="preserve"/>
        </x:is>
      </x:c>
      <x:c r="P56" s="7" t="inlineStr">
        <x:is>
          <x:t xml:space="preserve"/>
        </x:is>
      </x:c>
      <x:c r="Q56" s="6" t="inlineStr">
        <x:is>
          <x:t xml:space="preserve"/>
        </x:is>
      </x:c>
    </x:row>
    <x:row r="57" ht="35" customHeight="1">
      <x:c r="A57" s="7" t="inlineStr">
        <x:is>
          <x:t xml:space="preserve"/>
        </x:is>
      </x:c>
      <x:c r="B57" s="6" t="inlineStr">
        <x:is>
          <x:t xml:space="preserve"/>
        </x:is>
      </x:c>
      <x:c r="C57" s="6" t="inlineStr">
        <x:is>
          <x:t xml:space="preserve"/>
        </x:is>
      </x:c>
      <x:c r="D57" s="6" t="inlineStr">
        <x:is>
          <x:t xml:space="preserve"/>
        </x:is>
      </x:c>
      <x:c r="E57" s="6" t="inlineStr">
        <x:is>
          <x:t xml:space="preserve"/>
        </x:is>
      </x:c>
      <x:c r="F57" s="6" t="inlineStr">
        <x:is>
          <x:t xml:space="preserve"/>
        </x:is>
      </x:c>
      <x:c r="G57" s="7" t="inlineStr">
        <x:is>
          <x:t xml:space="preserve"/>
        </x:is>
      </x:c>
      <x:c r="H57" s="6" t="inlineStr">
        <x:is>
          <x:t xml:space="preserve"/>
        </x:is>
      </x:c>
      <x:c r="I57" s="7" t="inlineStr">
        <x:is>
          <x:t xml:space="preserve"/>
        </x:is>
      </x:c>
      <x:c r="J57" s="6" t="inlineStr">
        <x:is>
          <x:t xml:space="preserve"/>
        </x:is>
      </x:c>
      <x:c r="K57" s="7" t="inlineStr">
        <x:is>
          <x:t xml:space="preserve"/>
        </x:is>
      </x:c>
      <x:c r="L57" s="7" t="inlineStr">
        <x:is>
          <x:t xml:space="preserve"/>
        </x:is>
      </x:c>
      <x:c r="M57" s="7" t="inlineStr">
        <x:is>
          <x:t xml:space="preserve"/>
        </x:is>
      </x:c>
      <x:c r="N57" s="7" t="inlineStr">
        <x:is>
          <x:t xml:space="preserve"/>
        </x:is>
      </x:c>
      <x:c r="O57" s="7" t="inlineStr">
        <x:is>
          <x:t xml:space="preserve"/>
        </x:is>
      </x:c>
      <x:c r="P57" s="7" t="inlineStr">
        <x:is>
          <x:t xml:space="preserve"/>
        </x:is>
      </x:c>
      <x:c r="Q57" s="6" t="inlineStr">
        <x:is>
          <x:t xml:space="preserve"/>
        </x:is>
      </x:c>
    </x:row>
    <x:row r="58" ht="35" customHeight="1">
      <x:c r="A58" s="7" t="inlineStr">
        <x:is>
          <x:t xml:space="preserve"/>
        </x:is>
      </x:c>
      <x:c r="B58" s="6" t="inlineStr">
        <x:is>
          <x:t xml:space="preserve"/>
        </x:is>
      </x:c>
      <x:c r="C58" s="6" t="inlineStr">
        <x:is>
          <x:t xml:space="preserve"/>
        </x:is>
      </x:c>
      <x:c r="D58" s="6" t="inlineStr">
        <x:is>
          <x:t xml:space="preserve"/>
        </x:is>
      </x:c>
      <x:c r="E58" s="6" t="inlineStr">
        <x:is>
          <x:t xml:space="preserve"/>
        </x:is>
      </x:c>
      <x:c r="F58" s="6" t="inlineStr">
        <x:is>
          <x:t xml:space="preserve"/>
        </x:is>
      </x:c>
      <x:c r="G58" s="7" t="inlineStr">
        <x:is>
          <x:t xml:space="preserve"/>
        </x:is>
      </x:c>
      <x:c r="H58" s="6" t="inlineStr">
        <x:is>
          <x:t xml:space="preserve"/>
        </x:is>
      </x:c>
      <x:c r="I58" s="7" t="inlineStr">
        <x:is>
          <x:t xml:space="preserve"/>
        </x:is>
      </x:c>
      <x:c r="J58" s="6" t="inlineStr">
        <x:is>
          <x:t xml:space="preserve"/>
        </x:is>
      </x:c>
      <x:c r="K58" s="7" t="inlineStr">
        <x:is>
          <x:t xml:space="preserve"/>
        </x:is>
      </x:c>
      <x:c r="L58" s="7" t="inlineStr">
        <x:is>
          <x:t xml:space="preserve"/>
        </x:is>
      </x:c>
      <x:c r="M58" s="7" t="inlineStr">
        <x:is>
          <x:t xml:space="preserve"/>
        </x:is>
      </x:c>
      <x:c r="N58" s="7" t="inlineStr">
        <x:is>
          <x:t xml:space="preserve"/>
        </x:is>
      </x:c>
      <x:c r="O58" s="7" t="inlineStr">
        <x:is>
          <x:t xml:space="preserve"/>
        </x:is>
      </x:c>
      <x:c r="P58" s="7" t="inlineStr">
        <x:is>
          <x:t xml:space="preserve"/>
        </x:is>
      </x:c>
      <x:c r="Q58" s="6" t="inlineStr">
        <x:is>
          <x:t xml:space="preserve"/>
        </x:is>
      </x:c>
    </x:row>
    <x:row r="59" ht="35" customHeight="1">
      <x:c r="A59" s="7" t="inlineStr">
        <x:is>
          <x:t xml:space="preserve"/>
        </x:is>
      </x:c>
      <x:c r="B59" s="6" t="inlineStr">
        <x:is>
          <x:t xml:space="preserve"/>
        </x:is>
      </x:c>
      <x:c r="C59" s="6" t="inlineStr">
        <x:is>
          <x:t xml:space="preserve"/>
        </x:is>
      </x:c>
      <x:c r="D59" s="6" t="inlineStr">
        <x:is>
          <x:t xml:space="preserve"/>
        </x:is>
      </x:c>
      <x:c r="E59" s="6" t="inlineStr">
        <x:is>
          <x:t xml:space="preserve"/>
        </x:is>
      </x:c>
      <x:c r="F59" s="6" t="inlineStr">
        <x:is>
          <x:t xml:space="preserve"/>
        </x:is>
      </x:c>
      <x:c r="G59" s="7" t="inlineStr">
        <x:is>
          <x:t xml:space="preserve"/>
        </x:is>
      </x:c>
      <x:c r="H59" s="6" t="inlineStr">
        <x:is>
          <x:t xml:space="preserve"/>
        </x:is>
      </x:c>
      <x:c r="I59" s="7" t="inlineStr">
        <x:is>
          <x:t xml:space="preserve"/>
        </x:is>
      </x:c>
      <x:c r="J59" s="6" t="inlineStr">
        <x:is>
          <x:t xml:space="preserve"/>
        </x:is>
      </x:c>
      <x:c r="K59" s="7" t="inlineStr">
        <x:is>
          <x:t xml:space="preserve"/>
        </x:is>
      </x:c>
      <x:c r="L59" s="7" t="inlineStr">
        <x:is>
          <x:t xml:space="preserve"/>
        </x:is>
      </x:c>
      <x:c r="M59" s="7" t="inlineStr">
        <x:is>
          <x:t xml:space="preserve"/>
        </x:is>
      </x:c>
      <x:c r="N59" s="7" t="inlineStr">
        <x:is>
          <x:t xml:space="preserve"/>
        </x:is>
      </x:c>
      <x:c r="O59" s="7" t="inlineStr">
        <x:is>
          <x:t xml:space="preserve"/>
        </x:is>
      </x:c>
      <x:c r="P59" s="7" t="inlineStr">
        <x:is>
          <x:t xml:space="preserve"/>
        </x:is>
      </x:c>
      <x:c r="Q59" s="6" t="inlineStr">
        <x:is>
          <x:t xml:space="preserve"/>
        </x:is>
      </x:c>
    </x:row>
    <x:row r="60" ht="35" customHeight="1">
      <x:c r="A60" s="7" t="inlineStr">
        <x:is>
          <x:t xml:space="preserve"/>
        </x:is>
      </x:c>
      <x:c r="B60" s="6" t="inlineStr">
        <x:is>
          <x:t xml:space="preserve"/>
        </x:is>
      </x:c>
      <x:c r="C60" s="6" t="inlineStr">
        <x:is>
          <x:t xml:space="preserve"/>
        </x:is>
      </x:c>
      <x:c r="D60" s="6" t="inlineStr">
        <x:is>
          <x:t xml:space="preserve"/>
        </x:is>
      </x:c>
      <x:c r="E60" s="6" t="inlineStr">
        <x:is>
          <x:t xml:space="preserve"/>
        </x:is>
      </x:c>
      <x:c r="F60" s="6" t="inlineStr">
        <x:is>
          <x:t xml:space="preserve"/>
        </x:is>
      </x:c>
      <x:c r="G60" s="7" t="inlineStr">
        <x:is>
          <x:t xml:space="preserve"/>
        </x:is>
      </x:c>
      <x:c r="H60" s="6" t="inlineStr">
        <x:is>
          <x:t xml:space="preserve"/>
        </x:is>
      </x:c>
      <x:c r="I60" s="7" t="inlineStr">
        <x:is>
          <x:t xml:space="preserve"/>
        </x:is>
      </x:c>
      <x:c r="J60" s="6" t="inlineStr">
        <x:is>
          <x:t xml:space="preserve"/>
        </x:is>
      </x:c>
      <x:c r="K60" s="7" t="inlineStr">
        <x:is>
          <x:t xml:space="preserve"/>
        </x:is>
      </x:c>
      <x:c r="L60" s="7" t="inlineStr">
        <x:is>
          <x:t xml:space="preserve"/>
        </x:is>
      </x:c>
      <x:c r="M60" s="7" t="inlineStr">
        <x:is>
          <x:t xml:space="preserve"/>
        </x:is>
      </x:c>
      <x:c r="N60" s="7" t="inlineStr">
        <x:is>
          <x:t xml:space="preserve"/>
        </x:is>
      </x:c>
      <x:c r="O60" s="7" t="inlineStr">
        <x:is>
          <x:t xml:space="preserve"/>
        </x:is>
      </x:c>
      <x:c r="P60" s="7" t="inlineStr">
        <x:is>
          <x:t xml:space="preserve"/>
        </x:is>
      </x:c>
      <x:c r="Q60" s="6" t="inlineStr">
        <x:is>
          <x:t xml:space="preserve"/>
        </x:is>
      </x:c>
    </x:row>
    <x:row r="61" ht="35" customHeight="1">
      <x:c r="A61" s="7" t="inlineStr">
        <x:is>
          <x:t xml:space="preserve"/>
        </x:is>
      </x:c>
      <x:c r="B61" s="6" t="inlineStr">
        <x:is>
          <x:t xml:space="preserve"/>
        </x:is>
      </x:c>
      <x:c r="C61" s="6" t="inlineStr">
        <x:is>
          <x:t xml:space="preserve"/>
        </x:is>
      </x:c>
      <x:c r="D61" s="6" t="inlineStr">
        <x:is>
          <x:t xml:space="preserve"/>
        </x:is>
      </x:c>
      <x:c r="E61" s="6" t="inlineStr">
        <x:is>
          <x:t xml:space="preserve"/>
        </x:is>
      </x:c>
      <x:c r="F61" s="6" t="inlineStr">
        <x:is>
          <x:t xml:space="preserve"/>
        </x:is>
      </x:c>
      <x:c r="G61" s="7" t="inlineStr">
        <x:is>
          <x:t xml:space="preserve"/>
        </x:is>
      </x:c>
      <x:c r="H61" s="6" t="inlineStr">
        <x:is>
          <x:t xml:space="preserve"/>
        </x:is>
      </x:c>
      <x:c r="I61" s="7" t="inlineStr">
        <x:is>
          <x:t xml:space="preserve"/>
        </x:is>
      </x:c>
      <x:c r="J61" s="6" t="inlineStr">
        <x:is>
          <x:t xml:space="preserve"/>
        </x:is>
      </x:c>
      <x:c r="K61" s="7" t="inlineStr">
        <x:is>
          <x:t xml:space="preserve"/>
        </x:is>
      </x:c>
      <x:c r="L61" s="7" t="inlineStr">
        <x:is>
          <x:t xml:space="preserve"/>
        </x:is>
      </x:c>
      <x:c r="M61" s="7" t="inlineStr">
        <x:is>
          <x:t xml:space="preserve"/>
        </x:is>
      </x:c>
      <x:c r="N61" s="7" t="inlineStr">
        <x:is>
          <x:t xml:space="preserve"/>
        </x:is>
      </x:c>
      <x:c r="O61" s="7" t="inlineStr">
        <x:is>
          <x:t xml:space="preserve"/>
        </x:is>
      </x:c>
      <x:c r="P61" s="7" t="inlineStr">
        <x:is>
          <x:t xml:space="preserve"/>
        </x:is>
      </x:c>
      <x:c r="Q61" s="6" t="inlineStr">
        <x:is>
          <x:t xml:space="preserve"/>
        </x:is>
      </x:c>
    </x:row>
    <x:row r="62" ht="35" customHeight="1">
      <x:c r="A62" s="7" t="inlineStr">
        <x:is>
          <x:t xml:space="preserve"/>
        </x:is>
      </x:c>
      <x:c r="B62" s="6" t="inlineStr">
        <x:is>
          <x:t xml:space="preserve"/>
        </x:is>
      </x:c>
      <x:c r="C62" s="6" t="inlineStr">
        <x:is>
          <x:t xml:space="preserve"/>
        </x:is>
      </x:c>
      <x:c r="D62" s="6" t="inlineStr">
        <x:is>
          <x:t xml:space="preserve"/>
        </x:is>
      </x:c>
      <x:c r="E62" s="6" t="inlineStr">
        <x:is>
          <x:t xml:space="preserve"/>
        </x:is>
      </x:c>
      <x:c r="F62" s="6" t="inlineStr">
        <x:is>
          <x:t xml:space="preserve"/>
        </x:is>
      </x:c>
      <x:c r="G62" s="7" t="inlineStr">
        <x:is>
          <x:t xml:space="preserve"/>
        </x:is>
      </x:c>
      <x:c r="H62" s="6" t="inlineStr">
        <x:is>
          <x:t xml:space="preserve"/>
        </x:is>
      </x:c>
      <x:c r="I62" s="7" t="inlineStr">
        <x:is>
          <x:t xml:space="preserve"/>
        </x:is>
      </x:c>
      <x:c r="J62" s="6" t="inlineStr">
        <x:is>
          <x:t xml:space="preserve"/>
        </x:is>
      </x:c>
      <x:c r="K62" s="7" t="inlineStr">
        <x:is>
          <x:t xml:space="preserve"/>
        </x:is>
      </x:c>
      <x:c r="L62" s="7" t="inlineStr">
        <x:is>
          <x:t xml:space="preserve"/>
        </x:is>
      </x:c>
      <x:c r="M62" s="7" t="inlineStr">
        <x:is>
          <x:t xml:space="preserve"/>
        </x:is>
      </x:c>
      <x:c r="N62" s="7" t="inlineStr">
        <x:is>
          <x:t xml:space="preserve"/>
        </x:is>
      </x:c>
      <x:c r="O62" s="7" t="inlineStr">
        <x:is>
          <x:t xml:space="preserve"/>
        </x:is>
      </x:c>
      <x:c r="P62" s="7" t="inlineStr">
        <x:is>
          <x:t xml:space="preserve"/>
        </x:is>
      </x:c>
      <x:c r="Q62" s="6" t="inlineStr">
        <x:is>
          <x:t xml:space="preserve"/>
        </x:is>
      </x:c>
    </x:row>
    <x:row r="63" ht="35" customHeight="1">
      <x:c r="A63" s="7" t="inlineStr">
        <x:is>
          <x:t xml:space="preserve"/>
        </x:is>
      </x:c>
      <x:c r="B63" s="6" t="inlineStr">
        <x:is>
          <x:t xml:space="preserve"/>
        </x:is>
      </x:c>
      <x:c r="C63" s="6" t="inlineStr">
        <x:is>
          <x:t xml:space="preserve"/>
        </x:is>
      </x:c>
      <x:c r="D63" s="6" t="inlineStr">
        <x:is>
          <x:t xml:space="preserve"/>
        </x:is>
      </x:c>
      <x:c r="E63" s="6" t="inlineStr">
        <x:is>
          <x:t xml:space="preserve"/>
        </x:is>
      </x:c>
      <x:c r="F63" s="6" t="inlineStr">
        <x:is>
          <x:t xml:space="preserve"/>
        </x:is>
      </x:c>
      <x:c r="G63" s="7" t="inlineStr">
        <x:is>
          <x:t xml:space="preserve"/>
        </x:is>
      </x:c>
      <x:c r="H63" s="6" t="inlineStr">
        <x:is>
          <x:t xml:space="preserve"/>
        </x:is>
      </x:c>
      <x:c r="I63" s="7" t="inlineStr">
        <x:is>
          <x:t xml:space="preserve"/>
        </x:is>
      </x:c>
      <x:c r="J63" s="6" t="inlineStr">
        <x:is>
          <x:t xml:space="preserve"/>
        </x:is>
      </x:c>
      <x:c r="K63" s="7" t="inlineStr">
        <x:is>
          <x:t xml:space="preserve"/>
        </x:is>
      </x:c>
      <x:c r="L63" s="7" t="inlineStr">
        <x:is>
          <x:t xml:space="preserve"/>
        </x:is>
      </x:c>
      <x:c r="M63" s="7" t="inlineStr">
        <x:is>
          <x:t xml:space="preserve"/>
        </x:is>
      </x:c>
      <x:c r="N63" s="7" t="inlineStr">
        <x:is>
          <x:t xml:space="preserve"/>
        </x:is>
      </x:c>
      <x:c r="O63" s="7" t="inlineStr">
        <x:is>
          <x:t xml:space="preserve"/>
        </x:is>
      </x:c>
      <x:c r="P63" s="7" t="inlineStr">
        <x:is>
          <x:t xml:space="preserve"/>
        </x:is>
      </x:c>
      <x:c r="Q63" s="6" t="inlineStr">
        <x:is>
          <x:t xml:space="preserve"/>
        </x:is>
      </x:c>
    </x:row>
    <x:row r="64" ht="35" customHeight="1">
      <x:c r="A64" s="7" t="inlineStr">
        <x:is>
          <x:t xml:space="preserve"/>
        </x:is>
      </x:c>
      <x:c r="B64" s="6" t="inlineStr">
        <x:is>
          <x:t xml:space="preserve"/>
        </x:is>
      </x:c>
      <x:c r="C64" s="6" t="inlineStr">
        <x:is>
          <x:t xml:space="preserve"/>
        </x:is>
      </x:c>
      <x:c r="D64" s="6" t="inlineStr">
        <x:is>
          <x:t xml:space="preserve"/>
        </x:is>
      </x:c>
      <x:c r="E64" s="6" t="inlineStr">
        <x:is>
          <x:t xml:space="preserve"/>
        </x:is>
      </x:c>
      <x:c r="F64" s="6" t="inlineStr">
        <x:is>
          <x:t xml:space="preserve"/>
        </x:is>
      </x:c>
      <x:c r="G64" s="7" t="inlineStr">
        <x:is>
          <x:t xml:space="preserve"/>
        </x:is>
      </x:c>
      <x:c r="H64" s="6" t="inlineStr">
        <x:is>
          <x:t xml:space="preserve"/>
        </x:is>
      </x:c>
      <x:c r="I64" s="7" t="inlineStr">
        <x:is>
          <x:t xml:space="preserve"/>
        </x:is>
      </x:c>
      <x:c r="J64" s="6" t="inlineStr">
        <x:is>
          <x:t xml:space="preserve"/>
        </x:is>
      </x:c>
      <x:c r="K64" s="7" t="inlineStr">
        <x:is>
          <x:t xml:space="preserve"/>
        </x:is>
      </x:c>
      <x:c r="L64" s="7" t="inlineStr">
        <x:is>
          <x:t xml:space="preserve"/>
        </x:is>
      </x:c>
      <x:c r="M64" s="7" t="inlineStr">
        <x:is>
          <x:t xml:space="preserve"/>
        </x:is>
      </x:c>
      <x:c r="N64" s="7" t="inlineStr">
        <x:is>
          <x:t xml:space="preserve"/>
        </x:is>
      </x:c>
      <x:c r="O64" s="7" t="inlineStr">
        <x:is>
          <x:t xml:space="preserve"/>
        </x:is>
      </x:c>
      <x:c r="P64" s="7" t="inlineStr">
        <x:is>
          <x:t xml:space="preserve"/>
        </x:is>
      </x:c>
      <x:c r="Q64" s="6" t="inlineStr">
        <x:is>
          <x:t xml:space="preserve"/>
        </x:is>
      </x:c>
    </x:row>
    <x:row r="65" ht="35" customHeight="1">
      <x:c r="A65" s="7" t="inlineStr">
        <x:is>
          <x:t xml:space="preserve"/>
        </x:is>
      </x:c>
      <x:c r="B65" s="6" t="inlineStr">
        <x:is>
          <x:t xml:space="preserve"/>
        </x:is>
      </x:c>
      <x:c r="C65" s="6" t="inlineStr">
        <x:is>
          <x:t xml:space="preserve"/>
        </x:is>
      </x:c>
      <x:c r="D65" s="6" t="inlineStr">
        <x:is>
          <x:t xml:space="preserve"/>
        </x:is>
      </x:c>
      <x:c r="E65" s="6" t="inlineStr">
        <x:is>
          <x:t xml:space="preserve"/>
        </x:is>
      </x:c>
      <x:c r="F65" s="6" t="inlineStr">
        <x:is>
          <x:t xml:space="preserve"/>
        </x:is>
      </x:c>
      <x:c r="G65" s="7" t="inlineStr">
        <x:is>
          <x:t xml:space="preserve"/>
        </x:is>
      </x:c>
      <x:c r="H65" s="6" t="inlineStr">
        <x:is>
          <x:t xml:space="preserve"/>
        </x:is>
      </x:c>
      <x:c r="I65" s="7" t="inlineStr">
        <x:is>
          <x:t xml:space="preserve"/>
        </x:is>
      </x:c>
      <x:c r="J65" s="6" t="inlineStr">
        <x:is>
          <x:t xml:space="preserve"/>
        </x:is>
      </x:c>
      <x:c r="K65" s="7" t="inlineStr">
        <x:is>
          <x:t xml:space="preserve"/>
        </x:is>
      </x:c>
      <x:c r="L65" s="7" t="inlineStr">
        <x:is>
          <x:t xml:space="preserve"/>
        </x:is>
      </x:c>
      <x:c r="M65" s="7" t="inlineStr">
        <x:is>
          <x:t xml:space="preserve"/>
        </x:is>
      </x:c>
      <x:c r="N65" s="7" t="inlineStr">
        <x:is>
          <x:t xml:space="preserve"/>
        </x:is>
      </x:c>
      <x:c r="O65" s="7" t="inlineStr">
        <x:is>
          <x:t xml:space="preserve"/>
        </x:is>
      </x:c>
      <x:c r="P65" s="7" t="inlineStr">
        <x:is>
          <x:t xml:space="preserve"/>
        </x:is>
      </x:c>
      <x:c r="Q65" s="6" t="inlineStr">
        <x:is>
          <x:t xml:space="preserve"/>
        </x:is>
      </x:c>
    </x:row>
    <x:row r="66" ht="35" customHeight="1">
      <x:c r="A66" s="7" t="inlineStr">
        <x:is>
          <x:t xml:space="preserve"/>
        </x:is>
      </x:c>
      <x:c r="B66" s="6" t="inlineStr">
        <x:is>
          <x:t xml:space="preserve"/>
        </x:is>
      </x:c>
      <x:c r="C66" s="6" t="inlineStr">
        <x:is>
          <x:t xml:space="preserve"/>
        </x:is>
      </x:c>
      <x:c r="D66" s="6" t="inlineStr">
        <x:is>
          <x:t xml:space="preserve"/>
        </x:is>
      </x:c>
      <x:c r="E66" s="6" t="inlineStr">
        <x:is>
          <x:t xml:space="preserve"/>
        </x:is>
      </x:c>
      <x:c r="F66" s="6" t="inlineStr">
        <x:is>
          <x:t xml:space="preserve"/>
        </x:is>
      </x:c>
      <x:c r="G66" s="7" t="inlineStr">
        <x:is>
          <x:t xml:space="preserve"/>
        </x:is>
      </x:c>
      <x:c r="H66" s="6" t="inlineStr">
        <x:is>
          <x:t xml:space="preserve"/>
        </x:is>
      </x:c>
      <x:c r="I66" s="7" t="inlineStr">
        <x:is>
          <x:t xml:space="preserve"/>
        </x:is>
      </x:c>
      <x:c r="J66" s="6" t="inlineStr">
        <x:is>
          <x:t xml:space="preserve"/>
        </x:is>
      </x:c>
      <x:c r="K66" s="7" t="inlineStr">
        <x:is>
          <x:t xml:space="preserve"/>
        </x:is>
      </x:c>
      <x:c r="L66" s="7" t="inlineStr">
        <x:is>
          <x:t xml:space="preserve"/>
        </x:is>
      </x:c>
      <x:c r="M66" s="7" t="inlineStr">
        <x:is>
          <x:t xml:space="preserve"/>
        </x:is>
      </x:c>
      <x:c r="N66" s="7" t="inlineStr">
        <x:is>
          <x:t xml:space="preserve"/>
        </x:is>
      </x:c>
      <x:c r="O66" s="7" t="inlineStr">
        <x:is>
          <x:t xml:space="preserve"/>
        </x:is>
      </x:c>
      <x:c r="P66" s="7" t="inlineStr">
        <x:is>
          <x:t xml:space="preserve"/>
        </x:is>
      </x:c>
      <x:c r="Q66" s="6" t="inlineStr">
        <x:is>
          <x:t xml:space="preserve"/>
        </x:is>
      </x:c>
    </x:row>
    <x:row r="67" ht="35" customHeight="1">
      <x:c r="A67" s="7" t="inlineStr">
        <x:is>
          <x:t xml:space="preserve"/>
        </x:is>
      </x:c>
      <x:c r="B67" s="6" t="inlineStr">
        <x:is>
          <x:t xml:space="preserve"/>
        </x:is>
      </x:c>
      <x:c r="C67" s="6" t="inlineStr">
        <x:is>
          <x:t xml:space="preserve"/>
        </x:is>
      </x:c>
      <x:c r="D67" s="6" t="inlineStr">
        <x:is>
          <x:t xml:space="preserve"/>
        </x:is>
      </x:c>
      <x:c r="E67" s="6" t="inlineStr">
        <x:is>
          <x:t xml:space="preserve"/>
        </x:is>
      </x:c>
      <x:c r="F67" s="6" t="inlineStr">
        <x:is>
          <x:t xml:space="preserve"/>
        </x:is>
      </x:c>
      <x:c r="G67" s="7" t="inlineStr">
        <x:is>
          <x:t xml:space="preserve"/>
        </x:is>
      </x:c>
      <x:c r="H67" s="6" t="inlineStr">
        <x:is>
          <x:t xml:space="preserve"/>
        </x:is>
      </x:c>
      <x:c r="I67" s="7" t="inlineStr">
        <x:is>
          <x:t xml:space="preserve"/>
        </x:is>
      </x:c>
      <x:c r="J67" s="6" t="inlineStr">
        <x:is>
          <x:t xml:space="preserve"/>
        </x:is>
      </x:c>
      <x:c r="K67" s="7" t="inlineStr">
        <x:is>
          <x:t xml:space="preserve"/>
        </x:is>
      </x:c>
      <x:c r="L67" s="7" t="inlineStr">
        <x:is>
          <x:t xml:space="preserve"/>
        </x:is>
      </x:c>
      <x:c r="M67" s="7" t="inlineStr">
        <x:is>
          <x:t xml:space="preserve"/>
        </x:is>
      </x:c>
      <x:c r="N67" s="7" t="inlineStr">
        <x:is>
          <x:t xml:space="preserve"/>
        </x:is>
      </x:c>
      <x:c r="O67" s="7" t="inlineStr">
        <x:is>
          <x:t xml:space="preserve"/>
        </x:is>
      </x:c>
      <x:c r="P67" s="7" t="inlineStr">
        <x:is>
          <x:t xml:space="preserve"/>
        </x:is>
      </x:c>
      <x:c r="Q67" s="6" t="inlineStr">
        <x:is>
          <x:t xml:space="preserve"/>
        </x:is>
      </x:c>
    </x:row>
    <x:row r="68" ht="35" customHeight="1">
      <x:c r="A68" s="7" t="inlineStr">
        <x:is>
          <x:t xml:space="preserve"/>
        </x:is>
      </x:c>
      <x:c r="B68" s="6" t="inlineStr">
        <x:is>
          <x:t xml:space="preserve"/>
        </x:is>
      </x:c>
      <x:c r="C68" s="6" t="inlineStr">
        <x:is>
          <x:t xml:space="preserve"/>
        </x:is>
      </x:c>
      <x:c r="D68" s="6" t="inlineStr">
        <x:is>
          <x:t xml:space="preserve"/>
        </x:is>
      </x:c>
      <x:c r="E68" s="6" t="inlineStr">
        <x:is>
          <x:t xml:space="preserve"/>
        </x:is>
      </x:c>
      <x:c r="F68" s="6" t="inlineStr">
        <x:is>
          <x:t xml:space="preserve"/>
        </x:is>
      </x:c>
      <x:c r="G68" s="7" t="inlineStr">
        <x:is>
          <x:t xml:space="preserve"/>
        </x:is>
      </x:c>
      <x:c r="H68" s="6" t="inlineStr">
        <x:is>
          <x:t xml:space="preserve"/>
        </x:is>
      </x:c>
      <x:c r="I68" s="7" t="inlineStr">
        <x:is>
          <x:t xml:space="preserve"/>
        </x:is>
      </x:c>
      <x:c r="J68" s="6" t="inlineStr">
        <x:is>
          <x:t xml:space="preserve"/>
        </x:is>
      </x:c>
      <x:c r="K68" s="7" t="inlineStr">
        <x:is>
          <x:t xml:space="preserve"/>
        </x:is>
      </x:c>
      <x:c r="L68" s="7" t="inlineStr">
        <x:is>
          <x:t xml:space="preserve"/>
        </x:is>
      </x:c>
      <x:c r="M68" s="7" t="inlineStr">
        <x:is>
          <x:t xml:space="preserve"/>
        </x:is>
      </x:c>
      <x:c r="N68" s="7" t="inlineStr">
        <x:is>
          <x:t xml:space="preserve"/>
        </x:is>
      </x:c>
      <x:c r="O68" s="7" t="inlineStr">
        <x:is>
          <x:t xml:space="preserve"/>
        </x:is>
      </x:c>
      <x:c r="P68" s="7" t="inlineStr">
        <x:is>
          <x:t xml:space="preserve"/>
        </x:is>
      </x:c>
      <x:c r="Q68" s="6" t="inlineStr">
        <x:is>
          <x:t xml:space="preserve"/>
        </x:is>
      </x:c>
    </x:row>
    <x:row r="69" ht="35" customHeight="1">
      <x:c r="A69" s="7" t="inlineStr">
        <x:is>
          <x:t xml:space="preserve"/>
        </x:is>
      </x:c>
      <x:c r="B69" s="6" t="inlineStr">
        <x:is>
          <x:t xml:space="preserve"/>
        </x:is>
      </x:c>
      <x:c r="C69" s="6" t="inlineStr">
        <x:is>
          <x:t xml:space="preserve"/>
        </x:is>
      </x:c>
      <x:c r="D69" s="6" t="inlineStr">
        <x:is>
          <x:t xml:space="preserve"/>
        </x:is>
      </x:c>
      <x:c r="E69" s="6" t="inlineStr">
        <x:is>
          <x:t xml:space="preserve"/>
        </x:is>
      </x:c>
      <x:c r="F69" s="6" t="inlineStr">
        <x:is>
          <x:t xml:space="preserve"/>
        </x:is>
      </x:c>
      <x:c r="G69" s="7" t="inlineStr">
        <x:is>
          <x:t xml:space="preserve"/>
        </x:is>
      </x:c>
      <x:c r="H69" s="6" t="inlineStr">
        <x:is>
          <x:t xml:space="preserve"/>
        </x:is>
      </x:c>
      <x:c r="I69" s="7" t="inlineStr">
        <x:is>
          <x:t xml:space="preserve"/>
        </x:is>
      </x:c>
      <x:c r="J69" s="6" t="inlineStr">
        <x:is>
          <x:t xml:space="preserve"/>
        </x:is>
      </x:c>
      <x:c r="K69" s="7" t="inlineStr">
        <x:is>
          <x:t xml:space="preserve"/>
        </x:is>
      </x:c>
      <x:c r="L69" s="7" t="inlineStr">
        <x:is>
          <x:t xml:space="preserve"/>
        </x:is>
      </x:c>
      <x:c r="M69" s="7" t="inlineStr">
        <x:is>
          <x:t xml:space="preserve"/>
        </x:is>
      </x:c>
      <x:c r="N69" s="7" t="inlineStr">
        <x:is>
          <x:t xml:space="preserve"/>
        </x:is>
      </x:c>
      <x:c r="O69" s="7" t="inlineStr">
        <x:is>
          <x:t xml:space="preserve"/>
        </x:is>
      </x:c>
      <x:c r="P69" s="7" t="inlineStr">
        <x:is>
          <x:t xml:space="preserve"/>
        </x:is>
      </x:c>
      <x:c r="Q69" s="6" t="inlineStr">
        <x:is>
          <x:t xml:space="preserve"/>
        </x:is>
      </x:c>
    </x:row>
    <x:row r="70" ht="35" customHeight="1">
      <x:c r="A70" s="7" t="inlineStr">
        <x:is>
          <x:t xml:space="preserve"/>
        </x:is>
      </x:c>
      <x:c r="B70" s="6" t="inlineStr">
        <x:is>
          <x:t xml:space="preserve"/>
        </x:is>
      </x:c>
      <x:c r="C70" s="6" t="inlineStr">
        <x:is>
          <x:t xml:space="preserve"/>
        </x:is>
      </x:c>
      <x:c r="D70" s="6" t="inlineStr">
        <x:is>
          <x:t xml:space="preserve"/>
        </x:is>
      </x:c>
      <x:c r="E70" s="6" t="inlineStr">
        <x:is>
          <x:t xml:space="preserve"/>
        </x:is>
      </x:c>
      <x:c r="F70" s="6" t="inlineStr">
        <x:is>
          <x:t xml:space="preserve"/>
        </x:is>
      </x:c>
      <x:c r="G70" s="7" t="inlineStr">
        <x:is>
          <x:t xml:space="preserve"/>
        </x:is>
      </x:c>
      <x:c r="H70" s="6" t="inlineStr">
        <x:is>
          <x:t xml:space="preserve"/>
        </x:is>
      </x:c>
      <x:c r="I70" s="7" t="inlineStr">
        <x:is>
          <x:t xml:space="preserve"/>
        </x:is>
      </x:c>
      <x:c r="J70" s="6" t="inlineStr">
        <x:is>
          <x:t xml:space="preserve"/>
        </x:is>
      </x:c>
      <x:c r="K70" s="7" t="inlineStr">
        <x:is>
          <x:t xml:space="preserve"/>
        </x:is>
      </x:c>
      <x:c r="L70" s="7" t="inlineStr">
        <x:is>
          <x:t xml:space="preserve"/>
        </x:is>
      </x:c>
      <x:c r="M70" s="7" t="inlineStr">
        <x:is>
          <x:t xml:space="preserve"/>
        </x:is>
      </x:c>
      <x:c r="N70" s="7" t="inlineStr">
        <x:is>
          <x:t xml:space="preserve"/>
        </x:is>
      </x:c>
      <x:c r="O70" s="7" t="inlineStr">
        <x:is>
          <x:t xml:space="preserve"/>
        </x:is>
      </x:c>
      <x:c r="P70" s="7" t="inlineStr">
        <x:is>
          <x:t xml:space="preserve"/>
        </x:is>
      </x:c>
      <x:c r="Q70" s="6" t="inlineStr">
        <x:is>
          <x:t xml:space="preserve"/>
        </x:is>
      </x:c>
    </x:row>
    <x:row r="71" ht="35" customHeight="1">
      <x:c r="A71" s="7" t="inlineStr">
        <x:is>
          <x:t xml:space="preserve"/>
        </x:is>
      </x:c>
      <x:c r="B71" s="6" t="inlineStr">
        <x:is>
          <x:t xml:space="preserve"/>
        </x:is>
      </x:c>
      <x:c r="C71" s="6" t="inlineStr">
        <x:is>
          <x:t xml:space="preserve"/>
        </x:is>
      </x:c>
      <x:c r="D71" s="6" t="inlineStr">
        <x:is>
          <x:t xml:space="preserve"/>
        </x:is>
      </x:c>
      <x:c r="E71" s="6" t="inlineStr">
        <x:is>
          <x:t xml:space="preserve"/>
        </x:is>
      </x:c>
      <x:c r="F71" s="6" t="inlineStr">
        <x:is>
          <x:t xml:space="preserve"/>
        </x:is>
      </x:c>
      <x:c r="G71" s="7" t="inlineStr">
        <x:is>
          <x:t xml:space="preserve"/>
        </x:is>
      </x:c>
      <x:c r="H71" s="6" t="inlineStr">
        <x:is>
          <x:t xml:space="preserve"/>
        </x:is>
      </x:c>
      <x:c r="I71" s="7" t="inlineStr">
        <x:is>
          <x:t xml:space="preserve"/>
        </x:is>
      </x:c>
      <x:c r="J71" s="6" t="inlineStr">
        <x:is>
          <x:t xml:space="preserve"/>
        </x:is>
      </x:c>
      <x:c r="K71" s="7" t="inlineStr">
        <x:is>
          <x:t xml:space="preserve"/>
        </x:is>
      </x:c>
      <x:c r="L71" s="7" t="inlineStr">
        <x:is>
          <x:t xml:space="preserve"/>
        </x:is>
      </x:c>
      <x:c r="M71" s="7" t="inlineStr">
        <x:is>
          <x:t xml:space="preserve"/>
        </x:is>
      </x:c>
      <x:c r="N71" s="7" t="inlineStr">
        <x:is>
          <x:t xml:space="preserve"/>
        </x:is>
      </x:c>
      <x:c r="O71" s="7" t="inlineStr">
        <x:is>
          <x:t xml:space="preserve"/>
        </x:is>
      </x:c>
      <x:c r="P71" s="7" t="inlineStr">
        <x:is>
          <x:t xml:space="preserve"/>
        </x:is>
      </x:c>
      <x:c r="Q71" s="6" t="inlineStr">
        <x:is>
          <x:t xml:space="preserve"/>
        </x:is>
      </x:c>
    </x:row>
    <x:row r="72" ht="35" customHeight="1">
      <x:c r="A72" s="7" t="inlineStr">
        <x:is>
          <x:t xml:space="preserve"/>
        </x:is>
      </x:c>
      <x:c r="B72" s="6" t="inlineStr">
        <x:is>
          <x:t xml:space="preserve"/>
        </x:is>
      </x:c>
      <x:c r="C72" s="6" t="inlineStr">
        <x:is>
          <x:t xml:space="preserve"/>
        </x:is>
      </x:c>
      <x:c r="D72" s="6" t="inlineStr">
        <x:is>
          <x:t xml:space="preserve"/>
        </x:is>
      </x:c>
      <x:c r="E72" s="6" t="inlineStr">
        <x:is>
          <x:t xml:space="preserve"/>
        </x:is>
      </x:c>
      <x:c r="F72" s="6" t="inlineStr">
        <x:is>
          <x:t xml:space="preserve"/>
        </x:is>
      </x:c>
      <x:c r="G72" s="7" t="inlineStr">
        <x:is>
          <x:t xml:space="preserve"/>
        </x:is>
      </x:c>
      <x:c r="H72" s="6" t="inlineStr">
        <x:is>
          <x:t xml:space="preserve"/>
        </x:is>
      </x:c>
      <x:c r="I72" s="7" t="inlineStr">
        <x:is>
          <x:t xml:space="preserve"/>
        </x:is>
      </x:c>
      <x:c r="J72" s="6" t="inlineStr">
        <x:is>
          <x:t xml:space="preserve"/>
        </x:is>
      </x:c>
      <x:c r="K72" s="7" t="inlineStr">
        <x:is>
          <x:t xml:space="preserve"/>
        </x:is>
      </x:c>
      <x:c r="L72" s="7" t="inlineStr">
        <x:is>
          <x:t xml:space="preserve"/>
        </x:is>
      </x:c>
      <x:c r="M72" s="7" t="inlineStr">
        <x:is>
          <x:t xml:space="preserve"/>
        </x:is>
      </x:c>
      <x:c r="N72" s="7" t="inlineStr">
        <x:is>
          <x:t xml:space="preserve"/>
        </x:is>
      </x:c>
      <x:c r="O72" s="7" t="inlineStr">
        <x:is>
          <x:t xml:space="preserve"/>
        </x:is>
      </x:c>
      <x:c r="P72" s="7" t="inlineStr">
        <x:is>
          <x:t xml:space="preserve"/>
        </x:is>
      </x:c>
      <x:c r="Q72" s="6" t="inlineStr">
        <x:is>
          <x:t xml:space="preserve"/>
        </x:is>
      </x:c>
    </x:row>
    <x:row r="73" ht="35" customHeight="1">
      <x:c r="A73" s="7" t="inlineStr">
        <x:is>
          <x:t xml:space="preserve"/>
        </x:is>
      </x:c>
      <x:c r="B73" s="6" t="inlineStr">
        <x:is>
          <x:t xml:space="preserve"/>
        </x:is>
      </x:c>
      <x:c r="C73" s="6" t="inlineStr">
        <x:is>
          <x:t xml:space="preserve"/>
        </x:is>
      </x:c>
      <x:c r="D73" s="6" t="inlineStr">
        <x:is>
          <x:t xml:space="preserve"/>
        </x:is>
      </x:c>
      <x:c r="E73" s="6" t="inlineStr">
        <x:is>
          <x:t xml:space="preserve"/>
        </x:is>
      </x:c>
      <x:c r="F73" s="6" t="inlineStr">
        <x:is>
          <x:t xml:space="preserve"/>
        </x:is>
      </x:c>
      <x:c r="G73" s="7" t="inlineStr">
        <x:is>
          <x:t xml:space="preserve"/>
        </x:is>
      </x:c>
      <x:c r="H73" s="6" t="inlineStr">
        <x:is>
          <x:t xml:space="preserve"/>
        </x:is>
      </x:c>
      <x:c r="I73" s="7" t="inlineStr">
        <x:is>
          <x:t xml:space="preserve"/>
        </x:is>
      </x:c>
      <x:c r="J73" s="6" t="inlineStr">
        <x:is>
          <x:t xml:space="preserve"/>
        </x:is>
      </x:c>
      <x:c r="K73" s="7" t="inlineStr">
        <x:is>
          <x:t xml:space="preserve"/>
        </x:is>
      </x:c>
      <x:c r="L73" s="7" t="inlineStr">
        <x:is>
          <x:t xml:space="preserve"/>
        </x:is>
      </x:c>
      <x:c r="M73" s="7" t="inlineStr">
        <x:is>
          <x:t xml:space="preserve"/>
        </x:is>
      </x:c>
      <x:c r="N73" s="7" t="inlineStr">
        <x:is>
          <x:t xml:space="preserve"/>
        </x:is>
      </x:c>
      <x:c r="O73" s="7" t="inlineStr">
        <x:is>
          <x:t xml:space="preserve"/>
        </x:is>
      </x:c>
      <x:c r="P73" s="7" t="inlineStr">
        <x:is>
          <x:t xml:space="preserve"/>
        </x:is>
      </x:c>
      <x:c r="Q73" s="6" t="inlineStr">
        <x:is>
          <x:t xml:space="preserve"/>
        </x:is>
      </x:c>
    </x:row>
    <x:row r="74" ht="35" customHeight="1">
      <x:c r="A74" s="7" t="inlineStr">
        <x:is>
          <x:t xml:space="preserve"/>
        </x:is>
      </x:c>
      <x:c r="B74" s="6" t="inlineStr">
        <x:is>
          <x:t xml:space="preserve"/>
        </x:is>
      </x:c>
      <x:c r="C74" s="6" t="inlineStr">
        <x:is>
          <x:t xml:space="preserve"/>
        </x:is>
      </x:c>
      <x:c r="D74" s="6" t="inlineStr">
        <x:is>
          <x:t xml:space="preserve"/>
        </x:is>
      </x:c>
      <x:c r="E74" s="6" t="inlineStr">
        <x:is>
          <x:t xml:space="preserve"/>
        </x:is>
      </x:c>
      <x:c r="F74" s="6" t="inlineStr">
        <x:is>
          <x:t xml:space="preserve"/>
        </x:is>
      </x:c>
      <x:c r="G74" s="7" t="inlineStr">
        <x:is>
          <x:t xml:space="preserve"/>
        </x:is>
      </x:c>
      <x:c r="H74" s="6" t="inlineStr">
        <x:is>
          <x:t xml:space="preserve"/>
        </x:is>
      </x:c>
      <x:c r="I74" s="7" t="inlineStr">
        <x:is>
          <x:t xml:space="preserve"/>
        </x:is>
      </x:c>
      <x:c r="J74" s="6" t="inlineStr">
        <x:is>
          <x:t xml:space="preserve"/>
        </x:is>
      </x:c>
      <x:c r="K74" s="7" t="inlineStr">
        <x:is>
          <x:t xml:space="preserve"/>
        </x:is>
      </x:c>
      <x:c r="L74" s="7" t="inlineStr">
        <x:is>
          <x:t xml:space="preserve"/>
        </x:is>
      </x:c>
      <x:c r="M74" s="7" t="inlineStr">
        <x:is>
          <x:t xml:space="preserve"/>
        </x:is>
      </x:c>
      <x:c r="N74" s="7" t="inlineStr">
        <x:is>
          <x:t xml:space="preserve"/>
        </x:is>
      </x:c>
      <x:c r="O74" s="7" t="inlineStr">
        <x:is>
          <x:t xml:space="preserve"/>
        </x:is>
      </x:c>
      <x:c r="P74" s="7" t="inlineStr">
        <x:is>
          <x:t xml:space="preserve"/>
        </x:is>
      </x:c>
      <x:c r="Q74" s="6" t="inlineStr">
        <x:is>
          <x:t xml:space="preserve"/>
        </x:is>
      </x:c>
    </x:row>
    <x:row r="75" ht="35" customHeight="1">
      <x:c r="A75" s="7" t="inlineStr">
        <x:is>
          <x:t xml:space="preserve"/>
        </x:is>
      </x:c>
      <x:c r="B75" s="6" t="inlineStr">
        <x:is>
          <x:t xml:space="preserve"/>
        </x:is>
      </x:c>
      <x:c r="C75" s="6" t="inlineStr">
        <x:is>
          <x:t xml:space="preserve"/>
        </x:is>
      </x:c>
      <x:c r="D75" s="6" t="inlineStr">
        <x:is>
          <x:t xml:space="preserve"/>
        </x:is>
      </x:c>
      <x:c r="E75" s="6" t="inlineStr">
        <x:is>
          <x:t xml:space="preserve"/>
        </x:is>
      </x:c>
      <x:c r="F75" s="6" t="inlineStr">
        <x:is>
          <x:t xml:space="preserve"/>
        </x:is>
      </x:c>
      <x:c r="G75" s="7" t="inlineStr">
        <x:is>
          <x:t xml:space="preserve"/>
        </x:is>
      </x:c>
      <x:c r="H75" s="6" t="inlineStr">
        <x:is>
          <x:t xml:space="preserve"/>
        </x:is>
      </x:c>
      <x:c r="I75" s="7" t="inlineStr">
        <x:is>
          <x:t xml:space="preserve"/>
        </x:is>
      </x:c>
      <x:c r="J75" s="6" t="inlineStr">
        <x:is>
          <x:t xml:space="preserve"/>
        </x:is>
      </x:c>
      <x:c r="K75" s="7" t="inlineStr">
        <x:is>
          <x:t xml:space="preserve"/>
        </x:is>
      </x:c>
      <x:c r="L75" s="7" t="inlineStr">
        <x:is>
          <x:t xml:space="preserve"/>
        </x:is>
      </x:c>
      <x:c r="M75" s="7" t="inlineStr">
        <x:is>
          <x:t xml:space="preserve"/>
        </x:is>
      </x:c>
      <x:c r="N75" s="7" t="inlineStr">
        <x:is>
          <x:t xml:space="preserve"/>
        </x:is>
      </x:c>
      <x:c r="O75" s="7" t="inlineStr">
        <x:is>
          <x:t xml:space="preserve"/>
        </x:is>
      </x:c>
      <x:c r="P75" s="7" t="inlineStr">
        <x:is>
          <x:t xml:space="preserve"/>
        </x:is>
      </x:c>
      <x:c r="Q75" s="6" t="inlineStr">
        <x:is>
          <x:t xml:space="preserve"/>
        </x:is>
      </x:c>
    </x:row>
    <x:row r="76" ht="35" customHeight="1">
      <x:c r="A76" s="7" t="inlineStr">
        <x:is>
          <x:t xml:space="preserve"/>
        </x:is>
      </x:c>
      <x:c r="B76" s="6" t="inlineStr">
        <x:is>
          <x:t xml:space="preserve"/>
        </x:is>
      </x:c>
      <x:c r="C76" s="6" t="inlineStr">
        <x:is>
          <x:t xml:space="preserve"/>
        </x:is>
      </x:c>
      <x:c r="D76" s="6" t="inlineStr">
        <x:is>
          <x:t xml:space="preserve"/>
        </x:is>
      </x:c>
      <x:c r="E76" s="6" t="inlineStr">
        <x:is>
          <x:t xml:space="preserve"/>
        </x:is>
      </x:c>
      <x:c r="F76" s="6" t="inlineStr">
        <x:is>
          <x:t xml:space="preserve"/>
        </x:is>
      </x:c>
      <x:c r="G76" s="7" t="inlineStr">
        <x:is>
          <x:t xml:space="preserve"/>
        </x:is>
      </x:c>
      <x:c r="H76" s="6" t="inlineStr">
        <x:is>
          <x:t xml:space="preserve"/>
        </x:is>
      </x:c>
      <x:c r="I76" s="7" t="inlineStr">
        <x:is>
          <x:t xml:space="preserve"/>
        </x:is>
      </x:c>
      <x:c r="J76" s="6" t="inlineStr">
        <x:is>
          <x:t xml:space="preserve"/>
        </x:is>
      </x:c>
      <x:c r="K76" s="7" t="inlineStr">
        <x:is>
          <x:t xml:space="preserve"/>
        </x:is>
      </x:c>
      <x:c r="L76" s="7" t="inlineStr">
        <x:is>
          <x:t xml:space="preserve"/>
        </x:is>
      </x:c>
      <x:c r="M76" s="7" t="inlineStr">
        <x:is>
          <x:t xml:space="preserve"/>
        </x:is>
      </x:c>
      <x:c r="N76" s="7" t="inlineStr">
        <x:is>
          <x:t xml:space="preserve"/>
        </x:is>
      </x:c>
      <x:c r="O76" s="7" t="inlineStr">
        <x:is>
          <x:t xml:space="preserve"/>
        </x:is>
      </x:c>
      <x:c r="P76" s="7" t="inlineStr">
        <x:is>
          <x:t xml:space="preserve"/>
        </x:is>
      </x:c>
      <x:c r="Q76" s="6" t="inlineStr">
        <x:is>
          <x:t xml:space="preserve"/>
        </x:is>
      </x:c>
    </x:row>
    <x:row r="77" ht="35" customHeight="1">
      <x:c r="A77" s="7" t="inlineStr">
        <x:is>
          <x:t xml:space="preserve"/>
        </x:is>
      </x:c>
      <x:c r="B77" s="6" t="inlineStr">
        <x:is>
          <x:t xml:space="preserve"/>
        </x:is>
      </x:c>
      <x:c r="C77" s="6" t="inlineStr">
        <x:is>
          <x:t xml:space="preserve"/>
        </x:is>
      </x:c>
      <x:c r="D77" s="6" t="inlineStr">
        <x:is>
          <x:t xml:space="preserve"/>
        </x:is>
      </x:c>
      <x:c r="E77" s="6" t="inlineStr">
        <x:is>
          <x:t xml:space="preserve"/>
        </x:is>
      </x:c>
      <x:c r="F77" s="6" t="inlineStr">
        <x:is>
          <x:t xml:space="preserve"/>
        </x:is>
      </x:c>
      <x:c r="G77" s="7" t="inlineStr">
        <x:is>
          <x:t xml:space="preserve"/>
        </x:is>
      </x:c>
      <x:c r="H77" s="6" t="inlineStr">
        <x:is>
          <x:t xml:space="preserve"/>
        </x:is>
      </x:c>
      <x:c r="I77" s="7" t="inlineStr">
        <x:is>
          <x:t xml:space="preserve"/>
        </x:is>
      </x:c>
      <x:c r="J77" s="6" t="inlineStr">
        <x:is>
          <x:t xml:space="preserve"/>
        </x:is>
      </x:c>
      <x:c r="K77" s="7" t="inlineStr">
        <x:is>
          <x:t xml:space="preserve"/>
        </x:is>
      </x:c>
      <x:c r="L77" s="7" t="inlineStr">
        <x:is>
          <x:t xml:space="preserve"/>
        </x:is>
      </x:c>
      <x:c r="M77" s="7" t="inlineStr">
        <x:is>
          <x:t xml:space="preserve"/>
        </x:is>
      </x:c>
      <x:c r="N77" s="7" t="inlineStr">
        <x:is>
          <x:t xml:space="preserve"/>
        </x:is>
      </x:c>
      <x:c r="O77" s="7" t="inlineStr">
        <x:is>
          <x:t xml:space="preserve"/>
        </x:is>
      </x:c>
      <x:c r="P77" s="7" t="inlineStr">
        <x:is>
          <x:t xml:space="preserve"/>
        </x:is>
      </x:c>
      <x:c r="Q77" s="6" t="inlineStr">
        <x:is>
          <x:t xml:space="preserve"/>
        </x:is>
      </x:c>
    </x:row>
    <x:row r="78" ht="35" customHeight="1">
      <x:c r="A78" s="7" t="inlineStr">
        <x:is>
          <x:t xml:space="preserve"/>
        </x:is>
      </x:c>
      <x:c r="B78" s="6" t="inlineStr">
        <x:is>
          <x:t xml:space="preserve"/>
        </x:is>
      </x:c>
      <x:c r="C78" s="6" t="inlineStr">
        <x:is>
          <x:t xml:space="preserve"/>
        </x:is>
      </x:c>
      <x:c r="D78" s="6" t="inlineStr">
        <x:is>
          <x:t xml:space="preserve"/>
        </x:is>
      </x:c>
      <x:c r="E78" s="6" t="inlineStr">
        <x:is>
          <x:t xml:space="preserve"/>
        </x:is>
      </x:c>
      <x:c r="F78" s="6" t="inlineStr">
        <x:is>
          <x:t xml:space="preserve"/>
        </x:is>
      </x:c>
      <x:c r="G78" s="7" t="inlineStr">
        <x:is>
          <x:t xml:space="preserve"/>
        </x:is>
      </x:c>
      <x:c r="H78" s="6" t="inlineStr">
        <x:is>
          <x:t xml:space="preserve"/>
        </x:is>
      </x:c>
      <x:c r="I78" s="7" t="inlineStr">
        <x:is>
          <x:t xml:space="preserve"/>
        </x:is>
      </x:c>
      <x:c r="J78" s="6" t="inlineStr">
        <x:is>
          <x:t xml:space="preserve"/>
        </x:is>
      </x:c>
      <x:c r="K78" s="7" t="inlineStr">
        <x:is>
          <x:t xml:space="preserve"/>
        </x:is>
      </x:c>
      <x:c r="L78" s="7" t="inlineStr">
        <x:is>
          <x:t xml:space="preserve"/>
        </x:is>
      </x:c>
      <x:c r="M78" s="7" t="inlineStr">
        <x:is>
          <x:t xml:space="preserve"/>
        </x:is>
      </x:c>
      <x:c r="N78" s="7" t="inlineStr">
        <x:is>
          <x:t xml:space="preserve"/>
        </x:is>
      </x:c>
      <x:c r="O78" s="7" t="inlineStr">
        <x:is>
          <x:t xml:space="preserve"/>
        </x:is>
      </x:c>
      <x:c r="P78" s="7" t="inlineStr">
        <x:is>
          <x:t xml:space="preserve"/>
        </x:is>
      </x:c>
      <x:c r="Q78" s="6" t="inlineStr">
        <x:is>
          <x:t xml:space="preserve"/>
        </x:is>
      </x:c>
    </x:row>
    <x:row r="79" ht="35" customHeight="1">
      <x:c r="A79" s="7" t="inlineStr">
        <x:is>
          <x:t xml:space="preserve"/>
        </x:is>
      </x:c>
      <x:c r="B79" s="6" t="inlineStr">
        <x:is>
          <x:t xml:space="preserve"/>
        </x:is>
      </x:c>
      <x:c r="C79" s="6" t="inlineStr">
        <x:is>
          <x:t xml:space="preserve"/>
        </x:is>
      </x:c>
      <x:c r="D79" s="6" t="inlineStr">
        <x:is>
          <x:t xml:space="preserve"/>
        </x:is>
      </x:c>
      <x:c r="E79" s="6" t="inlineStr">
        <x:is>
          <x:t xml:space="preserve"/>
        </x:is>
      </x:c>
      <x:c r="F79" s="6" t="inlineStr">
        <x:is>
          <x:t xml:space="preserve"/>
        </x:is>
      </x:c>
      <x:c r="G79" s="7" t="inlineStr">
        <x:is>
          <x:t xml:space="preserve"/>
        </x:is>
      </x:c>
      <x:c r="H79" s="6" t="inlineStr">
        <x:is>
          <x:t xml:space="preserve"/>
        </x:is>
      </x:c>
      <x:c r="I79" s="7" t="inlineStr">
        <x:is>
          <x:t xml:space="preserve"/>
        </x:is>
      </x:c>
      <x:c r="J79" s="6" t="inlineStr">
        <x:is>
          <x:t xml:space="preserve"/>
        </x:is>
      </x:c>
      <x:c r="K79" s="7" t="inlineStr">
        <x:is>
          <x:t xml:space="preserve"/>
        </x:is>
      </x:c>
      <x:c r="L79" s="7" t="inlineStr">
        <x:is>
          <x:t xml:space="preserve"/>
        </x:is>
      </x:c>
      <x:c r="M79" s="7" t="inlineStr">
        <x:is>
          <x:t xml:space="preserve"/>
        </x:is>
      </x:c>
      <x:c r="N79" s="7" t="inlineStr">
        <x:is>
          <x:t xml:space="preserve"/>
        </x:is>
      </x:c>
      <x:c r="O79" s="7" t="inlineStr">
        <x:is>
          <x:t xml:space="preserve"/>
        </x:is>
      </x:c>
      <x:c r="P79" s="7" t="inlineStr">
        <x:is>
          <x:t xml:space="preserve"/>
        </x:is>
      </x:c>
      <x:c r="Q79" s="6" t="inlineStr">
        <x:is>
          <x:t xml:space="preserve"/>
        </x:is>
      </x:c>
    </x:row>
    <x:row r="80" ht="35" customHeight="1">
      <x:c r="A80" s="7" t="inlineStr">
        <x:is>
          <x:t xml:space="preserve"/>
        </x:is>
      </x:c>
      <x:c r="B80" s="6" t="inlineStr">
        <x:is>
          <x:t xml:space="preserve"/>
        </x:is>
      </x:c>
      <x:c r="C80" s="6" t="inlineStr">
        <x:is>
          <x:t xml:space="preserve"/>
        </x:is>
      </x:c>
      <x:c r="D80" s="6" t="inlineStr">
        <x:is>
          <x:t xml:space="preserve"/>
        </x:is>
      </x:c>
      <x:c r="E80" s="6" t="inlineStr">
        <x:is>
          <x:t xml:space="preserve"/>
        </x:is>
      </x:c>
      <x:c r="F80" s="6" t="inlineStr">
        <x:is>
          <x:t xml:space="preserve"/>
        </x:is>
      </x:c>
      <x:c r="G80" s="7" t="inlineStr">
        <x:is>
          <x:t xml:space="preserve"/>
        </x:is>
      </x:c>
      <x:c r="H80" s="6" t="inlineStr">
        <x:is>
          <x:t xml:space="preserve"/>
        </x:is>
      </x:c>
      <x:c r="I80" s="7" t="inlineStr">
        <x:is>
          <x:t xml:space="preserve"/>
        </x:is>
      </x:c>
      <x:c r="J80" s="6" t="inlineStr">
        <x:is>
          <x:t xml:space="preserve"/>
        </x:is>
      </x:c>
      <x:c r="K80" s="7" t="inlineStr">
        <x:is>
          <x:t xml:space="preserve"/>
        </x:is>
      </x:c>
      <x:c r="L80" s="7" t="inlineStr">
        <x:is>
          <x:t xml:space="preserve"/>
        </x:is>
      </x:c>
      <x:c r="M80" s="7" t="inlineStr">
        <x:is>
          <x:t xml:space="preserve"/>
        </x:is>
      </x:c>
      <x:c r="N80" s="7" t="inlineStr">
        <x:is>
          <x:t xml:space="preserve"/>
        </x:is>
      </x:c>
      <x:c r="O80" s="7" t="inlineStr">
        <x:is>
          <x:t xml:space="preserve"/>
        </x:is>
      </x:c>
      <x:c r="P80" s="7" t="inlineStr">
        <x:is>
          <x:t xml:space="preserve"/>
        </x:is>
      </x:c>
      <x:c r="Q80" s="6" t="inlineStr">
        <x:is>
          <x:t xml:space="preserve"/>
        </x:is>
      </x:c>
    </x:row>
    <x:row r="81" ht="35" customHeight="1">
      <x:c r="A81" s="7" t="inlineStr">
        <x:is>
          <x:t xml:space="preserve"/>
        </x:is>
      </x:c>
      <x:c r="B81" s="6" t="inlineStr">
        <x:is>
          <x:t xml:space="preserve"/>
        </x:is>
      </x:c>
      <x:c r="C81" s="6" t="inlineStr">
        <x:is>
          <x:t xml:space="preserve"/>
        </x:is>
      </x:c>
      <x:c r="D81" s="6" t="inlineStr">
        <x:is>
          <x:t xml:space="preserve"/>
        </x:is>
      </x:c>
      <x:c r="E81" s="6" t="inlineStr">
        <x:is>
          <x:t xml:space="preserve"/>
        </x:is>
      </x:c>
      <x:c r="F81" s="6" t="inlineStr">
        <x:is>
          <x:t xml:space="preserve"/>
        </x:is>
      </x:c>
      <x:c r="G81" s="7" t="inlineStr">
        <x:is>
          <x:t xml:space="preserve"/>
        </x:is>
      </x:c>
      <x:c r="H81" s="6" t="inlineStr">
        <x:is>
          <x:t xml:space="preserve"/>
        </x:is>
      </x:c>
      <x:c r="I81" s="7" t="inlineStr">
        <x:is>
          <x:t xml:space="preserve"/>
        </x:is>
      </x:c>
      <x:c r="J81" s="6" t="inlineStr">
        <x:is>
          <x:t xml:space="preserve"/>
        </x:is>
      </x:c>
      <x:c r="K81" s="7" t="inlineStr">
        <x:is>
          <x:t xml:space="preserve"/>
        </x:is>
      </x:c>
      <x:c r="L81" s="7" t="inlineStr">
        <x:is>
          <x:t xml:space="preserve"/>
        </x:is>
      </x:c>
      <x:c r="M81" s="7" t="inlineStr">
        <x:is>
          <x:t xml:space="preserve"/>
        </x:is>
      </x:c>
      <x:c r="N81" s="7" t="inlineStr">
        <x:is>
          <x:t xml:space="preserve"/>
        </x:is>
      </x:c>
      <x:c r="O81" s="7" t="inlineStr">
        <x:is>
          <x:t xml:space="preserve"/>
        </x:is>
      </x:c>
      <x:c r="P81" s="7" t="inlineStr">
        <x:is>
          <x:t xml:space="preserve"/>
        </x:is>
      </x:c>
      <x:c r="Q81" s="6" t="inlineStr">
        <x:is>
          <x:t xml:space="preserve"/>
        </x:is>
      </x:c>
    </x:row>
    <x:row r="82" ht="35" customHeight="1">
      <x:c r="A82" s="7" t="inlineStr">
        <x:is>
          <x:t xml:space="preserve"/>
        </x:is>
      </x:c>
      <x:c r="B82" s="6" t="inlineStr">
        <x:is>
          <x:t xml:space="preserve"/>
        </x:is>
      </x:c>
      <x:c r="C82" s="6" t="inlineStr">
        <x:is>
          <x:t xml:space="preserve"/>
        </x:is>
      </x:c>
      <x:c r="D82" s="6" t="inlineStr">
        <x:is>
          <x:t xml:space="preserve"/>
        </x:is>
      </x:c>
      <x:c r="E82" s="6" t="inlineStr">
        <x:is>
          <x:t xml:space="preserve"/>
        </x:is>
      </x:c>
      <x:c r="F82" s="6" t="inlineStr">
        <x:is>
          <x:t xml:space="preserve"/>
        </x:is>
      </x:c>
      <x:c r="G82" s="7" t="inlineStr">
        <x:is>
          <x:t xml:space="preserve"/>
        </x:is>
      </x:c>
      <x:c r="H82" s="6" t="inlineStr">
        <x:is>
          <x:t xml:space="preserve"/>
        </x:is>
      </x:c>
      <x:c r="I82" s="7" t="inlineStr">
        <x:is>
          <x:t xml:space="preserve"/>
        </x:is>
      </x:c>
      <x:c r="J82" s="6" t="inlineStr">
        <x:is>
          <x:t xml:space="preserve"/>
        </x:is>
      </x:c>
      <x:c r="K82" s="7" t="inlineStr">
        <x:is>
          <x:t xml:space="preserve"/>
        </x:is>
      </x:c>
      <x:c r="L82" s="7" t="inlineStr">
        <x:is>
          <x:t xml:space="preserve"/>
        </x:is>
      </x:c>
      <x:c r="M82" s="7" t="inlineStr">
        <x:is>
          <x:t xml:space="preserve"/>
        </x:is>
      </x:c>
      <x:c r="N82" s="7" t="inlineStr">
        <x:is>
          <x:t xml:space="preserve"/>
        </x:is>
      </x:c>
      <x:c r="O82" s="7" t="inlineStr">
        <x:is>
          <x:t xml:space="preserve"/>
        </x:is>
      </x:c>
      <x:c r="P82" s="7" t="inlineStr">
        <x:is>
          <x:t xml:space="preserve"/>
        </x:is>
      </x:c>
      <x:c r="Q82" s="6" t="inlineStr">
        <x:is>
          <x:t xml:space="preserve"/>
        </x:is>
      </x:c>
    </x:row>
    <x:row r="83" ht="35" customHeight="1">
      <x:c r="A83" s="7" t="inlineStr">
        <x:is>
          <x:t xml:space="preserve"/>
        </x:is>
      </x:c>
      <x:c r="B83" s="6" t="inlineStr">
        <x:is>
          <x:t xml:space="preserve"/>
        </x:is>
      </x:c>
      <x:c r="C83" s="6" t="inlineStr">
        <x:is>
          <x:t xml:space="preserve"/>
        </x:is>
      </x:c>
      <x:c r="D83" s="6" t="inlineStr">
        <x:is>
          <x:t xml:space="preserve"/>
        </x:is>
      </x:c>
      <x:c r="E83" s="6" t="inlineStr">
        <x:is>
          <x:t xml:space="preserve"/>
        </x:is>
      </x:c>
      <x:c r="F83" s="6" t="inlineStr">
        <x:is>
          <x:t xml:space="preserve"/>
        </x:is>
      </x:c>
      <x:c r="G83" s="7" t="inlineStr">
        <x:is>
          <x:t xml:space="preserve"/>
        </x:is>
      </x:c>
      <x:c r="H83" s="6" t="inlineStr">
        <x:is>
          <x:t xml:space="preserve"/>
        </x:is>
      </x:c>
      <x:c r="I83" s="7" t="inlineStr">
        <x:is>
          <x:t xml:space="preserve"/>
        </x:is>
      </x:c>
      <x:c r="J83" s="6" t="inlineStr">
        <x:is>
          <x:t xml:space="preserve"/>
        </x:is>
      </x:c>
      <x:c r="K83" s="7" t="inlineStr">
        <x:is>
          <x:t xml:space="preserve"/>
        </x:is>
      </x:c>
      <x:c r="L83" s="7" t="inlineStr">
        <x:is>
          <x:t xml:space="preserve"/>
        </x:is>
      </x:c>
      <x:c r="M83" s="7" t="inlineStr">
        <x:is>
          <x:t xml:space="preserve"/>
        </x:is>
      </x:c>
      <x:c r="N83" s="7" t="inlineStr">
        <x:is>
          <x:t xml:space="preserve"/>
        </x:is>
      </x:c>
      <x:c r="O83" s="7" t="inlineStr">
        <x:is>
          <x:t xml:space="preserve"/>
        </x:is>
      </x:c>
      <x:c r="P83" s="7" t="inlineStr">
        <x:is>
          <x:t xml:space="preserve"/>
        </x:is>
      </x:c>
      <x:c r="Q83" s="6" t="inlineStr">
        <x:is>
          <x:t xml:space="preserve"/>
        </x:is>
      </x:c>
    </x:row>
    <x:row r="84" ht="35" customHeight="1">
      <x:c r="A84" s="7" t="inlineStr">
        <x:is>
          <x:t xml:space="preserve"/>
        </x:is>
      </x:c>
      <x:c r="B84" s="6" t="inlineStr">
        <x:is>
          <x:t xml:space="preserve"/>
        </x:is>
      </x:c>
      <x:c r="C84" s="6" t="inlineStr">
        <x:is>
          <x:t xml:space="preserve"/>
        </x:is>
      </x:c>
      <x:c r="D84" s="6" t="inlineStr">
        <x:is>
          <x:t xml:space="preserve"/>
        </x:is>
      </x:c>
      <x:c r="E84" s="6" t="inlineStr">
        <x:is>
          <x:t xml:space="preserve"/>
        </x:is>
      </x:c>
      <x:c r="F84" s="6" t="inlineStr">
        <x:is>
          <x:t xml:space="preserve"/>
        </x:is>
      </x:c>
      <x:c r="G84" s="7" t="inlineStr">
        <x:is>
          <x:t xml:space="preserve"/>
        </x:is>
      </x:c>
      <x:c r="H84" s="6" t="inlineStr">
        <x:is>
          <x:t xml:space="preserve"/>
        </x:is>
      </x:c>
      <x:c r="I84" s="7" t="inlineStr">
        <x:is>
          <x:t xml:space="preserve"/>
        </x:is>
      </x:c>
      <x:c r="J84" s="6" t="inlineStr">
        <x:is>
          <x:t xml:space="preserve"/>
        </x:is>
      </x:c>
      <x:c r="K84" s="7" t="inlineStr">
        <x:is>
          <x:t xml:space="preserve"/>
        </x:is>
      </x:c>
      <x:c r="L84" s="7" t="inlineStr">
        <x:is>
          <x:t xml:space="preserve"/>
        </x:is>
      </x:c>
      <x:c r="M84" s="7" t="inlineStr">
        <x:is>
          <x:t xml:space="preserve"/>
        </x:is>
      </x:c>
      <x:c r="N84" s="7" t="inlineStr">
        <x:is>
          <x:t xml:space="preserve"/>
        </x:is>
      </x:c>
      <x:c r="O84" s="7" t="inlineStr">
        <x:is>
          <x:t xml:space="preserve"/>
        </x:is>
      </x:c>
      <x:c r="P84" s="7" t="inlineStr">
        <x:is>
          <x:t xml:space="preserve"/>
        </x:is>
      </x:c>
      <x:c r="Q84" s="6" t="inlineStr">
        <x:is>
          <x:t xml:space="preserve"/>
        </x:is>
      </x:c>
    </x:row>
    <x:row r="85" ht="35" customHeight="1">
      <x:c r="A85" s="7" t="inlineStr">
        <x:is>
          <x:t xml:space="preserve"/>
        </x:is>
      </x:c>
      <x:c r="B85" s="6" t="inlineStr">
        <x:is>
          <x:t xml:space="preserve"/>
        </x:is>
      </x:c>
      <x:c r="C85" s="6" t="inlineStr">
        <x:is>
          <x:t xml:space="preserve"/>
        </x:is>
      </x:c>
      <x:c r="D85" s="6" t="inlineStr">
        <x:is>
          <x:t xml:space="preserve"/>
        </x:is>
      </x:c>
      <x:c r="E85" s="6" t="inlineStr">
        <x:is>
          <x:t xml:space="preserve"/>
        </x:is>
      </x:c>
      <x:c r="F85" s="6" t="inlineStr">
        <x:is>
          <x:t xml:space="preserve"/>
        </x:is>
      </x:c>
      <x:c r="G85" s="7" t="inlineStr">
        <x:is>
          <x:t xml:space="preserve"/>
        </x:is>
      </x:c>
      <x:c r="H85" s="6" t="inlineStr">
        <x:is>
          <x:t xml:space="preserve"/>
        </x:is>
      </x:c>
      <x:c r="I85" s="7" t="inlineStr">
        <x:is>
          <x:t xml:space="preserve"/>
        </x:is>
      </x:c>
      <x:c r="J85" s="6" t="inlineStr">
        <x:is>
          <x:t xml:space="preserve"/>
        </x:is>
      </x:c>
      <x:c r="K85" s="7" t="inlineStr">
        <x:is>
          <x:t xml:space="preserve"/>
        </x:is>
      </x:c>
      <x:c r="L85" s="7" t="inlineStr">
        <x:is>
          <x:t xml:space="preserve"/>
        </x:is>
      </x:c>
      <x:c r="M85" s="7" t="inlineStr">
        <x:is>
          <x:t xml:space="preserve"/>
        </x:is>
      </x:c>
      <x:c r="N85" s="7" t="inlineStr">
        <x:is>
          <x:t xml:space="preserve"/>
        </x:is>
      </x:c>
      <x:c r="O85" s="7" t="inlineStr">
        <x:is>
          <x:t xml:space="preserve"/>
        </x:is>
      </x:c>
      <x:c r="P85" s="7" t="inlineStr">
        <x:is>
          <x:t xml:space="preserve"/>
        </x:is>
      </x:c>
      <x:c r="Q85" s="6" t="inlineStr">
        <x:is>
          <x:t xml:space="preserve"/>
        </x:is>
      </x:c>
    </x:row>
    <x:row r="86" ht="35" customHeight="1">
      <x:c r="A86" s="7" t="inlineStr">
        <x:is>
          <x:t xml:space="preserve"/>
        </x:is>
      </x:c>
      <x:c r="B86" s="6" t="inlineStr">
        <x:is>
          <x:t xml:space="preserve"/>
        </x:is>
      </x:c>
      <x:c r="C86" s="6" t="inlineStr">
        <x:is>
          <x:t xml:space="preserve"/>
        </x:is>
      </x:c>
      <x:c r="D86" s="6" t="inlineStr">
        <x:is>
          <x:t xml:space="preserve"/>
        </x:is>
      </x:c>
      <x:c r="E86" s="6" t="inlineStr">
        <x:is>
          <x:t xml:space="preserve"/>
        </x:is>
      </x:c>
      <x:c r="F86" s="6" t="inlineStr">
        <x:is>
          <x:t xml:space="preserve"/>
        </x:is>
      </x:c>
      <x:c r="G86" s="7" t="inlineStr">
        <x:is>
          <x:t xml:space="preserve"/>
        </x:is>
      </x:c>
      <x:c r="H86" s="6" t="inlineStr">
        <x:is>
          <x:t xml:space="preserve"/>
        </x:is>
      </x:c>
      <x:c r="I86" s="7" t="inlineStr">
        <x:is>
          <x:t xml:space="preserve"/>
        </x:is>
      </x:c>
      <x:c r="J86" s="6" t="inlineStr">
        <x:is>
          <x:t xml:space="preserve"/>
        </x:is>
      </x:c>
      <x:c r="K86" s="7" t="inlineStr">
        <x:is>
          <x:t xml:space="preserve"/>
        </x:is>
      </x:c>
      <x:c r="L86" s="7" t="inlineStr">
        <x:is>
          <x:t xml:space="preserve"/>
        </x:is>
      </x:c>
      <x:c r="M86" s="7" t="inlineStr">
        <x:is>
          <x:t xml:space="preserve"/>
        </x:is>
      </x:c>
      <x:c r="N86" s="7" t="inlineStr">
        <x:is>
          <x:t xml:space="preserve"/>
        </x:is>
      </x:c>
      <x:c r="O86" s="7" t="inlineStr">
        <x:is>
          <x:t xml:space="preserve"/>
        </x:is>
      </x:c>
      <x:c r="P86" s="7" t="inlineStr">
        <x:is>
          <x:t xml:space="preserve"/>
        </x:is>
      </x:c>
      <x:c r="Q86" s="6" t="inlineStr">
        <x:is>
          <x:t xml:space="preserve"/>
        </x:is>
      </x:c>
    </x:row>
    <x:row r="87" ht="35" customHeight="1">
      <x:c r="A87" s="7" t="inlineStr">
        <x:is>
          <x:t xml:space="preserve"/>
        </x:is>
      </x:c>
      <x:c r="B87" s="6" t="inlineStr">
        <x:is>
          <x:t xml:space="preserve"/>
        </x:is>
      </x:c>
      <x:c r="C87" s="6" t="inlineStr">
        <x:is>
          <x:t xml:space="preserve"/>
        </x:is>
      </x:c>
      <x:c r="D87" s="6" t="inlineStr">
        <x:is>
          <x:t xml:space="preserve"/>
        </x:is>
      </x:c>
      <x:c r="E87" s="6" t="inlineStr">
        <x:is>
          <x:t xml:space="preserve"/>
        </x:is>
      </x:c>
      <x:c r="F87" s="6" t="inlineStr">
        <x:is>
          <x:t xml:space="preserve"/>
        </x:is>
      </x:c>
      <x:c r="G87" s="7" t="inlineStr">
        <x:is>
          <x:t xml:space="preserve"/>
        </x:is>
      </x:c>
      <x:c r="H87" s="6" t="inlineStr">
        <x:is>
          <x:t xml:space="preserve"/>
        </x:is>
      </x:c>
      <x:c r="I87" s="7" t="inlineStr">
        <x:is>
          <x:t xml:space="preserve"/>
        </x:is>
      </x:c>
      <x:c r="J87" s="6" t="inlineStr">
        <x:is>
          <x:t xml:space="preserve"/>
        </x:is>
      </x:c>
      <x:c r="K87" s="7" t="inlineStr">
        <x:is>
          <x:t xml:space="preserve"/>
        </x:is>
      </x:c>
      <x:c r="L87" s="7" t="inlineStr">
        <x:is>
          <x:t xml:space="preserve"/>
        </x:is>
      </x:c>
      <x:c r="M87" s="7" t="inlineStr">
        <x:is>
          <x:t xml:space="preserve"/>
        </x:is>
      </x:c>
      <x:c r="N87" s="7" t="inlineStr">
        <x:is>
          <x:t xml:space="preserve"/>
        </x:is>
      </x:c>
      <x:c r="O87" s="7" t="inlineStr">
        <x:is>
          <x:t xml:space="preserve"/>
        </x:is>
      </x:c>
      <x:c r="P87" s="7" t="inlineStr">
        <x:is>
          <x:t xml:space="preserve"/>
        </x:is>
      </x:c>
      <x:c r="Q87" s="6" t="inlineStr">
        <x:is>
          <x:t xml:space="preserve"/>
        </x:is>
      </x:c>
    </x:row>
    <x:row r="88" ht="35" customHeight="1">
      <x:c r="A88" s="7" t="inlineStr">
        <x:is>
          <x:t xml:space="preserve"/>
        </x:is>
      </x:c>
      <x:c r="B88" s="6" t="inlineStr">
        <x:is>
          <x:t xml:space="preserve"/>
        </x:is>
      </x:c>
      <x:c r="C88" s="6" t="inlineStr">
        <x:is>
          <x:t xml:space="preserve"/>
        </x:is>
      </x:c>
      <x:c r="D88" s="6" t="inlineStr">
        <x:is>
          <x:t xml:space="preserve"/>
        </x:is>
      </x:c>
      <x:c r="E88" s="6" t="inlineStr">
        <x:is>
          <x:t xml:space="preserve"/>
        </x:is>
      </x:c>
      <x:c r="F88" s="6" t="inlineStr">
        <x:is>
          <x:t xml:space="preserve"/>
        </x:is>
      </x:c>
      <x:c r="G88" s="7" t="inlineStr">
        <x:is>
          <x:t xml:space="preserve"/>
        </x:is>
      </x:c>
      <x:c r="H88" s="6" t="inlineStr">
        <x:is>
          <x:t xml:space="preserve"/>
        </x:is>
      </x:c>
      <x:c r="I88" s="7" t="inlineStr">
        <x:is>
          <x:t xml:space="preserve"/>
        </x:is>
      </x:c>
      <x:c r="J88" s="6" t="inlineStr">
        <x:is>
          <x:t xml:space="preserve"/>
        </x:is>
      </x:c>
      <x:c r="K88" s="7" t="inlineStr">
        <x:is>
          <x:t xml:space="preserve"/>
        </x:is>
      </x:c>
      <x:c r="L88" s="7" t="inlineStr">
        <x:is>
          <x:t xml:space="preserve"/>
        </x:is>
      </x:c>
      <x:c r="M88" s="7" t="inlineStr">
        <x:is>
          <x:t xml:space="preserve"/>
        </x:is>
      </x:c>
      <x:c r="N88" s="7" t="inlineStr">
        <x:is>
          <x:t xml:space="preserve"/>
        </x:is>
      </x:c>
      <x:c r="O88" s="7" t="inlineStr">
        <x:is>
          <x:t xml:space="preserve"/>
        </x:is>
      </x:c>
      <x:c r="P88" s="7" t="inlineStr">
        <x:is>
          <x:t xml:space="preserve"/>
        </x:is>
      </x:c>
      <x:c r="Q88" s="6" t="inlineStr">
        <x:is>
          <x:t xml:space="preserve"/>
        </x:is>
      </x:c>
    </x:row>
    <x:row r="89" ht="35" customHeight="1">
      <x:c r="A89" s="7" t="inlineStr">
        <x:is>
          <x:t xml:space="preserve"/>
        </x:is>
      </x:c>
      <x:c r="B89" s="6" t="inlineStr">
        <x:is>
          <x:t xml:space="preserve"/>
        </x:is>
      </x:c>
      <x:c r="C89" s="6" t="inlineStr">
        <x:is>
          <x:t xml:space="preserve"/>
        </x:is>
      </x:c>
      <x:c r="D89" s="6" t="inlineStr">
        <x:is>
          <x:t xml:space="preserve"/>
        </x:is>
      </x:c>
      <x:c r="E89" s="6" t="inlineStr">
        <x:is>
          <x:t xml:space="preserve"/>
        </x:is>
      </x:c>
      <x:c r="F89" s="6" t="inlineStr">
        <x:is>
          <x:t xml:space="preserve"/>
        </x:is>
      </x:c>
      <x:c r="G89" s="7" t="inlineStr">
        <x:is>
          <x:t xml:space="preserve"/>
        </x:is>
      </x:c>
      <x:c r="H89" s="6" t="inlineStr">
        <x:is>
          <x:t xml:space="preserve"/>
        </x:is>
      </x:c>
      <x:c r="I89" s="7" t="inlineStr">
        <x:is>
          <x:t xml:space="preserve"/>
        </x:is>
      </x:c>
      <x:c r="J89" s="6" t="inlineStr">
        <x:is>
          <x:t xml:space="preserve"/>
        </x:is>
      </x:c>
      <x:c r="K89" s="7" t="inlineStr">
        <x:is>
          <x:t xml:space="preserve"/>
        </x:is>
      </x:c>
      <x:c r="L89" s="7" t="inlineStr">
        <x:is>
          <x:t xml:space="preserve"/>
        </x:is>
      </x:c>
      <x:c r="M89" s="7" t="inlineStr">
        <x:is>
          <x:t xml:space="preserve"/>
        </x:is>
      </x:c>
      <x:c r="N89" s="7" t="inlineStr">
        <x:is>
          <x:t xml:space="preserve"/>
        </x:is>
      </x:c>
      <x:c r="O89" s="7" t="inlineStr">
        <x:is>
          <x:t xml:space="preserve"/>
        </x:is>
      </x:c>
      <x:c r="P89" s="7" t="inlineStr">
        <x:is>
          <x:t xml:space="preserve"/>
        </x:is>
      </x:c>
      <x:c r="Q89" s="6" t="inlineStr">
        <x:is>
          <x:t xml:space="preserve"/>
        </x:is>
      </x:c>
    </x:row>
    <x:row r="90" ht="35" customHeight="1">
      <x:c r="A90" s="7" t="inlineStr">
        <x:is>
          <x:t xml:space="preserve"/>
        </x:is>
      </x:c>
      <x:c r="B90" s="6" t="inlineStr">
        <x:is>
          <x:t xml:space="preserve"/>
        </x:is>
      </x:c>
      <x:c r="C90" s="6" t="inlineStr">
        <x:is>
          <x:t xml:space="preserve"/>
        </x:is>
      </x:c>
      <x:c r="D90" s="6" t="inlineStr">
        <x:is>
          <x:t xml:space="preserve"/>
        </x:is>
      </x:c>
      <x:c r="E90" s="6" t="inlineStr">
        <x:is>
          <x:t xml:space="preserve"/>
        </x:is>
      </x:c>
      <x:c r="F90" s="6" t="inlineStr">
        <x:is>
          <x:t xml:space="preserve"/>
        </x:is>
      </x:c>
      <x:c r="G90" s="7" t="inlineStr">
        <x:is>
          <x:t xml:space="preserve"/>
        </x:is>
      </x:c>
      <x:c r="H90" s="6" t="inlineStr">
        <x:is>
          <x:t xml:space="preserve"/>
        </x:is>
      </x:c>
      <x:c r="I90" s="7" t="inlineStr">
        <x:is>
          <x:t xml:space="preserve"/>
        </x:is>
      </x:c>
      <x:c r="J90" s="6" t="inlineStr">
        <x:is>
          <x:t xml:space="preserve"/>
        </x:is>
      </x:c>
      <x:c r="K90" s="7" t="inlineStr">
        <x:is>
          <x:t xml:space="preserve"/>
        </x:is>
      </x:c>
      <x:c r="L90" s="7" t="inlineStr">
        <x:is>
          <x:t xml:space="preserve"/>
        </x:is>
      </x:c>
      <x:c r="M90" s="7" t="inlineStr">
        <x:is>
          <x:t xml:space="preserve"/>
        </x:is>
      </x:c>
      <x:c r="N90" s="7" t="inlineStr">
        <x:is>
          <x:t xml:space="preserve"/>
        </x:is>
      </x:c>
      <x:c r="O90" s="7" t="inlineStr">
        <x:is>
          <x:t xml:space="preserve"/>
        </x:is>
      </x:c>
      <x:c r="P90" s="7" t="inlineStr">
        <x:is>
          <x:t xml:space="preserve"/>
        </x:is>
      </x:c>
      <x:c r="Q90" s="6" t="inlineStr">
        <x:is>
          <x:t xml:space="preserve"/>
        </x:is>
      </x:c>
    </x:row>
    <x:row r="91" ht="35" customHeight="1">
      <x:c r="A91" s="7" t="inlineStr">
        <x:is>
          <x:t xml:space="preserve"/>
        </x:is>
      </x:c>
      <x:c r="B91" s="6" t="inlineStr">
        <x:is>
          <x:t xml:space="preserve"/>
        </x:is>
      </x:c>
      <x:c r="C91" s="6" t="inlineStr">
        <x:is>
          <x:t xml:space="preserve"/>
        </x:is>
      </x:c>
      <x:c r="D91" s="6" t="inlineStr">
        <x:is>
          <x:t xml:space="preserve"/>
        </x:is>
      </x:c>
      <x:c r="E91" s="6" t="inlineStr">
        <x:is>
          <x:t xml:space="preserve"/>
        </x:is>
      </x:c>
      <x:c r="F91" s="6" t="inlineStr">
        <x:is>
          <x:t xml:space="preserve"/>
        </x:is>
      </x:c>
      <x:c r="G91" s="7" t="inlineStr">
        <x:is>
          <x:t xml:space="preserve"/>
        </x:is>
      </x:c>
      <x:c r="H91" s="6" t="inlineStr">
        <x:is>
          <x:t xml:space="preserve"/>
        </x:is>
      </x:c>
      <x:c r="I91" s="7" t="inlineStr">
        <x:is>
          <x:t xml:space="preserve"/>
        </x:is>
      </x:c>
      <x:c r="J91" s="6" t="inlineStr">
        <x:is>
          <x:t xml:space="preserve"/>
        </x:is>
      </x:c>
      <x:c r="K91" s="7" t="inlineStr">
        <x:is>
          <x:t xml:space="preserve"/>
        </x:is>
      </x:c>
      <x:c r="L91" s="7" t="inlineStr">
        <x:is>
          <x:t xml:space="preserve"/>
        </x:is>
      </x:c>
      <x:c r="M91" s="7" t="inlineStr">
        <x:is>
          <x:t xml:space="preserve"/>
        </x:is>
      </x:c>
      <x:c r="N91" s="7" t="inlineStr">
        <x:is>
          <x:t xml:space="preserve"/>
        </x:is>
      </x:c>
      <x:c r="O91" s="7" t="inlineStr">
        <x:is>
          <x:t xml:space="preserve"/>
        </x:is>
      </x:c>
      <x:c r="P91" s="7" t="inlineStr">
        <x:is>
          <x:t xml:space="preserve"/>
        </x:is>
      </x:c>
      <x:c r="Q91" s="6" t="inlineStr">
        <x:is>
          <x:t xml:space="preserve"/>
        </x:is>
      </x:c>
    </x:row>
    <x:row r="92" ht="35" customHeight="1">
      <x:c r="A92" s="7" t="inlineStr">
        <x:is>
          <x:t xml:space="preserve"/>
        </x:is>
      </x:c>
      <x:c r="B92" s="6" t="inlineStr">
        <x:is>
          <x:t xml:space="preserve"/>
        </x:is>
      </x:c>
      <x:c r="C92" s="6" t="inlineStr">
        <x:is>
          <x:t xml:space="preserve"/>
        </x:is>
      </x:c>
      <x:c r="D92" s="6" t="inlineStr">
        <x:is>
          <x:t xml:space="preserve"/>
        </x:is>
      </x:c>
      <x:c r="E92" s="6" t="inlineStr">
        <x:is>
          <x:t xml:space="preserve"/>
        </x:is>
      </x:c>
      <x:c r="F92" s="6" t="inlineStr">
        <x:is>
          <x:t xml:space="preserve"/>
        </x:is>
      </x:c>
      <x:c r="G92" s="7" t="inlineStr">
        <x:is>
          <x:t xml:space="preserve"/>
        </x:is>
      </x:c>
      <x:c r="H92" s="6" t="inlineStr">
        <x:is>
          <x:t xml:space="preserve"/>
        </x:is>
      </x:c>
      <x:c r="I92" s="7" t="inlineStr">
        <x:is>
          <x:t xml:space="preserve"/>
        </x:is>
      </x:c>
      <x:c r="J92" s="6" t="inlineStr">
        <x:is>
          <x:t xml:space="preserve"/>
        </x:is>
      </x:c>
      <x:c r="K92" s="7" t="inlineStr">
        <x:is>
          <x:t xml:space="preserve"/>
        </x:is>
      </x:c>
      <x:c r="L92" s="7" t="inlineStr">
        <x:is>
          <x:t xml:space="preserve"/>
        </x:is>
      </x:c>
      <x:c r="M92" s="7" t="inlineStr">
        <x:is>
          <x:t xml:space="preserve"/>
        </x:is>
      </x:c>
      <x:c r="N92" s="7" t="inlineStr">
        <x:is>
          <x:t xml:space="preserve"/>
        </x:is>
      </x:c>
      <x:c r="O92" s="7" t="inlineStr">
        <x:is>
          <x:t xml:space="preserve"/>
        </x:is>
      </x:c>
      <x:c r="P92" s="7" t="inlineStr">
        <x:is>
          <x:t xml:space="preserve"/>
        </x:is>
      </x:c>
      <x:c r="Q92" s="6" t="inlineStr">
        <x:is>
          <x:t xml:space="preserve"/>
        </x:is>
      </x:c>
    </x:row>
    <x:row r="93" ht="35" customHeight="1">
      <x:c r="A93" s="7" t="inlineStr">
        <x:is>
          <x:t xml:space="preserve"/>
        </x:is>
      </x:c>
      <x:c r="B93" s="6" t="inlineStr">
        <x:is>
          <x:t xml:space="preserve"/>
        </x:is>
      </x:c>
      <x:c r="C93" s="6" t="inlineStr">
        <x:is>
          <x:t xml:space="preserve"/>
        </x:is>
      </x:c>
      <x:c r="D93" s="6" t="inlineStr">
        <x:is>
          <x:t xml:space="preserve"/>
        </x:is>
      </x:c>
      <x:c r="E93" s="6" t="inlineStr">
        <x:is>
          <x:t xml:space="preserve"/>
        </x:is>
      </x:c>
      <x:c r="F93" s="6" t="inlineStr">
        <x:is>
          <x:t xml:space="preserve"/>
        </x:is>
      </x:c>
      <x:c r="G93" s="7" t="inlineStr">
        <x:is>
          <x:t xml:space="preserve"/>
        </x:is>
      </x:c>
      <x:c r="H93" s="6" t="inlineStr">
        <x:is>
          <x:t xml:space="preserve"/>
        </x:is>
      </x:c>
      <x:c r="I93" s="7" t="inlineStr">
        <x:is>
          <x:t xml:space="preserve"/>
        </x:is>
      </x:c>
      <x:c r="J93" s="6" t="inlineStr">
        <x:is>
          <x:t xml:space="preserve"/>
        </x:is>
      </x:c>
      <x:c r="K93" s="7" t="inlineStr">
        <x:is>
          <x:t xml:space="preserve"/>
        </x:is>
      </x:c>
      <x:c r="L93" s="7" t="inlineStr">
        <x:is>
          <x:t xml:space="preserve"/>
        </x:is>
      </x:c>
      <x:c r="M93" s="7" t="inlineStr">
        <x:is>
          <x:t xml:space="preserve"/>
        </x:is>
      </x:c>
      <x:c r="N93" s="7" t="inlineStr">
        <x:is>
          <x:t xml:space="preserve"/>
        </x:is>
      </x:c>
      <x:c r="O93" s="7" t="inlineStr">
        <x:is>
          <x:t xml:space="preserve"/>
        </x:is>
      </x:c>
      <x:c r="P93" s="7" t="inlineStr">
        <x:is>
          <x:t xml:space="preserve"/>
        </x:is>
      </x:c>
      <x:c r="Q93" s="6" t="inlineStr">
        <x:is>
          <x:t xml:space="preserve"/>
        </x:is>
      </x:c>
    </x:row>
    <x:row r="94" ht="35" customHeight="1">
      <x:c r="A94" s="7" t="inlineStr">
        <x:is>
          <x:t xml:space="preserve"/>
        </x:is>
      </x:c>
      <x:c r="B94" s="6" t="inlineStr">
        <x:is>
          <x:t xml:space="preserve"/>
        </x:is>
      </x:c>
      <x:c r="C94" s="6" t="inlineStr">
        <x:is>
          <x:t xml:space="preserve"/>
        </x:is>
      </x:c>
      <x:c r="D94" s="6" t="inlineStr">
        <x:is>
          <x:t xml:space="preserve"/>
        </x:is>
      </x:c>
      <x:c r="E94" s="6" t="inlineStr">
        <x:is>
          <x:t xml:space="preserve"/>
        </x:is>
      </x:c>
      <x:c r="F94" s="6" t="inlineStr">
        <x:is>
          <x:t xml:space="preserve"/>
        </x:is>
      </x:c>
      <x:c r="G94" s="7" t="inlineStr">
        <x:is>
          <x:t xml:space="preserve"/>
        </x:is>
      </x:c>
      <x:c r="H94" s="6" t="inlineStr">
        <x:is>
          <x:t xml:space="preserve"/>
        </x:is>
      </x:c>
      <x:c r="I94" s="7" t="inlineStr">
        <x:is>
          <x:t xml:space="preserve"/>
        </x:is>
      </x:c>
      <x:c r="J94" s="6" t="inlineStr">
        <x:is>
          <x:t xml:space="preserve"/>
        </x:is>
      </x:c>
      <x:c r="K94" s="7" t="inlineStr">
        <x:is>
          <x:t xml:space="preserve"/>
        </x:is>
      </x:c>
      <x:c r="L94" s="7" t="inlineStr">
        <x:is>
          <x:t xml:space="preserve"/>
        </x:is>
      </x:c>
      <x:c r="M94" s="7" t="inlineStr">
        <x:is>
          <x:t xml:space="preserve"/>
        </x:is>
      </x:c>
      <x:c r="N94" s="7" t="inlineStr">
        <x:is>
          <x:t xml:space="preserve"/>
        </x:is>
      </x:c>
      <x:c r="O94" s="7" t="inlineStr">
        <x:is>
          <x:t xml:space="preserve"/>
        </x:is>
      </x:c>
      <x:c r="P94" s="7" t="inlineStr">
        <x:is>
          <x:t xml:space="preserve"/>
        </x:is>
      </x:c>
      <x:c r="Q94" s="6" t="inlineStr">
        <x:is>
          <x:t xml:space="preserve"/>
        </x:is>
      </x:c>
    </x:row>
    <x:row r="95" ht="35" customHeight="1">
      <x:c r="A95" s="7" t="inlineStr">
        <x:is>
          <x:t xml:space="preserve"/>
        </x:is>
      </x:c>
      <x:c r="B95" s="6" t="inlineStr">
        <x:is>
          <x:t xml:space="preserve"/>
        </x:is>
      </x:c>
      <x:c r="C95" s="6" t="inlineStr">
        <x:is>
          <x:t xml:space="preserve"/>
        </x:is>
      </x:c>
      <x:c r="D95" s="6" t="inlineStr">
        <x:is>
          <x:t xml:space="preserve"/>
        </x:is>
      </x:c>
      <x:c r="E95" s="6" t="inlineStr">
        <x:is>
          <x:t xml:space="preserve"/>
        </x:is>
      </x:c>
      <x:c r="F95" s="6" t="inlineStr">
        <x:is>
          <x:t xml:space="preserve"/>
        </x:is>
      </x:c>
      <x:c r="G95" s="7" t="inlineStr">
        <x:is>
          <x:t xml:space="preserve"/>
        </x:is>
      </x:c>
      <x:c r="H95" s="6" t="inlineStr">
        <x:is>
          <x:t xml:space="preserve"/>
        </x:is>
      </x:c>
      <x:c r="I95" s="7" t="inlineStr">
        <x:is>
          <x:t xml:space="preserve"/>
        </x:is>
      </x:c>
      <x:c r="J95" s="6" t="inlineStr">
        <x:is>
          <x:t xml:space="preserve"/>
        </x:is>
      </x:c>
      <x:c r="K95" s="7" t="inlineStr">
        <x:is>
          <x:t xml:space="preserve"/>
        </x:is>
      </x:c>
      <x:c r="L95" s="7" t="inlineStr">
        <x:is>
          <x:t xml:space="preserve"/>
        </x:is>
      </x:c>
      <x:c r="M95" s="7" t="inlineStr">
        <x:is>
          <x:t xml:space="preserve"/>
        </x:is>
      </x:c>
      <x:c r="N95" s="7" t="inlineStr">
        <x:is>
          <x:t xml:space="preserve"/>
        </x:is>
      </x:c>
      <x:c r="O95" s="7" t="inlineStr">
        <x:is>
          <x:t xml:space="preserve"/>
        </x:is>
      </x:c>
      <x:c r="P95" s="7" t="inlineStr">
        <x:is>
          <x:t xml:space="preserve"/>
        </x:is>
      </x:c>
      <x:c r="Q95" s="6" t="inlineStr">
        <x:is>
          <x:t xml:space="preserve"/>
        </x:is>
      </x:c>
    </x:row>
    <x:row r="96" ht="35" customHeight="1">
      <x:c r="A96" s="7" t="inlineStr">
        <x:is>
          <x:t xml:space="preserve"/>
        </x:is>
      </x:c>
      <x:c r="B96" s="6" t="inlineStr">
        <x:is>
          <x:t xml:space="preserve"/>
        </x:is>
      </x:c>
      <x:c r="C96" s="6" t="inlineStr">
        <x:is>
          <x:t xml:space="preserve"/>
        </x:is>
      </x:c>
      <x:c r="D96" s="6" t="inlineStr">
        <x:is>
          <x:t xml:space="preserve"/>
        </x:is>
      </x:c>
      <x:c r="E96" s="6" t="inlineStr">
        <x:is>
          <x:t xml:space="preserve"/>
        </x:is>
      </x:c>
      <x:c r="F96" s="6" t="inlineStr">
        <x:is>
          <x:t xml:space="preserve"/>
        </x:is>
      </x:c>
      <x:c r="G96" s="7" t="inlineStr">
        <x:is>
          <x:t xml:space="preserve"/>
        </x:is>
      </x:c>
      <x:c r="H96" s="6" t="inlineStr">
        <x:is>
          <x:t xml:space="preserve"/>
        </x:is>
      </x:c>
      <x:c r="I96" s="7" t="inlineStr">
        <x:is>
          <x:t xml:space="preserve"/>
        </x:is>
      </x:c>
      <x:c r="J96" s="6" t="inlineStr">
        <x:is>
          <x:t xml:space="preserve"/>
        </x:is>
      </x:c>
      <x:c r="K96" s="7" t="inlineStr">
        <x:is>
          <x:t xml:space="preserve"/>
        </x:is>
      </x:c>
      <x:c r="L96" s="7" t="inlineStr">
        <x:is>
          <x:t xml:space="preserve"/>
        </x:is>
      </x:c>
      <x:c r="M96" s="7" t="inlineStr">
        <x:is>
          <x:t xml:space="preserve"/>
        </x:is>
      </x:c>
      <x:c r="N96" s="7" t="inlineStr">
        <x:is>
          <x:t xml:space="preserve"/>
        </x:is>
      </x:c>
      <x:c r="O96" s="7" t="inlineStr">
        <x:is>
          <x:t xml:space="preserve"/>
        </x:is>
      </x:c>
      <x:c r="P96" s="7" t="inlineStr">
        <x:is>
          <x:t xml:space="preserve"/>
        </x:is>
      </x:c>
      <x:c r="Q96" s="6" t="inlineStr">
        <x:is>
          <x:t xml:space="preserve"/>
        </x:is>
      </x:c>
    </x:row>
    <x:row r="97" ht="35" customHeight="1">
      <x:c r="A97" s="7" t="inlineStr">
        <x:is>
          <x:t xml:space="preserve"/>
        </x:is>
      </x:c>
      <x:c r="B97" s="6" t="inlineStr">
        <x:is>
          <x:t xml:space="preserve"/>
        </x:is>
      </x:c>
      <x:c r="C97" s="6" t="inlineStr">
        <x:is>
          <x:t xml:space="preserve"/>
        </x:is>
      </x:c>
      <x:c r="D97" s="6" t="inlineStr">
        <x:is>
          <x:t xml:space="preserve"/>
        </x:is>
      </x:c>
      <x:c r="E97" s="6" t="inlineStr">
        <x:is>
          <x:t xml:space="preserve"/>
        </x:is>
      </x:c>
      <x:c r="F97" s="6" t="inlineStr">
        <x:is>
          <x:t xml:space="preserve"/>
        </x:is>
      </x:c>
      <x:c r="G97" s="7" t="inlineStr">
        <x:is>
          <x:t xml:space="preserve"/>
        </x:is>
      </x:c>
      <x:c r="H97" s="6" t="inlineStr">
        <x:is>
          <x:t xml:space="preserve"/>
        </x:is>
      </x:c>
      <x:c r="I97" s="7" t="inlineStr">
        <x:is>
          <x:t xml:space="preserve"/>
        </x:is>
      </x:c>
      <x:c r="J97" s="6" t="inlineStr">
        <x:is>
          <x:t xml:space="preserve"/>
        </x:is>
      </x:c>
      <x:c r="K97" s="7" t="inlineStr">
        <x:is>
          <x:t xml:space="preserve"/>
        </x:is>
      </x:c>
      <x:c r="L97" s="7" t="inlineStr">
        <x:is>
          <x:t xml:space="preserve"/>
        </x:is>
      </x:c>
      <x:c r="M97" s="7" t="inlineStr">
        <x:is>
          <x:t xml:space="preserve"/>
        </x:is>
      </x:c>
      <x:c r="N97" s="7" t="inlineStr">
        <x:is>
          <x:t xml:space="preserve"/>
        </x:is>
      </x:c>
      <x:c r="O97" s="7" t="inlineStr">
        <x:is>
          <x:t xml:space="preserve"/>
        </x:is>
      </x:c>
      <x:c r="P97" s="7" t="inlineStr">
        <x:is>
          <x:t xml:space="preserve"/>
        </x:is>
      </x:c>
      <x:c r="Q97" s="6" t="inlineStr">
        <x:is>
          <x:t xml:space="preserve"/>
        </x:is>
      </x:c>
    </x:row>
    <x:row r="98" ht="35" customHeight="1">
      <x:c r="A98" s="7" t="inlineStr">
        <x:is>
          <x:t xml:space="preserve"/>
        </x:is>
      </x:c>
      <x:c r="B98" s="6" t="inlineStr">
        <x:is>
          <x:t xml:space="preserve"/>
        </x:is>
      </x:c>
      <x:c r="C98" s="6" t="inlineStr">
        <x:is>
          <x:t xml:space="preserve"/>
        </x:is>
      </x:c>
      <x:c r="D98" s="6" t="inlineStr">
        <x:is>
          <x:t xml:space="preserve"/>
        </x:is>
      </x:c>
      <x:c r="E98" s="6" t="inlineStr">
        <x:is>
          <x:t xml:space="preserve"/>
        </x:is>
      </x:c>
      <x:c r="F98" s="6" t="inlineStr">
        <x:is>
          <x:t xml:space="preserve"/>
        </x:is>
      </x:c>
      <x:c r="G98" s="7" t="inlineStr">
        <x:is>
          <x:t xml:space="preserve"/>
        </x:is>
      </x:c>
      <x:c r="H98" s="6" t="inlineStr">
        <x:is>
          <x:t xml:space="preserve"/>
        </x:is>
      </x:c>
      <x:c r="I98" s="7" t="inlineStr">
        <x:is>
          <x:t xml:space="preserve"/>
        </x:is>
      </x:c>
      <x:c r="J98" s="6" t="inlineStr">
        <x:is>
          <x:t xml:space="preserve"/>
        </x:is>
      </x:c>
      <x:c r="K98" s="7" t="inlineStr">
        <x:is>
          <x:t xml:space="preserve"/>
        </x:is>
      </x:c>
      <x:c r="L98" s="7" t="inlineStr">
        <x:is>
          <x:t xml:space="preserve"/>
        </x:is>
      </x:c>
      <x:c r="M98" s="7" t="inlineStr">
        <x:is>
          <x:t xml:space="preserve"/>
        </x:is>
      </x:c>
      <x:c r="N98" s="7" t="inlineStr">
        <x:is>
          <x:t xml:space="preserve"/>
        </x:is>
      </x:c>
      <x:c r="O98" s="7" t="inlineStr">
        <x:is>
          <x:t xml:space="preserve"/>
        </x:is>
      </x:c>
      <x:c r="P98" s="7" t="inlineStr">
        <x:is>
          <x:t xml:space="preserve"/>
        </x:is>
      </x:c>
      <x:c r="Q98" s="6" t="inlineStr">
        <x:is>
          <x:t xml:space="preserve"/>
        </x:is>
      </x:c>
    </x:row>
    <x:row r="99" ht="35" customHeight="1">
      <x:c r="A99" s="7" t="inlineStr">
        <x:is>
          <x:t xml:space="preserve"/>
        </x:is>
      </x:c>
      <x:c r="B99" s="6" t="inlineStr">
        <x:is>
          <x:t xml:space="preserve"/>
        </x:is>
      </x:c>
      <x:c r="C99" s="6" t="inlineStr">
        <x:is>
          <x:t xml:space="preserve"/>
        </x:is>
      </x:c>
      <x:c r="D99" s="6" t="inlineStr">
        <x:is>
          <x:t xml:space="preserve"/>
        </x:is>
      </x:c>
      <x:c r="E99" s="6" t="inlineStr">
        <x:is>
          <x:t xml:space="preserve"/>
        </x:is>
      </x:c>
      <x:c r="F99" s="6" t="inlineStr">
        <x:is>
          <x:t xml:space="preserve"/>
        </x:is>
      </x:c>
      <x:c r="G99" s="7" t="inlineStr">
        <x:is>
          <x:t xml:space="preserve"/>
        </x:is>
      </x:c>
      <x:c r="H99" s="6" t="inlineStr">
        <x:is>
          <x:t xml:space="preserve"/>
        </x:is>
      </x:c>
      <x:c r="I99" s="7" t="inlineStr">
        <x:is>
          <x:t xml:space="preserve"/>
        </x:is>
      </x:c>
      <x:c r="J99" s="6" t="inlineStr">
        <x:is>
          <x:t xml:space="preserve"/>
        </x:is>
      </x:c>
      <x:c r="K99" s="7" t="inlineStr">
        <x:is>
          <x:t xml:space="preserve"/>
        </x:is>
      </x:c>
      <x:c r="L99" s="7" t="inlineStr">
        <x:is>
          <x:t xml:space="preserve"/>
        </x:is>
      </x:c>
      <x:c r="M99" s="7" t="inlineStr">
        <x:is>
          <x:t xml:space="preserve"/>
        </x:is>
      </x:c>
      <x:c r="N99" s="7" t="inlineStr">
        <x:is>
          <x:t xml:space="preserve"/>
        </x:is>
      </x:c>
      <x:c r="O99" s="7" t="inlineStr">
        <x:is>
          <x:t xml:space="preserve"/>
        </x:is>
      </x:c>
      <x:c r="P99" s="7" t="inlineStr">
        <x:is>
          <x:t xml:space="preserve"/>
        </x:is>
      </x:c>
      <x:c r="Q99" s="6" t="inlineStr">
        <x:is>
          <x:t xml:space="preserve"/>
        </x:is>
      </x:c>
    </x:row>
    <x:row r="100" ht="35" customHeight="1">
      <x:c r="A100" s="7" t="inlineStr">
        <x:is>
          <x:t xml:space="preserve"/>
        </x:is>
      </x:c>
      <x:c r="B100" s="6" t="inlineStr">
        <x:is>
          <x:t xml:space="preserve"/>
        </x:is>
      </x:c>
      <x:c r="C100" s="6" t="inlineStr">
        <x:is>
          <x:t xml:space="preserve"/>
        </x:is>
      </x:c>
      <x:c r="D100" s="6" t="inlineStr">
        <x:is>
          <x:t xml:space="preserve"/>
        </x:is>
      </x:c>
      <x:c r="E100" s="6" t="inlineStr">
        <x:is>
          <x:t xml:space="preserve"/>
        </x:is>
      </x:c>
      <x:c r="F100" s="6" t="inlineStr">
        <x:is>
          <x:t xml:space="preserve"/>
        </x:is>
      </x:c>
      <x:c r="G100" s="7" t="inlineStr">
        <x:is>
          <x:t xml:space="preserve"/>
        </x:is>
      </x:c>
      <x:c r="H100" s="6" t="inlineStr">
        <x:is>
          <x:t xml:space="preserve"/>
        </x:is>
      </x:c>
      <x:c r="I100" s="7" t="inlineStr">
        <x:is>
          <x:t xml:space="preserve"/>
        </x:is>
      </x:c>
      <x:c r="J100" s="6" t="inlineStr">
        <x:is>
          <x:t xml:space="preserve"/>
        </x:is>
      </x:c>
      <x:c r="K100" s="7" t="inlineStr">
        <x:is>
          <x:t xml:space="preserve"/>
        </x:is>
      </x:c>
      <x:c r="L100" s="7" t="inlineStr">
        <x:is>
          <x:t xml:space="preserve"/>
        </x:is>
      </x:c>
      <x:c r="M100" s="7" t="inlineStr">
        <x:is>
          <x:t xml:space="preserve"/>
        </x:is>
      </x:c>
      <x:c r="N100" s="7" t="inlineStr">
        <x:is>
          <x:t xml:space="preserve"/>
        </x:is>
      </x:c>
      <x:c r="O100" s="7" t="inlineStr">
        <x:is>
          <x:t xml:space="preserve"/>
        </x:is>
      </x:c>
      <x:c r="P100" s="7" t="inlineStr">
        <x:is>
          <x:t xml:space="preserve"/>
        </x:is>
      </x:c>
      <x:c r="Q100" s="6" t="inlineStr">
        <x:is>
          <x:t xml:space="preserve"/>
        </x:is>
      </x:c>
    </x:row>
    <x:row r="101" ht="35" customHeight="1">
      <x:c r="A101" s="7" t="inlineStr">
        <x:is>
          <x:t xml:space="preserve"/>
        </x:is>
      </x:c>
      <x:c r="B101" s="6" t="inlineStr">
        <x:is>
          <x:t xml:space="preserve"/>
        </x:is>
      </x:c>
      <x:c r="C101" s="6" t="inlineStr">
        <x:is>
          <x:t xml:space="preserve"/>
        </x:is>
      </x:c>
      <x:c r="D101" s="6" t="inlineStr">
        <x:is>
          <x:t xml:space="preserve"/>
        </x:is>
      </x:c>
      <x:c r="E101" s="6" t="inlineStr">
        <x:is>
          <x:t xml:space="preserve"/>
        </x:is>
      </x:c>
      <x:c r="F101" s="6" t="inlineStr">
        <x:is>
          <x:t xml:space="preserve"/>
        </x:is>
      </x:c>
      <x:c r="G101" s="7" t="inlineStr">
        <x:is>
          <x:t xml:space="preserve"/>
        </x:is>
      </x:c>
      <x:c r="H101" s="6" t="inlineStr">
        <x:is>
          <x:t xml:space="preserve"/>
        </x:is>
      </x:c>
      <x:c r="I101" s="7" t="inlineStr">
        <x:is>
          <x:t xml:space="preserve"/>
        </x:is>
      </x:c>
      <x:c r="J101" s="6" t="inlineStr">
        <x:is>
          <x:t xml:space="preserve"/>
        </x:is>
      </x:c>
      <x:c r="K101" s="7" t="inlineStr">
        <x:is>
          <x:t xml:space="preserve"/>
        </x:is>
      </x:c>
      <x:c r="L101" s="7" t="inlineStr">
        <x:is>
          <x:t xml:space="preserve"/>
        </x:is>
      </x:c>
      <x:c r="M101" s="7" t="inlineStr">
        <x:is>
          <x:t xml:space="preserve"/>
        </x:is>
      </x:c>
      <x:c r="N101" s="7" t="inlineStr">
        <x:is>
          <x:t xml:space="preserve"/>
        </x:is>
      </x:c>
      <x:c r="O101" s="7" t="inlineStr">
        <x:is>
          <x:t xml:space="preserve"/>
        </x:is>
      </x:c>
      <x:c r="P101" s="7" t="inlineStr">
        <x:is>
          <x:t xml:space="preserve"/>
        </x:is>
      </x:c>
      <x:c r="Q101" s="6" t="inlineStr">
        <x:is>
          <x:t xml:space="preserve"/>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0" customWidth="1"/>
    <x:col min="2" max="2" width="32" customWidth="1"/>
    <x:col min="3" max="3" width="6" customWidth="1"/>
    <x:col min="4" max="4" width="6" customWidth="1"/>
    <x:col min="5" max="5" width="6" customWidth="1"/>
    <x:col min="6" max="6" width="6" customWidth="1"/>
    <x:col min="7" max="7" width="6" customWidth="1"/>
    <x:col min="8" max="8" width="6" customWidth="1"/>
    <x:col min="9" max="9" width="6" customWidth="1"/>
    <x:col min="10" max="10" width="6" customWidth="1"/>
    <x:col min="11" max="11" width="6" customWidth="1"/>
    <x:col min="12" max="12" width="6" customWidth="1"/>
    <x:col min="13" max="13" width="6" customWidth="1"/>
    <x:col min="14" max="14" width="6" customWidth="1"/>
  </x:cols>
  <x:sheetData>
    <x:row r="1">
      <x:c r="A1" s="10" t="inlineStr">
        <x:is>
          <x:t xml:space="preserve">Audit Calendar (2026)</x:t>
        </x:is>
      </x:c>
    </x:row>
    <x:row r="3" ht="24" customHeight="1">
      <x:c r="A3" s="5" t="inlineStr">
        <x:is>
          <x:t xml:space="preserve">Audit ID</x:t>
        </x:is>
      </x:c>
      <x:c r="B3" s="5" t="inlineStr">
        <x:is>
          <x:t xml:space="preserve">Audit Name</x:t>
        </x:is>
      </x:c>
      <x:c r="C3" s="5" t="inlineStr">
        <x:is>
          <x:t xml:space="preserve">Jan</x:t>
        </x:is>
      </x:c>
      <x:c r="D3" s="5" t="inlineStr">
        <x:is>
          <x:t xml:space="preserve">Feb</x:t>
        </x:is>
      </x:c>
      <x:c r="E3" s="5" t="inlineStr">
        <x:is>
          <x:t xml:space="preserve">Mar</x:t>
        </x:is>
      </x:c>
      <x:c r="F3" s="5" t="inlineStr">
        <x:is>
          <x:t xml:space="preserve">Apr</x:t>
        </x:is>
      </x:c>
      <x:c r="G3" s="5" t="inlineStr">
        <x:is>
          <x:t xml:space="preserve">May</x:t>
        </x:is>
      </x:c>
      <x:c r="H3" s="5" t="inlineStr">
        <x:is>
          <x:t xml:space="preserve">Jun</x:t>
        </x:is>
      </x:c>
      <x:c r="I3" s="5" t="inlineStr">
        <x:is>
          <x:t xml:space="preserve">Jul</x:t>
        </x:is>
      </x:c>
      <x:c r="J3" s="5" t="inlineStr">
        <x:is>
          <x:t xml:space="preserve">Aug</x:t>
        </x:is>
      </x:c>
      <x:c r="K3" s="5" t="inlineStr">
        <x:is>
          <x:t xml:space="preserve">Sep</x:t>
        </x:is>
      </x:c>
      <x:c r="L3" s="5" t="inlineStr">
        <x:is>
          <x:t xml:space="preserve">Oct</x:t>
        </x:is>
      </x:c>
      <x:c r="M3" s="5" t="inlineStr">
        <x:is>
          <x:t xml:space="preserve">Nov</x:t>
        </x:is>
      </x:c>
      <x:c r="N3" s="5" t="inlineStr">
        <x:is>
          <x:t xml:space="preserve">Dec</x:t>
        </x:is>
      </x:c>
    </x:row>
    <x:row r="4" ht="18" customHeight="1">
      <x:c r="A4" s="7" t="str">
        <x:f>IF(Audit_Program!A2="","",Audit_Program!A2)</x:f>
        <x:v>AUD-001</x:v>
      </x:c>
      <x:c r="B4" s="6" t="str">
        <x:f>IF(Audit_Program!A2="","",Audit_Program!B2)</x:f>
        <x:v>Code of Conduct &amp; Speak-up Program</x:v>
      </x:c>
      <x:c r="C4" s="7">
        <x:f>IF($A4="","",IF(Audit_Program!$K2=C$3,"●",""))</x:f>
      </x:c>
      <x:c r="D4" s="7">
        <x:f>IF($A4="","",IF(Audit_Program!$K2=D$3,"●",""))</x:f>
      </x:c>
      <x:c r="E4" s="7" t="str">
        <x:f>IF($A4="","",IF(Audit_Program!$K2=E$3,"●",""))</x:f>
        <x:v>●</x:v>
      </x:c>
      <x:c r="F4" s="7">
        <x:f>IF($A4="","",IF(Audit_Program!$K2=F$3,"●",""))</x:f>
      </x:c>
      <x:c r="G4" s="7">
        <x:f>IF($A4="","",IF(Audit_Program!$K2=G$3,"●",""))</x:f>
      </x:c>
      <x:c r="H4" s="7">
        <x:f>IF($A4="","",IF(Audit_Program!$K2=H$3,"●",""))</x:f>
      </x:c>
      <x:c r="I4" s="7">
        <x:f>IF($A4="","",IF(Audit_Program!$K2=I$3,"●",""))</x:f>
      </x:c>
      <x:c r="J4" s="7">
        <x:f>IF($A4="","",IF(Audit_Program!$K2=J$3,"●",""))</x:f>
      </x:c>
      <x:c r="K4" s="7">
        <x:f>IF($A4="","",IF(Audit_Program!$K2=K$3,"●",""))</x:f>
      </x:c>
      <x:c r="L4" s="7">
        <x:f>IF($A4="","",IF(Audit_Program!$K2=L$3,"●",""))</x:f>
      </x:c>
      <x:c r="M4" s="7">
        <x:f>IF($A4="","",IF(Audit_Program!$K2=M$3,"●",""))</x:f>
      </x:c>
      <x:c r="N4" s="7">
        <x:f>IF($A4="","",IF(Audit_Program!$K2=N$3,"●",""))</x:f>
      </x:c>
    </x:row>
    <x:row r="5" ht="18" customHeight="1">
      <x:c r="A5" s="7" t="str">
        <x:f>IF(Audit_Program!A3="","",Audit_Program!A3)</x:f>
        <x:v>AUD-002</x:v>
      </x:c>
      <x:c r="B5" s="6" t="str">
        <x:f>IF(Audit_Program!A3="","",Audit_Program!B3)</x:f>
        <x:v>Third-Party / Related Party Compliance</x:v>
      </x:c>
      <x:c r="C5" s="7">
        <x:f>IF($A5="","",IF(Audit_Program!$K3=C$3,"●",""))</x:f>
      </x:c>
      <x:c r="D5" s="7">
        <x:f>IF($A5="","",IF(Audit_Program!$K3=D$3,"●",""))</x:f>
      </x:c>
      <x:c r="E5" s="7">
        <x:f>IF($A5="","",IF(Audit_Program!$K3=E$3,"●",""))</x:f>
      </x:c>
      <x:c r="F5" s="7">
        <x:f>IF($A5="","",IF(Audit_Program!$K3=F$3,"●",""))</x:f>
      </x:c>
      <x:c r="G5" s="7">
        <x:f>IF($A5="","",IF(Audit_Program!$K3=G$3,"●",""))</x:f>
      </x:c>
      <x:c r="H5" s="7" t="str">
        <x:f>IF($A5="","",IF(Audit_Program!$K3=H$3,"●",""))</x:f>
        <x:v>●</x:v>
      </x:c>
      <x:c r="I5" s="7">
        <x:f>IF($A5="","",IF(Audit_Program!$K3=I$3,"●",""))</x:f>
      </x:c>
      <x:c r="J5" s="7">
        <x:f>IF($A5="","",IF(Audit_Program!$K3=J$3,"●",""))</x:f>
      </x:c>
      <x:c r="K5" s="7">
        <x:f>IF($A5="","",IF(Audit_Program!$K3=K$3,"●",""))</x:f>
      </x:c>
      <x:c r="L5" s="7">
        <x:f>IF($A5="","",IF(Audit_Program!$K3=L$3,"●",""))</x:f>
      </x:c>
      <x:c r="M5" s="7">
        <x:f>IF($A5="","",IF(Audit_Program!$K3=M$3,"●",""))</x:f>
      </x:c>
      <x:c r="N5" s="7">
        <x:f>IF($A5="","",IF(Audit_Program!$K3=N$3,"●",""))</x:f>
      </x:c>
    </x:row>
    <x:row r="6" ht="18" customHeight="1">
      <x:c r="A6" s="7">
        <x:f>IF(Audit_Program!A4="","",Audit_Program!A4)</x:f>
      </x:c>
      <x:c r="B6" s="6">
        <x:f>IF(Audit_Program!A4="","",Audit_Program!B4)</x:f>
      </x:c>
      <x:c r="C6" s="7">
        <x:f>IF($A6="","",IF(Audit_Program!$K4=C$3,"●",""))</x:f>
      </x:c>
      <x:c r="D6" s="7">
        <x:f>IF($A6="","",IF(Audit_Program!$K4=D$3,"●",""))</x:f>
      </x:c>
      <x:c r="E6" s="7">
        <x:f>IF($A6="","",IF(Audit_Program!$K4=E$3,"●",""))</x:f>
      </x:c>
      <x:c r="F6" s="7">
        <x:f>IF($A6="","",IF(Audit_Program!$K4=F$3,"●",""))</x:f>
      </x:c>
      <x:c r="G6" s="7">
        <x:f>IF($A6="","",IF(Audit_Program!$K4=G$3,"●",""))</x:f>
      </x:c>
      <x:c r="H6" s="7">
        <x:f>IF($A6="","",IF(Audit_Program!$K4=H$3,"●",""))</x:f>
      </x:c>
      <x:c r="I6" s="7">
        <x:f>IF($A6="","",IF(Audit_Program!$K4=I$3,"●",""))</x:f>
      </x:c>
      <x:c r="J6" s="7">
        <x:f>IF($A6="","",IF(Audit_Program!$K4=J$3,"●",""))</x:f>
      </x:c>
      <x:c r="K6" s="7">
        <x:f>IF($A6="","",IF(Audit_Program!$K4=K$3,"●",""))</x:f>
      </x:c>
      <x:c r="L6" s="7">
        <x:f>IF($A6="","",IF(Audit_Program!$K4=L$3,"●",""))</x:f>
      </x:c>
      <x:c r="M6" s="7">
        <x:f>IF($A6="","",IF(Audit_Program!$K4=M$3,"●",""))</x:f>
      </x:c>
      <x:c r="N6" s="7">
        <x:f>IF($A6="","",IF(Audit_Program!$K4=N$3,"●",""))</x:f>
      </x:c>
    </x:row>
    <x:row r="7" ht="18" customHeight="1">
      <x:c r="A7" s="7">
        <x:f>IF(Audit_Program!A5="","",Audit_Program!A5)</x:f>
      </x:c>
      <x:c r="B7" s="6">
        <x:f>IF(Audit_Program!A5="","",Audit_Program!B5)</x:f>
      </x:c>
      <x:c r="C7" s="7">
        <x:f>IF($A7="","",IF(Audit_Program!$K5=C$3,"●",""))</x:f>
      </x:c>
      <x:c r="D7" s="7">
        <x:f>IF($A7="","",IF(Audit_Program!$K5=D$3,"●",""))</x:f>
      </x:c>
      <x:c r="E7" s="7">
        <x:f>IF($A7="","",IF(Audit_Program!$K5=E$3,"●",""))</x:f>
      </x:c>
      <x:c r="F7" s="7">
        <x:f>IF($A7="","",IF(Audit_Program!$K5=F$3,"●",""))</x:f>
      </x:c>
      <x:c r="G7" s="7">
        <x:f>IF($A7="","",IF(Audit_Program!$K5=G$3,"●",""))</x:f>
      </x:c>
      <x:c r="H7" s="7">
        <x:f>IF($A7="","",IF(Audit_Program!$K5=H$3,"●",""))</x:f>
      </x:c>
      <x:c r="I7" s="7">
        <x:f>IF($A7="","",IF(Audit_Program!$K5=I$3,"●",""))</x:f>
      </x:c>
      <x:c r="J7" s="7">
        <x:f>IF($A7="","",IF(Audit_Program!$K5=J$3,"●",""))</x:f>
      </x:c>
      <x:c r="K7" s="7">
        <x:f>IF($A7="","",IF(Audit_Program!$K5=K$3,"●",""))</x:f>
      </x:c>
      <x:c r="L7" s="7">
        <x:f>IF($A7="","",IF(Audit_Program!$K5=L$3,"●",""))</x:f>
      </x:c>
      <x:c r="M7" s="7">
        <x:f>IF($A7="","",IF(Audit_Program!$K5=M$3,"●",""))</x:f>
      </x:c>
      <x:c r="N7" s="7">
        <x:f>IF($A7="","",IF(Audit_Program!$K5=N$3,"●",""))</x:f>
      </x:c>
    </x:row>
    <x:row r="8" ht="18" customHeight="1">
      <x:c r="A8" s="7">
        <x:f>IF(Audit_Program!A6="","",Audit_Program!A6)</x:f>
      </x:c>
      <x:c r="B8" s="6">
        <x:f>IF(Audit_Program!A6="","",Audit_Program!B6)</x:f>
      </x:c>
      <x:c r="C8" s="7">
        <x:f>IF($A8="","",IF(Audit_Program!$K6=C$3,"●",""))</x:f>
      </x:c>
      <x:c r="D8" s="7">
        <x:f>IF($A8="","",IF(Audit_Program!$K6=D$3,"●",""))</x:f>
      </x:c>
      <x:c r="E8" s="7">
        <x:f>IF($A8="","",IF(Audit_Program!$K6=E$3,"●",""))</x:f>
      </x:c>
      <x:c r="F8" s="7">
        <x:f>IF($A8="","",IF(Audit_Program!$K6=F$3,"●",""))</x:f>
      </x:c>
      <x:c r="G8" s="7">
        <x:f>IF($A8="","",IF(Audit_Program!$K6=G$3,"●",""))</x:f>
      </x:c>
      <x:c r="H8" s="7">
        <x:f>IF($A8="","",IF(Audit_Program!$K6=H$3,"●",""))</x:f>
      </x:c>
      <x:c r="I8" s="7">
        <x:f>IF($A8="","",IF(Audit_Program!$K6=I$3,"●",""))</x:f>
      </x:c>
      <x:c r="J8" s="7">
        <x:f>IF($A8="","",IF(Audit_Program!$K6=J$3,"●",""))</x:f>
      </x:c>
      <x:c r="K8" s="7">
        <x:f>IF($A8="","",IF(Audit_Program!$K6=K$3,"●",""))</x:f>
      </x:c>
      <x:c r="L8" s="7">
        <x:f>IF($A8="","",IF(Audit_Program!$K6=L$3,"●",""))</x:f>
      </x:c>
      <x:c r="M8" s="7">
        <x:f>IF($A8="","",IF(Audit_Program!$K6=M$3,"●",""))</x:f>
      </x:c>
      <x:c r="N8" s="7">
        <x:f>IF($A8="","",IF(Audit_Program!$K6=N$3,"●",""))</x:f>
      </x:c>
    </x:row>
    <x:row r="9" ht="18" customHeight="1">
      <x:c r="A9" s="7">
        <x:f>IF(Audit_Program!A7="","",Audit_Program!A7)</x:f>
      </x:c>
      <x:c r="B9" s="6">
        <x:f>IF(Audit_Program!A7="","",Audit_Program!B7)</x:f>
      </x:c>
      <x:c r="C9" s="7">
        <x:f>IF($A9="","",IF(Audit_Program!$K7=C$3,"●",""))</x:f>
      </x:c>
      <x:c r="D9" s="7">
        <x:f>IF($A9="","",IF(Audit_Program!$K7=D$3,"●",""))</x:f>
      </x:c>
      <x:c r="E9" s="7">
        <x:f>IF($A9="","",IF(Audit_Program!$K7=E$3,"●",""))</x:f>
      </x:c>
      <x:c r="F9" s="7">
        <x:f>IF($A9="","",IF(Audit_Program!$K7=F$3,"●",""))</x:f>
      </x:c>
      <x:c r="G9" s="7">
        <x:f>IF($A9="","",IF(Audit_Program!$K7=G$3,"●",""))</x:f>
      </x:c>
      <x:c r="H9" s="7">
        <x:f>IF($A9="","",IF(Audit_Program!$K7=H$3,"●",""))</x:f>
      </x:c>
      <x:c r="I9" s="7">
        <x:f>IF($A9="","",IF(Audit_Program!$K7=I$3,"●",""))</x:f>
      </x:c>
      <x:c r="J9" s="7">
        <x:f>IF($A9="","",IF(Audit_Program!$K7=J$3,"●",""))</x:f>
      </x:c>
      <x:c r="K9" s="7">
        <x:f>IF($A9="","",IF(Audit_Program!$K7=K$3,"●",""))</x:f>
      </x:c>
      <x:c r="L9" s="7">
        <x:f>IF($A9="","",IF(Audit_Program!$K7=L$3,"●",""))</x:f>
      </x:c>
      <x:c r="M9" s="7">
        <x:f>IF($A9="","",IF(Audit_Program!$K7=M$3,"●",""))</x:f>
      </x:c>
      <x:c r="N9" s="7">
        <x:f>IF($A9="","",IF(Audit_Program!$K7=N$3,"●",""))</x:f>
      </x:c>
    </x:row>
    <x:row r="10" ht="18" customHeight="1">
      <x:c r="A10" s="7">
        <x:f>IF(Audit_Program!A8="","",Audit_Program!A8)</x:f>
      </x:c>
      <x:c r="B10" s="6">
        <x:f>IF(Audit_Program!A8="","",Audit_Program!B8)</x:f>
      </x:c>
      <x:c r="C10" s="7">
        <x:f>IF($A10="","",IF(Audit_Program!$K8=C$3,"●",""))</x:f>
      </x:c>
      <x:c r="D10" s="7">
        <x:f>IF($A10="","",IF(Audit_Program!$K8=D$3,"●",""))</x:f>
      </x:c>
      <x:c r="E10" s="7">
        <x:f>IF($A10="","",IF(Audit_Program!$K8=E$3,"●",""))</x:f>
      </x:c>
      <x:c r="F10" s="7">
        <x:f>IF($A10="","",IF(Audit_Program!$K8=F$3,"●",""))</x:f>
      </x:c>
      <x:c r="G10" s="7">
        <x:f>IF($A10="","",IF(Audit_Program!$K8=G$3,"●",""))</x:f>
      </x:c>
      <x:c r="H10" s="7">
        <x:f>IF($A10="","",IF(Audit_Program!$K8=H$3,"●",""))</x:f>
      </x:c>
      <x:c r="I10" s="7">
        <x:f>IF($A10="","",IF(Audit_Program!$K8=I$3,"●",""))</x:f>
      </x:c>
      <x:c r="J10" s="7">
        <x:f>IF($A10="","",IF(Audit_Program!$K8=J$3,"●",""))</x:f>
      </x:c>
      <x:c r="K10" s="7">
        <x:f>IF($A10="","",IF(Audit_Program!$K8=K$3,"●",""))</x:f>
      </x:c>
      <x:c r="L10" s="7">
        <x:f>IF($A10="","",IF(Audit_Program!$K8=L$3,"●",""))</x:f>
      </x:c>
      <x:c r="M10" s="7">
        <x:f>IF($A10="","",IF(Audit_Program!$K8=M$3,"●",""))</x:f>
      </x:c>
      <x:c r="N10" s="7">
        <x:f>IF($A10="","",IF(Audit_Program!$K8=N$3,"●",""))</x:f>
      </x:c>
    </x:row>
    <x:row r="11" ht="18" customHeight="1">
      <x:c r="A11" s="7">
        <x:f>IF(Audit_Program!A9="","",Audit_Program!A9)</x:f>
      </x:c>
      <x:c r="B11" s="6">
        <x:f>IF(Audit_Program!A9="","",Audit_Program!B9)</x:f>
      </x:c>
      <x:c r="C11" s="7">
        <x:f>IF($A11="","",IF(Audit_Program!$K9=C$3,"●",""))</x:f>
      </x:c>
      <x:c r="D11" s="7">
        <x:f>IF($A11="","",IF(Audit_Program!$K9=D$3,"●",""))</x:f>
      </x:c>
      <x:c r="E11" s="7">
        <x:f>IF($A11="","",IF(Audit_Program!$K9=E$3,"●",""))</x:f>
      </x:c>
      <x:c r="F11" s="7">
        <x:f>IF($A11="","",IF(Audit_Program!$K9=F$3,"●",""))</x:f>
      </x:c>
      <x:c r="G11" s="7">
        <x:f>IF($A11="","",IF(Audit_Program!$K9=G$3,"●",""))</x:f>
      </x:c>
      <x:c r="H11" s="7">
        <x:f>IF($A11="","",IF(Audit_Program!$K9=H$3,"●",""))</x:f>
      </x:c>
      <x:c r="I11" s="7">
        <x:f>IF($A11="","",IF(Audit_Program!$K9=I$3,"●",""))</x:f>
      </x:c>
      <x:c r="J11" s="7">
        <x:f>IF($A11="","",IF(Audit_Program!$K9=J$3,"●",""))</x:f>
      </x:c>
      <x:c r="K11" s="7">
        <x:f>IF($A11="","",IF(Audit_Program!$K9=K$3,"●",""))</x:f>
      </x:c>
      <x:c r="L11" s="7">
        <x:f>IF($A11="","",IF(Audit_Program!$K9=L$3,"●",""))</x:f>
      </x:c>
      <x:c r="M11" s="7">
        <x:f>IF($A11="","",IF(Audit_Program!$K9=M$3,"●",""))</x:f>
      </x:c>
      <x:c r="N11" s="7">
        <x:f>IF($A11="","",IF(Audit_Program!$K9=N$3,"●",""))</x:f>
      </x:c>
    </x:row>
    <x:row r="12" ht="18" customHeight="1">
      <x:c r="A12" s="7">
        <x:f>IF(Audit_Program!A10="","",Audit_Program!A10)</x:f>
      </x:c>
      <x:c r="B12" s="6">
        <x:f>IF(Audit_Program!A10="","",Audit_Program!B10)</x:f>
      </x:c>
      <x:c r="C12" s="7">
        <x:f>IF($A12="","",IF(Audit_Program!$K10=C$3,"●",""))</x:f>
      </x:c>
      <x:c r="D12" s="7">
        <x:f>IF($A12="","",IF(Audit_Program!$K10=D$3,"●",""))</x:f>
      </x:c>
      <x:c r="E12" s="7">
        <x:f>IF($A12="","",IF(Audit_Program!$K10=E$3,"●",""))</x:f>
      </x:c>
      <x:c r="F12" s="7">
        <x:f>IF($A12="","",IF(Audit_Program!$K10=F$3,"●",""))</x:f>
      </x:c>
      <x:c r="G12" s="7">
        <x:f>IF($A12="","",IF(Audit_Program!$K10=G$3,"●",""))</x:f>
      </x:c>
      <x:c r="H12" s="7">
        <x:f>IF($A12="","",IF(Audit_Program!$K10=H$3,"●",""))</x:f>
      </x:c>
      <x:c r="I12" s="7">
        <x:f>IF($A12="","",IF(Audit_Program!$K10=I$3,"●",""))</x:f>
      </x:c>
      <x:c r="J12" s="7">
        <x:f>IF($A12="","",IF(Audit_Program!$K10=J$3,"●",""))</x:f>
      </x:c>
      <x:c r="K12" s="7">
        <x:f>IF($A12="","",IF(Audit_Program!$K10=K$3,"●",""))</x:f>
      </x:c>
      <x:c r="L12" s="7">
        <x:f>IF($A12="","",IF(Audit_Program!$K10=L$3,"●",""))</x:f>
      </x:c>
      <x:c r="M12" s="7">
        <x:f>IF($A12="","",IF(Audit_Program!$K10=M$3,"●",""))</x:f>
      </x:c>
      <x:c r="N12" s="7">
        <x:f>IF($A12="","",IF(Audit_Program!$K10=N$3,"●",""))</x:f>
      </x:c>
    </x:row>
    <x:row r="13" ht="18" customHeight="1">
      <x:c r="A13" s="7">
        <x:f>IF(Audit_Program!A11="","",Audit_Program!A11)</x:f>
      </x:c>
      <x:c r="B13" s="6">
        <x:f>IF(Audit_Program!A11="","",Audit_Program!B11)</x:f>
      </x:c>
      <x:c r="C13" s="7">
        <x:f>IF($A13="","",IF(Audit_Program!$K11=C$3,"●",""))</x:f>
      </x:c>
      <x:c r="D13" s="7">
        <x:f>IF($A13="","",IF(Audit_Program!$K11=D$3,"●",""))</x:f>
      </x:c>
      <x:c r="E13" s="7">
        <x:f>IF($A13="","",IF(Audit_Program!$K11=E$3,"●",""))</x:f>
      </x:c>
      <x:c r="F13" s="7">
        <x:f>IF($A13="","",IF(Audit_Program!$K11=F$3,"●",""))</x:f>
      </x:c>
      <x:c r="G13" s="7">
        <x:f>IF($A13="","",IF(Audit_Program!$K11=G$3,"●",""))</x:f>
      </x:c>
      <x:c r="H13" s="7">
        <x:f>IF($A13="","",IF(Audit_Program!$K11=H$3,"●",""))</x:f>
      </x:c>
      <x:c r="I13" s="7">
        <x:f>IF($A13="","",IF(Audit_Program!$K11=I$3,"●",""))</x:f>
      </x:c>
      <x:c r="J13" s="7">
        <x:f>IF($A13="","",IF(Audit_Program!$K11=J$3,"●",""))</x:f>
      </x:c>
      <x:c r="K13" s="7">
        <x:f>IF($A13="","",IF(Audit_Program!$K11=K$3,"●",""))</x:f>
      </x:c>
      <x:c r="L13" s="7">
        <x:f>IF($A13="","",IF(Audit_Program!$K11=L$3,"●",""))</x:f>
      </x:c>
      <x:c r="M13" s="7">
        <x:f>IF($A13="","",IF(Audit_Program!$K11=M$3,"●",""))</x:f>
      </x:c>
      <x:c r="N13" s="7">
        <x:f>IF($A13="","",IF(Audit_Program!$K11=N$3,"●",""))</x:f>
      </x:c>
    </x:row>
    <x:row r="14" ht="18" customHeight="1">
      <x:c r="A14" s="7">
        <x:f>IF(Audit_Program!A12="","",Audit_Program!A12)</x:f>
      </x:c>
      <x:c r="B14" s="6">
        <x:f>IF(Audit_Program!A12="","",Audit_Program!B12)</x:f>
      </x:c>
      <x:c r="C14" s="7">
        <x:f>IF($A14="","",IF(Audit_Program!$K12=C$3,"●",""))</x:f>
      </x:c>
      <x:c r="D14" s="7">
        <x:f>IF($A14="","",IF(Audit_Program!$K12=D$3,"●",""))</x:f>
      </x:c>
      <x:c r="E14" s="7">
        <x:f>IF($A14="","",IF(Audit_Program!$K12=E$3,"●",""))</x:f>
      </x:c>
      <x:c r="F14" s="7">
        <x:f>IF($A14="","",IF(Audit_Program!$K12=F$3,"●",""))</x:f>
      </x:c>
      <x:c r="G14" s="7">
        <x:f>IF($A14="","",IF(Audit_Program!$K12=G$3,"●",""))</x:f>
      </x:c>
      <x:c r="H14" s="7">
        <x:f>IF($A14="","",IF(Audit_Program!$K12=H$3,"●",""))</x:f>
      </x:c>
      <x:c r="I14" s="7">
        <x:f>IF($A14="","",IF(Audit_Program!$K12=I$3,"●",""))</x:f>
      </x:c>
      <x:c r="J14" s="7">
        <x:f>IF($A14="","",IF(Audit_Program!$K12=J$3,"●",""))</x:f>
      </x:c>
      <x:c r="K14" s="7">
        <x:f>IF($A14="","",IF(Audit_Program!$K12=K$3,"●",""))</x:f>
      </x:c>
      <x:c r="L14" s="7">
        <x:f>IF($A14="","",IF(Audit_Program!$K12=L$3,"●",""))</x:f>
      </x:c>
      <x:c r="M14" s="7">
        <x:f>IF($A14="","",IF(Audit_Program!$K12=M$3,"●",""))</x:f>
      </x:c>
      <x:c r="N14" s="7">
        <x:f>IF($A14="","",IF(Audit_Program!$K12=N$3,"●",""))</x:f>
      </x:c>
    </x:row>
    <x:row r="15" ht="18" customHeight="1">
      <x:c r="A15" s="7">
        <x:f>IF(Audit_Program!A13="","",Audit_Program!A13)</x:f>
      </x:c>
      <x:c r="B15" s="6">
        <x:f>IF(Audit_Program!A13="","",Audit_Program!B13)</x:f>
      </x:c>
      <x:c r="C15" s="7">
        <x:f>IF($A15="","",IF(Audit_Program!$K13=C$3,"●",""))</x:f>
      </x:c>
      <x:c r="D15" s="7">
        <x:f>IF($A15="","",IF(Audit_Program!$K13=D$3,"●",""))</x:f>
      </x:c>
      <x:c r="E15" s="7">
        <x:f>IF($A15="","",IF(Audit_Program!$K13=E$3,"●",""))</x:f>
      </x:c>
      <x:c r="F15" s="7">
        <x:f>IF($A15="","",IF(Audit_Program!$K13=F$3,"●",""))</x:f>
      </x:c>
      <x:c r="G15" s="7">
        <x:f>IF($A15="","",IF(Audit_Program!$K13=G$3,"●",""))</x:f>
      </x:c>
      <x:c r="H15" s="7">
        <x:f>IF($A15="","",IF(Audit_Program!$K13=H$3,"●",""))</x:f>
      </x:c>
      <x:c r="I15" s="7">
        <x:f>IF($A15="","",IF(Audit_Program!$K13=I$3,"●",""))</x:f>
      </x:c>
      <x:c r="J15" s="7">
        <x:f>IF($A15="","",IF(Audit_Program!$K13=J$3,"●",""))</x:f>
      </x:c>
      <x:c r="K15" s="7">
        <x:f>IF($A15="","",IF(Audit_Program!$K13=K$3,"●",""))</x:f>
      </x:c>
      <x:c r="L15" s="7">
        <x:f>IF($A15="","",IF(Audit_Program!$K13=L$3,"●",""))</x:f>
      </x:c>
      <x:c r="M15" s="7">
        <x:f>IF($A15="","",IF(Audit_Program!$K13=M$3,"●",""))</x:f>
      </x:c>
      <x:c r="N15" s="7">
        <x:f>IF($A15="","",IF(Audit_Program!$K13=N$3,"●",""))</x:f>
      </x:c>
    </x:row>
    <x:row r="16" ht="18" customHeight="1">
      <x:c r="A16" s="7">
        <x:f>IF(Audit_Program!A14="","",Audit_Program!A14)</x:f>
      </x:c>
      <x:c r="B16" s="6">
        <x:f>IF(Audit_Program!A14="","",Audit_Program!B14)</x:f>
      </x:c>
      <x:c r="C16" s="7">
        <x:f>IF($A16="","",IF(Audit_Program!$K14=C$3,"●",""))</x:f>
      </x:c>
      <x:c r="D16" s="7">
        <x:f>IF($A16="","",IF(Audit_Program!$K14=D$3,"●",""))</x:f>
      </x:c>
      <x:c r="E16" s="7">
        <x:f>IF($A16="","",IF(Audit_Program!$K14=E$3,"●",""))</x:f>
      </x:c>
      <x:c r="F16" s="7">
        <x:f>IF($A16="","",IF(Audit_Program!$K14=F$3,"●",""))</x:f>
      </x:c>
      <x:c r="G16" s="7">
        <x:f>IF($A16="","",IF(Audit_Program!$K14=G$3,"●",""))</x:f>
      </x:c>
      <x:c r="H16" s="7">
        <x:f>IF($A16="","",IF(Audit_Program!$K14=H$3,"●",""))</x:f>
      </x:c>
      <x:c r="I16" s="7">
        <x:f>IF($A16="","",IF(Audit_Program!$K14=I$3,"●",""))</x:f>
      </x:c>
      <x:c r="J16" s="7">
        <x:f>IF($A16="","",IF(Audit_Program!$K14=J$3,"●",""))</x:f>
      </x:c>
      <x:c r="K16" s="7">
        <x:f>IF($A16="","",IF(Audit_Program!$K14=K$3,"●",""))</x:f>
      </x:c>
      <x:c r="L16" s="7">
        <x:f>IF($A16="","",IF(Audit_Program!$K14=L$3,"●",""))</x:f>
      </x:c>
      <x:c r="M16" s="7">
        <x:f>IF($A16="","",IF(Audit_Program!$K14=M$3,"●",""))</x:f>
      </x:c>
      <x:c r="N16" s="7">
        <x:f>IF($A16="","",IF(Audit_Program!$K14=N$3,"●",""))</x:f>
      </x:c>
    </x:row>
    <x:row r="17" ht="18" customHeight="1">
      <x:c r="A17" s="7">
        <x:f>IF(Audit_Program!A15="","",Audit_Program!A15)</x:f>
      </x:c>
      <x:c r="B17" s="6">
        <x:f>IF(Audit_Program!A15="","",Audit_Program!B15)</x:f>
      </x:c>
      <x:c r="C17" s="7">
        <x:f>IF($A17="","",IF(Audit_Program!$K15=C$3,"●",""))</x:f>
      </x:c>
      <x:c r="D17" s="7">
        <x:f>IF($A17="","",IF(Audit_Program!$K15=D$3,"●",""))</x:f>
      </x:c>
      <x:c r="E17" s="7">
        <x:f>IF($A17="","",IF(Audit_Program!$K15=E$3,"●",""))</x:f>
      </x:c>
      <x:c r="F17" s="7">
        <x:f>IF($A17="","",IF(Audit_Program!$K15=F$3,"●",""))</x:f>
      </x:c>
      <x:c r="G17" s="7">
        <x:f>IF($A17="","",IF(Audit_Program!$K15=G$3,"●",""))</x:f>
      </x:c>
      <x:c r="H17" s="7">
        <x:f>IF($A17="","",IF(Audit_Program!$K15=H$3,"●",""))</x:f>
      </x:c>
      <x:c r="I17" s="7">
        <x:f>IF($A17="","",IF(Audit_Program!$K15=I$3,"●",""))</x:f>
      </x:c>
      <x:c r="J17" s="7">
        <x:f>IF($A17="","",IF(Audit_Program!$K15=J$3,"●",""))</x:f>
      </x:c>
      <x:c r="K17" s="7">
        <x:f>IF($A17="","",IF(Audit_Program!$K15=K$3,"●",""))</x:f>
      </x:c>
      <x:c r="L17" s="7">
        <x:f>IF($A17="","",IF(Audit_Program!$K15=L$3,"●",""))</x:f>
      </x:c>
      <x:c r="M17" s="7">
        <x:f>IF($A17="","",IF(Audit_Program!$K15=M$3,"●",""))</x:f>
      </x:c>
      <x:c r="N17" s="7">
        <x:f>IF($A17="","",IF(Audit_Program!$K15=N$3,"●",""))</x:f>
      </x:c>
    </x:row>
    <x:row r="18" ht="18" customHeight="1">
      <x:c r="A18" s="7">
        <x:f>IF(Audit_Program!A16="","",Audit_Program!A16)</x:f>
      </x:c>
      <x:c r="B18" s="6">
        <x:f>IF(Audit_Program!A16="","",Audit_Program!B16)</x:f>
      </x:c>
      <x:c r="C18" s="7">
        <x:f>IF($A18="","",IF(Audit_Program!$K16=C$3,"●",""))</x:f>
      </x:c>
      <x:c r="D18" s="7">
        <x:f>IF($A18="","",IF(Audit_Program!$K16=D$3,"●",""))</x:f>
      </x:c>
      <x:c r="E18" s="7">
        <x:f>IF($A18="","",IF(Audit_Program!$K16=E$3,"●",""))</x:f>
      </x:c>
      <x:c r="F18" s="7">
        <x:f>IF($A18="","",IF(Audit_Program!$K16=F$3,"●",""))</x:f>
      </x:c>
      <x:c r="G18" s="7">
        <x:f>IF($A18="","",IF(Audit_Program!$K16=G$3,"●",""))</x:f>
      </x:c>
      <x:c r="H18" s="7">
        <x:f>IF($A18="","",IF(Audit_Program!$K16=H$3,"●",""))</x:f>
      </x:c>
      <x:c r="I18" s="7">
        <x:f>IF($A18="","",IF(Audit_Program!$K16=I$3,"●",""))</x:f>
      </x:c>
      <x:c r="J18" s="7">
        <x:f>IF($A18="","",IF(Audit_Program!$K16=J$3,"●",""))</x:f>
      </x:c>
      <x:c r="K18" s="7">
        <x:f>IF($A18="","",IF(Audit_Program!$K16=K$3,"●",""))</x:f>
      </x:c>
      <x:c r="L18" s="7">
        <x:f>IF($A18="","",IF(Audit_Program!$K16=L$3,"●",""))</x:f>
      </x:c>
      <x:c r="M18" s="7">
        <x:f>IF($A18="","",IF(Audit_Program!$K16=M$3,"●",""))</x:f>
      </x:c>
      <x:c r="N18" s="7">
        <x:f>IF($A18="","",IF(Audit_Program!$K16=N$3,"●",""))</x:f>
      </x:c>
    </x:row>
    <x:row r="19" ht="18" customHeight="1">
      <x:c r="A19" s="7">
        <x:f>IF(Audit_Program!A17="","",Audit_Program!A17)</x:f>
      </x:c>
      <x:c r="B19" s="6">
        <x:f>IF(Audit_Program!A17="","",Audit_Program!B17)</x:f>
      </x:c>
      <x:c r="C19" s="7">
        <x:f>IF($A19="","",IF(Audit_Program!$K17=C$3,"●",""))</x:f>
      </x:c>
      <x:c r="D19" s="7">
        <x:f>IF($A19="","",IF(Audit_Program!$K17=D$3,"●",""))</x:f>
      </x:c>
      <x:c r="E19" s="7">
        <x:f>IF($A19="","",IF(Audit_Program!$K17=E$3,"●",""))</x:f>
      </x:c>
      <x:c r="F19" s="7">
        <x:f>IF($A19="","",IF(Audit_Program!$K17=F$3,"●",""))</x:f>
      </x:c>
      <x:c r="G19" s="7">
        <x:f>IF($A19="","",IF(Audit_Program!$K17=G$3,"●",""))</x:f>
      </x:c>
      <x:c r="H19" s="7">
        <x:f>IF($A19="","",IF(Audit_Program!$K17=H$3,"●",""))</x:f>
      </x:c>
      <x:c r="I19" s="7">
        <x:f>IF($A19="","",IF(Audit_Program!$K17=I$3,"●",""))</x:f>
      </x:c>
      <x:c r="J19" s="7">
        <x:f>IF($A19="","",IF(Audit_Program!$K17=J$3,"●",""))</x:f>
      </x:c>
      <x:c r="K19" s="7">
        <x:f>IF($A19="","",IF(Audit_Program!$K17=K$3,"●",""))</x:f>
      </x:c>
      <x:c r="L19" s="7">
        <x:f>IF($A19="","",IF(Audit_Program!$K17=L$3,"●",""))</x:f>
      </x:c>
      <x:c r="M19" s="7">
        <x:f>IF($A19="","",IF(Audit_Program!$K17=M$3,"●",""))</x:f>
      </x:c>
      <x:c r="N19" s="7">
        <x:f>IF($A19="","",IF(Audit_Program!$K17=N$3,"●",""))</x:f>
      </x:c>
    </x:row>
    <x:row r="20" ht="18" customHeight="1">
      <x:c r="A20" s="7">
        <x:f>IF(Audit_Program!A18="","",Audit_Program!A18)</x:f>
      </x:c>
      <x:c r="B20" s="6">
        <x:f>IF(Audit_Program!A18="","",Audit_Program!B18)</x:f>
      </x:c>
      <x:c r="C20" s="7">
        <x:f>IF($A20="","",IF(Audit_Program!$K18=C$3,"●",""))</x:f>
      </x:c>
      <x:c r="D20" s="7">
        <x:f>IF($A20="","",IF(Audit_Program!$K18=D$3,"●",""))</x:f>
      </x:c>
      <x:c r="E20" s="7">
        <x:f>IF($A20="","",IF(Audit_Program!$K18=E$3,"●",""))</x:f>
      </x:c>
      <x:c r="F20" s="7">
        <x:f>IF($A20="","",IF(Audit_Program!$K18=F$3,"●",""))</x:f>
      </x:c>
      <x:c r="G20" s="7">
        <x:f>IF($A20="","",IF(Audit_Program!$K18=G$3,"●",""))</x:f>
      </x:c>
      <x:c r="H20" s="7">
        <x:f>IF($A20="","",IF(Audit_Program!$K18=H$3,"●",""))</x:f>
      </x:c>
      <x:c r="I20" s="7">
        <x:f>IF($A20="","",IF(Audit_Program!$K18=I$3,"●",""))</x:f>
      </x:c>
      <x:c r="J20" s="7">
        <x:f>IF($A20="","",IF(Audit_Program!$K18=J$3,"●",""))</x:f>
      </x:c>
      <x:c r="K20" s="7">
        <x:f>IF($A20="","",IF(Audit_Program!$K18=K$3,"●",""))</x:f>
      </x:c>
      <x:c r="L20" s="7">
        <x:f>IF($A20="","",IF(Audit_Program!$K18=L$3,"●",""))</x:f>
      </x:c>
      <x:c r="M20" s="7">
        <x:f>IF($A20="","",IF(Audit_Program!$K18=M$3,"●",""))</x:f>
      </x:c>
      <x:c r="N20" s="7">
        <x:f>IF($A20="","",IF(Audit_Program!$K18=N$3,"●",""))</x:f>
      </x:c>
    </x:row>
    <x:row r="21" ht="18" customHeight="1">
      <x:c r="A21" s="7">
        <x:f>IF(Audit_Program!A19="","",Audit_Program!A19)</x:f>
      </x:c>
      <x:c r="B21" s="6">
        <x:f>IF(Audit_Program!A19="","",Audit_Program!B19)</x:f>
      </x:c>
      <x:c r="C21" s="7">
        <x:f>IF($A21="","",IF(Audit_Program!$K19=C$3,"●",""))</x:f>
      </x:c>
      <x:c r="D21" s="7">
        <x:f>IF($A21="","",IF(Audit_Program!$K19=D$3,"●",""))</x:f>
      </x:c>
      <x:c r="E21" s="7">
        <x:f>IF($A21="","",IF(Audit_Program!$K19=E$3,"●",""))</x:f>
      </x:c>
      <x:c r="F21" s="7">
        <x:f>IF($A21="","",IF(Audit_Program!$K19=F$3,"●",""))</x:f>
      </x:c>
      <x:c r="G21" s="7">
        <x:f>IF($A21="","",IF(Audit_Program!$K19=G$3,"●",""))</x:f>
      </x:c>
      <x:c r="H21" s="7">
        <x:f>IF($A21="","",IF(Audit_Program!$K19=H$3,"●",""))</x:f>
      </x:c>
      <x:c r="I21" s="7">
        <x:f>IF($A21="","",IF(Audit_Program!$K19=I$3,"●",""))</x:f>
      </x:c>
      <x:c r="J21" s="7">
        <x:f>IF($A21="","",IF(Audit_Program!$K19=J$3,"●",""))</x:f>
      </x:c>
      <x:c r="K21" s="7">
        <x:f>IF($A21="","",IF(Audit_Program!$K19=K$3,"●",""))</x:f>
      </x:c>
      <x:c r="L21" s="7">
        <x:f>IF($A21="","",IF(Audit_Program!$K19=L$3,"●",""))</x:f>
      </x:c>
      <x:c r="M21" s="7">
        <x:f>IF($A21="","",IF(Audit_Program!$K19=M$3,"●",""))</x:f>
      </x:c>
      <x:c r="N21" s="7">
        <x:f>IF($A21="","",IF(Audit_Program!$K19=N$3,"●",""))</x:f>
      </x:c>
    </x:row>
    <x:row r="22" ht="18" customHeight="1">
      <x:c r="A22" s="7">
        <x:f>IF(Audit_Program!A20="","",Audit_Program!A20)</x:f>
      </x:c>
      <x:c r="B22" s="6">
        <x:f>IF(Audit_Program!A20="","",Audit_Program!B20)</x:f>
      </x:c>
      <x:c r="C22" s="7">
        <x:f>IF($A22="","",IF(Audit_Program!$K20=C$3,"●",""))</x:f>
      </x:c>
      <x:c r="D22" s="7">
        <x:f>IF($A22="","",IF(Audit_Program!$K20=D$3,"●",""))</x:f>
      </x:c>
      <x:c r="E22" s="7">
        <x:f>IF($A22="","",IF(Audit_Program!$K20=E$3,"●",""))</x:f>
      </x:c>
      <x:c r="F22" s="7">
        <x:f>IF($A22="","",IF(Audit_Program!$K20=F$3,"●",""))</x:f>
      </x:c>
      <x:c r="G22" s="7">
        <x:f>IF($A22="","",IF(Audit_Program!$K20=G$3,"●",""))</x:f>
      </x:c>
      <x:c r="H22" s="7">
        <x:f>IF($A22="","",IF(Audit_Program!$K20=H$3,"●",""))</x:f>
      </x:c>
      <x:c r="I22" s="7">
        <x:f>IF($A22="","",IF(Audit_Program!$K20=I$3,"●",""))</x:f>
      </x:c>
      <x:c r="J22" s="7">
        <x:f>IF($A22="","",IF(Audit_Program!$K20=J$3,"●",""))</x:f>
      </x:c>
      <x:c r="K22" s="7">
        <x:f>IF($A22="","",IF(Audit_Program!$K20=K$3,"●",""))</x:f>
      </x:c>
      <x:c r="L22" s="7">
        <x:f>IF($A22="","",IF(Audit_Program!$K20=L$3,"●",""))</x:f>
      </x:c>
      <x:c r="M22" s="7">
        <x:f>IF($A22="","",IF(Audit_Program!$K20=M$3,"●",""))</x:f>
      </x:c>
      <x:c r="N22" s="7">
        <x:f>IF($A22="","",IF(Audit_Program!$K20=N$3,"●",""))</x:f>
      </x:c>
    </x:row>
    <x:row r="23" ht="18" customHeight="1">
      <x:c r="A23" s="7">
        <x:f>IF(Audit_Program!A21="","",Audit_Program!A21)</x:f>
      </x:c>
      <x:c r="B23" s="6">
        <x:f>IF(Audit_Program!A21="","",Audit_Program!B21)</x:f>
      </x:c>
      <x:c r="C23" s="7">
        <x:f>IF($A23="","",IF(Audit_Program!$K21=C$3,"●",""))</x:f>
      </x:c>
      <x:c r="D23" s="7">
        <x:f>IF($A23="","",IF(Audit_Program!$K21=D$3,"●",""))</x:f>
      </x:c>
      <x:c r="E23" s="7">
        <x:f>IF($A23="","",IF(Audit_Program!$K21=E$3,"●",""))</x:f>
      </x:c>
      <x:c r="F23" s="7">
        <x:f>IF($A23="","",IF(Audit_Program!$K21=F$3,"●",""))</x:f>
      </x:c>
      <x:c r="G23" s="7">
        <x:f>IF($A23="","",IF(Audit_Program!$K21=G$3,"●",""))</x:f>
      </x:c>
      <x:c r="H23" s="7">
        <x:f>IF($A23="","",IF(Audit_Program!$K21=H$3,"●",""))</x:f>
      </x:c>
      <x:c r="I23" s="7">
        <x:f>IF($A23="","",IF(Audit_Program!$K21=I$3,"●",""))</x:f>
      </x:c>
      <x:c r="J23" s="7">
        <x:f>IF($A23="","",IF(Audit_Program!$K21=J$3,"●",""))</x:f>
      </x:c>
      <x:c r="K23" s="7">
        <x:f>IF($A23="","",IF(Audit_Program!$K21=K$3,"●",""))</x:f>
      </x:c>
      <x:c r="L23" s="7">
        <x:f>IF($A23="","",IF(Audit_Program!$K21=L$3,"●",""))</x:f>
      </x:c>
      <x:c r="M23" s="7">
        <x:f>IF($A23="","",IF(Audit_Program!$K21=M$3,"●",""))</x:f>
      </x:c>
      <x:c r="N23" s="7">
        <x:f>IF($A23="","",IF(Audit_Program!$K21=N$3,"●",""))</x:f>
      </x:c>
    </x:row>
    <x:row r="24" ht="18" customHeight="1">
      <x:c r="A24" s="7">
        <x:f>IF(Audit_Program!A22="","",Audit_Program!A22)</x:f>
      </x:c>
      <x:c r="B24" s="6">
        <x:f>IF(Audit_Program!A22="","",Audit_Program!B22)</x:f>
      </x:c>
      <x:c r="C24" s="7">
        <x:f>IF($A24="","",IF(Audit_Program!$K22=C$3,"●",""))</x:f>
      </x:c>
      <x:c r="D24" s="7">
        <x:f>IF($A24="","",IF(Audit_Program!$K22=D$3,"●",""))</x:f>
      </x:c>
      <x:c r="E24" s="7">
        <x:f>IF($A24="","",IF(Audit_Program!$K22=E$3,"●",""))</x:f>
      </x:c>
      <x:c r="F24" s="7">
        <x:f>IF($A24="","",IF(Audit_Program!$K22=F$3,"●",""))</x:f>
      </x:c>
      <x:c r="G24" s="7">
        <x:f>IF($A24="","",IF(Audit_Program!$K22=G$3,"●",""))</x:f>
      </x:c>
      <x:c r="H24" s="7">
        <x:f>IF($A24="","",IF(Audit_Program!$K22=H$3,"●",""))</x:f>
      </x:c>
      <x:c r="I24" s="7">
        <x:f>IF($A24="","",IF(Audit_Program!$K22=I$3,"●",""))</x:f>
      </x:c>
      <x:c r="J24" s="7">
        <x:f>IF($A24="","",IF(Audit_Program!$K22=J$3,"●",""))</x:f>
      </x:c>
      <x:c r="K24" s="7">
        <x:f>IF($A24="","",IF(Audit_Program!$K22=K$3,"●",""))</x:f>
      </x:c>
      <x:c r="L24" s="7">
        <x:f>IF($A24="","",IF(Audit_Program!$K22=L$3,"●",""))</x:f>
      </x:c>
      <x:c r="M24" s="7">
        <x:f>IF($A24="","",IF(Audit_Program!$K22=M$3,"●",""))</x:f>
      </x:c>
      <x:c r="N24" s="7">
        <x:f>IF($A24="","",IF(Audit_Program!$K22=N$3,"●",""))</x:f>
      </x:c>
    </x:row>
    <x:row r="25" ht="18" customHeight="1">
      <x:c r="A25" s="7">
        <x:f>IF(Audit_Program!A23="","",Audit_Program!A23)</x:f>
      </x:c>
      <x:c r="B25" s="6">
        <x:f>IF(Audit_Program!A23="","",Audit_Program!B23)</x:f>
      </x:c>
      <x:c r="C25" s="7">
        <x:f>IF($A25="","",IF(Audit_Program!$K23=C$3,"●",""))</x:f>
      </x:c>
      <x:c r="D25" s="7">
        <x:f>IF($A25="","",IF(Audit_Program!$K23=D$3,"●",""))</x:f>
      </x:c>
      <x:c r="E25" s="7">
        <x:f>IF($A25="","",IF(Audit_Program!$K23=E$3,"●",""))</x:f>
      </x:c>
      <x:c r="F25" s="7">
        <x:f>IF($A25="","",IF(Audit_Program!$K23=F$3,"●",""))</x:f>
      </x:c>
      <x:c r="G25" s="7">
        <x:f>IF($A25="","",IF(Audit_Program!$K23=G$3,"●",""))</x:f>
      </x:c>
      <x:c r="H25" s="7">
        <x:f>IF($A25="","",IF(Audit_Program!$K23=H$3,"●",""))</x:f>
      </x:c>
      <x:c r="I25" s="7">
        <x:f>IF($A25="","",IF(Audit_Program!$K23=I$3,"●",""))</x:f>
      </x:c>
      <x:c r="J25" s="7">
        <x:f>IF($A25="","",IF(Audit_Program!$K23=J$3,"●",""))</x:f>
      </x:c>
      <x:c r="K25" s="7">
        <x:f>IF($A25="","",IF(Audit_Program!$K23=K$3,"●",""))</x:f>
      </x:c>
      <x:c r="L25" s="7">
        <x:f>IF($A25="","",IF(Audit_Program!$K23=L$3,"●",""))</x:f>
      </x:c>
      <x:c r="M25" s="7">
        <x:f>IF($A25="","",IF(Audit_Program!$K23=M$3,"●",""))</x:f>
      </x:c>
      <x:c r="N25" s="7">
        <x:f>IF($A25="","",IF(Audit_Program!$K23=N$3,"●",""))</x:f>
      </x:c>
    </x:row>
    <x:row r="26" ht="18" customHeight="1">
      <x:c r="A26" s="7">
        <x:f>IF(Audit_Program!A24="","",Audit_Program!A24)</x:f>
      </x:c>
      <x:c r="B26" s="6">
        <x:f>IF(Audit_Program!A24="","",Audit_Program!B24)</x:f>
      </x:c>
      <x:c r="C26" s="7">
        <x:f>IF($A26="","",IF(Audit_Program!$K24=C$3,"●",""))</x:f>
      </x:c>
      <x:c r="D26" s="7">
        <x:f>IF($A26="","",IF(Audit_Program!$K24=D$3,"●",""))</x:f>
      </x:c>
      <x:c r="E26" s="7">
        <x:f>IF($A26="","",IF(Audit_Program!$K24=E$3,"●",""))</x:f>
      </x:c>
      <x:c r="F26" s="7">
        <x:f>IF($A26="","",IF(Audit_Program!$K24=F$3,"●",""))</x:f>
      </x:c>
      <x:c r="G26" s="7">
        <x:f>IF($A26="","",IF(Audit_Program!$K24=G$3,"●",""))</x:f>
      </x:c>
      <x:c r="H26" s="7">
        <x:f>IF($A26="","",IF(Audit_Program!$K24=H$3,"●",""))</x:f>
      </x:c>
      <x:c r="I26" s="7">
        <x:f>IF($A26="","",IF(Audit_Program!$K24=I$3,"●",""))</x:f>
      </x:c>
      <x:c r="J26" s="7">
        <x:f>IF($A26="","",IF(Audit_Program!$K24=J$3,"●",""))</x:f>
      </x:c>
      <x:c r="K26" s="7">
        <x:f>IF($A26="","",IF(Audit_Program!$K24=K$3,"●",""))</x:f>
      </x:c>
      <x:c r="L26" s="7">
        <x:f>IF($A26="","",IF(Audit_Program!$K24=L$3,"●",""))</x:f>
      </x:c>
      <x:c r="M26" s="7">
        <x:f>IF($A26="","",IF(Audit_Program!$K24=M$3,"●",""))</x:f>
      </x:c>
      <x:c r="N26" s="7">
        <x:f>IF($A26="","",IF(Audit_Program!$K24=N$3,"●",""))</x:f>
      </x:c>
    </x:row>
    <x:row r="27" ht="18" customHeight="1">
      <x:c r="A27" s="7">
        <x:f>IF(Audit_Program!A25="","",Audit_Program!A25)</x:f>
      </x:c>
      <x:c r="B27" s="6">
        <x:f>IF(Audit_Program!A25="","",Audit_Program!B25)</x:f>
      </x:c>
      <x:c r="C27" s="7">
        <x:f>IF($A27="","",IF(Audit_Program!$K25=C$3,"●",""))</x:f>
      </x:c>
      <x:c r="D27" s="7">
        <x:f>IF($A27="","",IF(Audit_Program!$K25=D$3,"●",""))</x:f>
      </x:c>
      <x:c r="E27" s="7">
        <x:f>IF($A27="","",IF(Audit_Program!$K25=E$3,"●",""))</x:f>
      </x:c>
      <x:c r="F27" s="7">
        <x:f>IF($A27="","",IF(Audit_Program!$K25=F$3,"●",""))</x:f>
      </x:c>
      <x:c r="G27" s="7">
        <x:f>IF($A27="","",IF(Audit_Program!$K25=G$3,"●",""))</x:f>
      </x:c>
      <x:c r="H27" s="7">
        <x:f>IF($A27="","",IF(Audit_Program!$K25=H$3,"●",""))</x:f>
      </x:c>
      <x:c r="I27" s="7">
        <x:f>IF($A27="","",IF(Audit_Program!$K25=I$3,"●",""))</x:f>
      </x:c>
      <x:c r="J27" s="7">
        <x:f>IF($A27="","",IF(Audit_Program!$K25=J$3,"●",""))</x:f>
      </x:c>
      <x:c r="K27" s="7">
        <x:f>IF($A27="","",IF(Audit_Program!$K25=K$3,"●",""))</x:f>
      </x:c>
      <x:c r="L27" s="7">
        <x:f>IF($A27="","",IF(Audit_Program!$K25=L$3,"●",""))</x:f>
      </x:c>
      <x:c r="M27" s="7">
        <x:f>IF($A27="","",IF(Audit_Program!$K25=M$3,"●",""))</x:f>
      </x:c>
      <x:c r="N27" s="7">
        <x:f>IF($A27="","",IF(Audit_Program!$K25=N$3,"●",""))</x:f>
      </x:c>
    </x:row>
    <x:row r="28" ht="18" customHeight="1">
      <x:c r="A28" s="7">
        <x:f>IF(Audit_Program!A26="","",Audit_Program!A26)</x:f>
      </x:c>
      <x:c r="B28" s="6">
        <x:f>IF(Audit_Program!A26="","",Audit_Program!B26)</x:f>
      </x:c>
      <x:c r="C28" s="7">
        <x:f>IF($A28="","",IF(Audit_Program!$K26=C$3,"●",""))</x:f>
      </x:c>
      <x:c r="D28" s="7">
        <x:f>IF($A28="","",IF(Audit_Program!$K26=D$3,"●",""))</x:f>
      </x:c>
      <x:c r="E28" s="7">
        <x:f>IF($A28="","",IF(Audit_Program!$K26=E$3,"●",""))</x:f>
      </x:c>
      <x:c r="F28" s="7">
        <x:f>IF($A28="","",IF(Audit_Program!$K26=F$3,"●",""))</x:f>
      </x:c>
      <x:c r="G28" s="7">
        <x:f>IF($A28="","",IF(Audit_Program!$K26=G$3,"●",""))</x:f>
      </x:c>
      <x:c r="H28" s="7">
        <x:f>IF($A28="","",IF(Audit_Program!$K26=H$3,"●",""))</x:f>
      </x:c>
      <x:c r="I28" s="7">
        <x:f>IF($A28="","",IF(Audit_Program!$K26=I$3,"●",""))</x:f>
      </x:c>
      <x:c r="J28" s="7">
        <x:f>IF($A28="","",IF(Audit_Program!$K26=J$3,"●",""))</x:f>
      </x:c>
      <x:c r="K28" s="7">
        <x:f>IF($A28="","",IF(Audit_Program!$K26=K$3,"●",""))</x:f>
      </x:c>
      <x:c r="L28" s="7">
        <x:f>IF($A28="","",IF(Audit_Program!$K26=L$3,"●",""))</x:f>
      </x:c>
      <x:c r="M28" s="7">
        <x:f>IF($A28="","",IF(Audit_Program!$K26=M$3,"●",""))</x:f>
      </x:c>
      <x:c r="N28" s="7">
        <x:f>IF($A28="","",IF(Audit_Program!$K26=N$3,"●",""))</x:f>
      </x:c>
    </x:row>
    <x:row r="29" ht="18" customHeight="1">
      <x:c r="A29" s="7">
        <x:f>IF(Audit_Program!A27="","",Audit_Program!A27)</x:f>
      </x:c>
      <x:c r="B29" s="6">
        <x:f>IF(Audit_Program!A27="","",Audit_Program!B27)</x:f>
      </x:c>
      <x:c r="C29" s="7">
        <x:f>IF($A29="","",IF(Audit_Program!$K27=C$3,"●",""))</x:f>
      </x:c>
      <x:c r="D29" s="7">
        <x:f>IF($A29="","",IF(Audit_Program!$K27=D$3,"●",""))</x:f>
      </x:c>
      <x:c r="E29" s="7">
        <x:f>IF($A29="","",IF(Audit_Program!$K27=E$3,"●",""))</x:f>
      </x:c>
      <x:c r="F29" s="7">
        <x:f>IF($A29="","",IF(Audit_Program!$K27=F$3,"●",""))</x:f>
      </x:c>
      <x:c r="G29" s="7">
        <x:f>IF($A29="","",IF(Audit_Program!$K27=G$3,"●",""))</x:f>
      </x:c>
      <x:c r="H29" s="7">
        <x:f>IF($A29="","",IF(Audit_Program!$K27=H$3,"●",""))</x:f>
      </x:c>
      <x:c r="I29" s="7">
        <x:f>IF($A29="","",IF(Audit_Program!$K27=I$3,"●",""))</x:f>
      </x:c>
      <x:c r="J29" s="7">
        <x:f>IF($A29="","",IF(Audit_Program!$K27=J$3,"●",""))</x:f>
      </x:c>
      <x:c r="K29" s="7">
        <x:f>IF($A29="","",IF(Audit_Program!$K27=K$3,"●",""))</x:f>
      </x:c>
      <x:c r="L29" s="7">
        <x:f>IF($A29="","",IF(Audit_Program!$K27=L$3,"●",""))</x:f>
      </x:c>
      <x:c r="M29" s="7">
        <x:f>IF($A29="","",IF(Audit_Program!$K27=M$3,"●",""))</x:f>
      </x:c>
      <x:c r="N29" s="7">
        <x:f>IF($A29="","",IF(Audit_Program!$K27=N$3,"●",""))</x:f>
      </x:c>
    </x:row>
    <x:row r="30" ht="18" customHeight="1">
      <x:c r="A30" s="7">
        <x:f>IF(Audit_Program!A28="","",Audit_Program!A28)</x:f>
      </x:c>
      <x:c r="B30" s="6">
        <x:f>IF(Audit_Program!A28="","",Audit_Program!B28)</x:f>
      </x:c>
      <x:c r="C30" s="7">
        <x:f>IF($A30="","",IF(Audit_Program!$K28=C$3,"●",""))</x:f>
      </x:c>
      <x:c r="D30" s="7">
        <x:f>IF($A30="","",IF(Audit_Program!$K28=D$3,"●",""))</x:f>
      </x:c>
      <x:c r="E30" s="7">
        <x:f>IF($A30="","",IF(Audit_Program!$K28=E$3,"●",""))</x:f>
      </x:c>
      <x:c r="F30" s="7">
        <x:f>IF($A30="","",IF(Audit_Program!$K28=F$3,"●",""))</x:f>
      </x:c>
      <x:c r="G30" s="7">
        <x:f>IF($A30="","",IF(Audit_Program!$K28=G$3,"●",""))</x:f>
      </x:c>
      <x:c r="H30" s="7">
        <x:f>IF($A30="","",IF(Audit_Program!$K28=H$3,"●",""))</x:f>
      </x:c>
      <x:c r="I30" s="7">
        <x:f>IF($A30="","",IF(Audit_Program!$K28=I$3,"●",""))</x:f>
      </x:c>
      <x:c r="J30" s="7">
        <x:f>IF($A30="","",IF(Audit_Program!$K28=J$3,"●",""))</x:f>
      </x:c>
      <x:c r="K30" s="7">
        <x:f>IF($A30="","",IF(Audit_Program!$K28=K$3,"●",""))</x:f>
      </x:c>
      <x:c r="L30" s="7">
        <x:f>IF($A30="","",IF(Audit_Program!$K28=L$3,"●",""))</x:f>
      </x:c>
      <x:c r="M30" s="7">
        <x:f>IF($A30="","",IF(Audit_Program!$K28=M$3,"●",""))</x:f>
      </x:c>
      <x:c r="N30" s="7">
        <x:f>IF($A30="","",IF(Audit_Program!$K28=N$3,"●",""))</x:f>
      </x:c>
    </x:row>
    <x:row r="31" ht="18" customHeight="1">
      <x:c r="A31" s="7">
        <x:f>IF(Audit_Program!A29="","",Audit_Program!A29)</x:f>
      </x:c>
      <x:c r="B31" s="6">
        <x:f>IF(Audit_Program!A29="","",Audit_Program!B29)</x:f>
      </x:c>
      <x:c r="C31" s="7">
        <x:f>IF($A31="","",IF(Audit_Program!$K29=C$3,"●",""))</x:f>
      </x:c>
      <x:c r="D31" s="7">
        <x:f>IF($A31="","",IF(Audit_Program!$K29=D$3,"●",""))</x:f>
      </x:c>
      <x:c r="E31" s="7">
        <x:f>IF($A31="","",IF(Audit_Program!$K29=E$3,"●",""))</x:f>
      </x:c>
      <x:c r="F31" s="7">
        <x:f>IF($A31="","",IF(Audit_Program!$K29=F$3,"●",""))</x:f>
      </x:c>
      <x:c r="G31" s="7">
        <x:f>IF($A31="","",IF(Audit_Program!$K29=G$3,"●",""))</x:f>
      </x:c>
      <x:c r="H31" s="7">
        <x:f>IF($A31="","",IF(Audit_Program!$K29=H$3,"●",""))</x:f>
      </x:c>
      <x:c r="I31" s="7">
        <x:f>IF($A31="","",IF(Audit_Program!$K29=I$3,"●",""))</x:f>
      </x:c>
      <x:c r="J31" s="7">
        <x:f>IF($A31="","",IF(Audit_Program!$K29=J$3,"●",""))</x:f>
      </x:c>
      <x:c r="K31" s="7">
        <x:f>IF($A31="","",IF(Audit_Program!$K29=K$3,"●",""))</x:f>
      </x:c>
      <x:c r="L31" s="7">
        <x:f>IF($A31="","",IF(Audit_Program!$K29=L$3,"●",""))</x:f>
      </x:c>
      <x:c r="M31" s="7">
        <x:f>IF($A31="","",IF(Audit_Program!$K29=M$3,"●",""))</x:f>
      </x:c>
      <x:c r="N31" s="7">
        <x:f>IF($A31="","",IF(Audit_Program!$K29=N$3,"●",""))</x:f>
      </x:c>
    </x:row>
    <x:row r="32" ht="18" customHeight="1">
      <x:c r="A32" s="7">
        <x:f>IF(Audit_Program!A30="","",Audit_Program!A30)</x:f>
      </x:c>
      <x:c r="B32" s="6">
        <x:f>IF(Audit_Program!A30="","",Audit_Program!B30)</x:f>
      </x:c>
      <x:c r="C32" s="7">
        <x:f>IF($A32="","",IF(Audit_Program!$K30=C$3,"●",""))</x:f>
      </x:c>
      <x:c r="D32" s="7">
        <x:f>IF($A32="","",IF(Audit_Program!$K30=D$3,"●",""))</x:f>
      </x:c>
      <x:c r="E32" s="7">
        <x:f>IF($A32="","",IF(Audit_Program!$K30=E$3,"●",""))</x:f>
      </x:c>
      <x:c r="F32" s="7">
        <x:f>IF($A32="","",IF(Audit_Program!$K30=F$3,"●",""))</x:f>
      </x:c>
      <x:c r="G32" s="7">
        <x:f>IF($A32="","",IF(Audit_Program!$K30=G$3,"●",""))</x:f>
      </x:c>
      <x:c r="H32" s="7">
        <x:f>IF($A32="","",IF(Audit_Program!$K30=H$3,"●",""))</x:f>
      </x:c>
      <x:c r="I32" s="7">
        <x:f>IF($A32="","",IF(Audit_Program!$K30=I$3,"●",""))</x:f>
      </x:c>
      <x:c r="J32" s="7">
        <x:f>IF($A32="","",IF(Audit_Program!$K30=J$3,"●",""))</x:f>
      </x:c>
      <x:c r="K32" s="7">
        <x:f>IF($A32="","",IF(Audit_Program!$K30=K$3,"●",""))</x:f>
      </x:c>
      <x:c r="L32" s="7">
        <x:f>IF($A32="","",IF(Audit_Program!$K30=L$3,"●",""))</x:f>
      </x:c>
      <x:c r="M32" s="7">
        <x:f>IF($A32="","",IF(Audit_Program!$K30=M$3,"●",""))</x:f>
      </x:c>
      <x:c r="N32" s="7">
        <x:f>IF($A32="","",IF(Audit_Program!$K30=N$3,"●",""))</x:f>
      </x:c>
    </x:row>
    <x:row r="33" ht="18" customHeight="1">
      <x:c r="A33" s="7">
        <x:f>IF(Audit_Program!A31="","",Audit_Program!A31)</x:f>
      </x:c>
      <x:c r="B33" s="6">
        <x:f>IF(Audit_Program!A31="","",Audit_Program!B31)</x:f>
      </x:c>
      <x:c r="C33" s="7">
        <x:f>IF($A33="","",IF(Audit_Program!$K31=C$3,"●",""))</x:f>
      </x:c>
      <x:c r="D33" s="7">
        <x:f>IF($A33="","",IF(Audit_Program!$K31=D$3,"●",""))</x:f>
      </x:c>
      <x:c r="E33" s="7">
        <x:f>IF($A33="","",IF(Audit_Program!$K31=E$3,"●",""))</x:f>
      </x:c>
      <x:c r="F33" s="7">
        <x:f>IF($A33="","",IF(Audit_Program!$K31=F$3,"●",""))</x:f>
      </x:c>
      <x:c r="G33" s="7">
        <x:f>IF($A33="","",IF(Audit_Program!$K31=G$3,"●",""))</x:f>
      </x:c>
      <x:c r="H33" s="7">
        <x:f>IF($A33="","",IF(Audit_Program!$K31=H$3,"●",""))</x:f>
      </x:c>
      <x:c r="I33" s="7">
        <x:f>IF($A33="","",IF(Audit_Program!$K31=I$3,"●",""))</x:f>
      </x:c>
      <x:c r="J33" s="7">
        <x:f>IF($A33="","",IF(Audit_Program!$K31=J$3,"●",""))</x:f>
      </x:c>
      <x:c r="K33" s="7">
        <x:f>IF($A33="","",IF(Audit_Program!$K31=K$3,"●",""))</x:f>
      </x:c>
      <x:c r="L33" s="7">
        <x:f>IF($A33="","",IF(Audit_Program!$K31=L$3,"●",""))</x:f>
      </x:c>
      <x:c r="M33" s="7">
        <x:f>IF($A33="","",IF(Audit_Program!$K31=M$3,"●",""))</x:f>
      </x:c>
      <x:c r="N33" s="7">
        <x:f>IF($A33="","",IF(Audit_Program!$K31=N$3,"●",""))</x:f>
      </x:c>
    </x:row>
    <x:row r="34" ht="18" customHeight="1">
      <x:c r="A34" s="7">
        <x:f>IF(Audit_Program!A32="","",Audit_Program!A32)</x:f>
      </x:c>
      <x:c r="B34" s="6">
        <x:f>IF(Audit_Program!A32="","",Audit_Program!B32)</x:f>
      </x:c>
      <x:c r="C34" s="7">
        <x:f>IF($A34="","",IF(Audit_Program!$K32=C$3,"●",""))</x:f>
      </x:c>
      <x:c r="D34" s="7">
        <x:f>IF($A34="","",IF(Audit_Program!$K32=D$3,"●",""))</x:f>
      </x:c>
      <x:c r="E34" s="7">
        <x:f>IF($A34="","",IF(Audit_Program!$K32=E$3,"●",""))</x:f>
      </x:c>
      <x:c r="F34" s="7">
        <x:f>IF($A34="","",IF(Audit_Program!$K32=F$3,"●",""))</x:f>
      </x:c>
      <x:c r="G34" s="7">
        <x:f>IF($A34="","",IF(Audit_Program!$K32=G$3,"●",""))</x:f>
      </x:c>
      <x:c r="H34" s="7">
        <x:f>IF($A34="","",IF(Audit_Program!$K32=H$3,"●",""))</x:f>
      </x:c>
      <x:c r="I34" s="7">
        <x:f>IF($A34="","",IF(Audit_Program!$K32=I$3,"●",""))</x:f>
      </x:c>
      <x:c r="J34" s="7">
        <x:f>IF($A34="","",IF(Audit_Program!$K32=J$3,"●",""))</x:f>
      </x:c>
      <x:c r="K34" s="7">
        <x:f>IF($A34="","",IF(Audit_Program!$K32=K$3,"●",""))</x:f>
      </x:c>
      <x:c r="L34" s="7">
        <x:f>IF($A34="","",IF(Audit_Program!$K32=L$3,"●",""))</x:f>
      </x:c>
      <x:c r="M34" s="7">
        <x:f>IF($A34="","",IF(Audit_Program!$K32=M$3,"●",""))</x:f>
      </x:c>
      <x:c r="N34" s="7">
        <x:f>IF($A34="","",IF(Audit_Program!$K32=N$3,"●",""))</x:f>
      </x:c>
    </x:row>
    <x:row r="35" ht="18" customHeight="1">
      <x:c r="A35" s="7">
        <x:f>IF(Audit_Program!A33="","",Audit_Program!A33)</x:f>
      </x:c>
      <x:c r="B35" s="6">
        <x:f>IF(Audit_Program!A33="","",Audit_Program!B33)</x:f>
      </x:c>
      <x:c r="C35" s="7">
        <x:f>IF($A35="","",IF(Audit_Program!$K33=C$3,"●",""))</x:f>
      </x:c>
      <x:c r="D35" s="7">
        <x:f>IF($A35="","",IF(Audit_Program!$K33=D$3,"●",""))</x:f>
      </x:c>
      <x:c r="E35" s="7">
        <x:f>IF($A35="","",IF(Audit_Program!$K33=E$3,"●",""))</x:f>
      </x:c>
      <x:c r="F35" s="7">
        <x:f>IF($A35="","",IF(Audit_Program!$K33=F$3,"●",""))</x:f>
      </x:c>
      <x:c r="G35" s="7">
        <x:f>IF($A35="","",IF(Audit_Program!$K33=G$3,"●",""))</x:f>
      </x:c>
      <x:c r="H35" s="7">
        <x:f>IF($A35="","",IF(Audit_Program!$K33=H$3,"●",""))</x:f>
      </x:c>
      <x:c r="I35" s="7">
        <x:f>IF($A35="","",IF(Audit_Program!$K33=I$3,"●",""))</x:f>
      </x:c>
      <x:c r="J35" s="7">
        <x:f>IF($A35="","",IF(Audit_Program!$K33=J$3,"●",""))</x:f>
      </x:c>
      <x:c r="K35" s="7">
        <x:f>IF($A35="","",IF(Audit_Program!$K33=K$3,"●",""))</x:f>
      </x:c>
      <x:c r="L35" s="7">
        <x:f>IF($A35="","",IF(Audit_Program!$K33=L$3,"●",""))</x:f>
      </x:c>
      <x:c r="M35" s="7">
        <x:f>IF($A35="","",IF(Audit_Program!$K33=M$3,"●",""))</x:f>
      </x:c>
      <x:c r="N35" s="7">
        <x:f>IF($A35="","",IF(Audit_Program!$K33=N$3,"●",""))</x:f>
      </x:c>
    </x:row>
    <x:row r="36" ht="18" customHeight="1">
      <x:c r="A36" s="7">
        <x:f>IF(Audit_Program!A34="","",Audit_Program!A34)</x:f>
      </x:c>
      <x:c r="B36" s="6">
        <x:f>IF(Audit_Program!A34="","",Audit_Program!B34)</x:f>
      </x:c>
      <x:c r="C36" s="7">
        <x:f>IF($A36="","",IF(Audit_Program!$K34=C$3,"●",""))</x:f>
      </x:c>
      <x:c r="D36" s="7">
        <x:f>IF($A36="","",IF(Audit_Program!$K34=D$3,"●",""))</x:f>
      </x:c>
      <x:c r="E36" s="7">
        <x:f>IF($A36="","",IF(Audit_Program!$K34=E$3,"●",""))</x:f>
      </x:c>
      <x:c r="F36" s="7">
        <x:f>IF($A36="","",IF(Audit_Program!$K34=F$3,"●",""))</x:f>
      </x:c>
      <x:c r="G36" s="7">
        <x:f>IF($A36="","",IF(Audit_Program!$K34=G$3,"●",""))</x:f>
      </x:c>
      <x:c r="H36" s="7">
        <x:f>IF($A36="","",IF(Audit_Program!$K34=H$3,"●",""))</x:f>
      </x:c>
      <x:c r="I36" s="7">
        <x:f>IF($A36="","",IF(Audit_Program!$K34=I$3,"●",""))</x:f>
      </x:c>
      <x:c r="J36" s="7">
        <x:f>IF($A36="","",IF(Audit_Program!$K34=J$3,"●",""))</x:f>
      </x:c>
      <x:c r="K36" s="7">
        <x:f>IF($A36="","",IF(Audit_Program!$K34=K$3,"●",""))</x:f>
      </x:c>
      <x:c r="L36" s="7">
        <x:f>IF($A36="","",IF(Audit_Program!$K34=L$3,"●",""))</x:f>
      </x:c>
      <x:c r="M36" s="7">
        <x:f>IF($A36="","",IF(Audit_Program!$K34=M$3,"●",""))</x:f>
      </x:c>
      <x:c r="N36" s="7">
        <x:f>IF($A36="","",IF(Audit_Program!$K34=N$3,"●",""))</x:f>
      </x:c>
    </x:row>
    <x:row r="37" ht="18" customHeight="1">
      <x:c r="A37" s="7">
        <x:f>IF(Audit_Program!A35="","",Audit_Program!A35)</x:f>
      </x:c>
      <x:c r="B37" s="6">
        <x:f>IF(Audit_Program!A35="","",Audit_Program!B35)</x:f>
      </x:c>
      <x:c r="C37" s="7">
        <x:f>IF($A37="","",IF(Audit_Program!$K35=C$3,"●",""))</x:f>
      </x:c>
      <x:c r="D37" s="7">
        <x:f>IF($A37="","",IF(Audit_Program!$K35=D$3,"●",""))</x:f>
      </x:c>
      <x:c r="E37" s="7">
        <x:f>IF($A37="","",IF(Audit_Program!$K35=E$3,"●",""))</x:f>
      </x:c>
      <x:c r="F37" s="7">
        <x:f>IF($A37="","",IF(Audit_Program!$K35=F$3,"●",""))</x:f>
      </x:c>
      <x:c r="G37" s="7">
        <x:f>IF($A37="","",IF(Audit_Program!$K35=G$3,"●",""))</x:f>
      </x:c>
      <x:c r="H37" s="7">
        <x:f>IF($A37="","",IF(Audit_Program!$K35=H$3,"●",""))</x:f>
      </x:c>
      <x:c r="I37" s="7">
        <x:f>IF($A37="","",IF(Audit_Program!$K35=I$3,"●",""))</x:f>
      </x:c>
      <x:c r="J37" s="7">
        <x:f>IF($A37="","",IF(Audit_Program!$K35=J$3,"●",""))</x:f>
      </x:c>
      <x:c r="K37" s="7">
        <x:f>IF($A37="","",IF(Audit_Program!$K35=K$3,"●",""))</x:f>
      </x:c>
      <x:c r="L37" s="7">
        <x:f>IF($A37="","",IF(Audit_Program!$K35=L$3,"●",""))</x:f>
      </x:c>
      <x:c r="M37" s="7">
        <x:f>IF($A37="","",IF(Audit_Program!$K35=M$3,"●",""))</x:f>
      </x:c>
      <x:c r="N37" s="7">
        <x:f>IF($A37="","",IF(Audit_Program!$K35=N$3,"●",""))</x:f>
      </x:c>
    </x:row>
    <x:row r="38" ht="18" customHeight="1">
      <x:c r="A38" s="7">
        <x:f>IF(Audit_Program!A36="","",Audit_Program!A36)</x:f>
      </x:c>
      <x:c r="B38" s="6">
        <x:f>IF(Audit_Program!A36="","",Audit_Program!B36)</x:f>
      </x:c>
      <x:c r="C38" s="7">
        <x:f>IF($A38="","",IF(Audit_Program!$K36=C$3,"●",""))</x:f>
      </x:c>
      <x:c r="D38" s="7">
        <x:f>IF($A38="","",IF(Audit_Program!$K36=D$3,"●",""))</x:f>
      </x:c>
      <x:c r="E38" s="7">
        <x:f>IF($A38="","",IF(Audit_Program!$K36=E$3,"●",""))</x:f>
      </x:c>
      <x:c r="F38" s="7">
        <x:f>IF($A38="","",IF(Audit_Program!$K36=F$3,"●",""))</x:f>
      </x:c>
      <x:c r="G38" s="7">
        <x:f>IF($A38="","",IF(Audit_Program!$K36=G$3,"●",""))</x:f>
      </x:c>
      <x:c r="H38" s="7">
        <x:f>IF($A38="","",IF(Audit_Program!$K36=H$3,"●",""))</x:f>
      </x:c>
      <x:c r="I38" s="7">
        <x:f>IF($A38="","",IF(Audit_Program!$K36=I$3,"●",""))</x:f>
      </x:c>
      <x:c r="J38" s="7">
        <x:f>IF($A38="","",IF(Audit_Program!$K36=J$3,"●",""))</x:f>
      </x:c>
      <x:c r="K38" s="7">
        <x:f>IF($A38="","",IF(Audit_Program!$K36=K$3,"●",""))</x:f>
      </x:c>
      <x:c r="L38" s="7">
        <x:f>IF($A38="","",IF(Audit_Program!$K36=L$3,"●",""))</x:f>
      </x:c>
      <x:c r="M38" s="7">
        <x:f>IF($A38="","",IF(Audit_Program!$K36=M$3,"●",""))</x:f>
      </x:c>
      <x:c r="N38" s="7">
        <x:f>IF($A38="","",IF(Audit_Program!$K36=N$3,"●",""))</x:f>
      </x:c>
    </x:row>
    <x:row r="39" ht="18" customHeight="1">
      <x:c r="A39" s="7">
        <x:f>IF(Audit_Program!A37="","",Audit_Program!A37)</x:f>
      </x:c>
      <x:c r="B39" s="6">
        <x:f>IF(Audit_Program!A37="","",Audit_Program!B37)</x:f>
      </x:c>
      <x:c r="C39" s="7">
        <x:f>IF($A39="","",IF(Audit_Program!$K37=C$3,"●",""))</x:f>
      </x:c>
      <x:c r="D39" s="7">
        <x:f>IF($A39="","",IF(Audit_Program!$K37=D$3,"●",""))</x:f>
      </x:c>
      <x:c r="E39" s="7">
        <x:f>IF($A39="","",IF(Audit_Program!$K37=E$3,"●",""))</x:f>
      </x:c>
      <x:c r="F39" s="7">
        <x:f>IF($A39="","",IF(Audit_Program!$K37=F$3,"●",""))</x:f>
      </x:c>
      <x:c r="G39" s="7">
        <x:f>IF($A39="","",IF(Audit_Program!$K37=G$3,"●",""))</x:f>
      </x:c>
      <x:c r="H39" s="7">
        <x:f>IF($A39="","",IF(Audit_Program!$K37=H$3,"●",""))</x:f>
      </x:c>
      <x:c r="I39" s="7">
        <x:f>IF($A39="","",IF(Audit_Program!$K37=I$3,"●",""))</x:f>
      </x:c>
      <x:c r="J39" s="7">
        <x:f>IF($A39="","",IF(Audit_Program!$K37=J$3,"●",""))</x:f>
      </x:c>
      <x:c r="K39" s="7">
        <x:f>IF($A39="","",IF(Audit_Program!$K37=K$3,"●",""))</x:f>
      </x:c>
      <x:c r="L39" s="7">
        <x:f>IF($A39="","",IF(Audit_Program!$K37=L$3,"●",""))</x:f>
      </x:c>
      <x:c r="M39" s="7">
        <x:f>IF($A39="","",IF(Audit_Program!$K37=M$3,"●",""))</x:f>
      </x:c>
      <x:c r="N39" s="7">
        <x:f>IF($A39="","",IF(Audit_Program!$K37=N$3,"●",""))</x:f>
      </x:c>
    </x:row>
    <x:row r="40" ht="18" customHeight="1">
      <x:c r="A40" s="7">
        <x:f>IF(Audit_Program!A38="","",Audit_Program!A38)</x:f>
      </x:c>
      <x:c r="B40" s="6">
        <x:f>IF(Audit_Program!A38="","",Audit_Program!B38)</x:f>
      </x:c>
      <x:c r="C40" s="7">
        <x:f>IF($A40="","",IF(Audit_Program!$K38=C$3,"●",""))</x:f>
      </x:c>
      <x:c r="D40" s="7">
        <x:f>IF($A40="","",IF(Audit_Program!$K38=D$3,"●",""))</x:f>
      </x:c>
      <x:c r="E40" s="7">
        <x:f>IF($A40="","",IF(Audit_Program!$K38=E$3,"●",""))</x:f>
      </x:c>
      <x:c r="F40" s="7">
        <x:f>IF($A40="","",IF(Audit_Program!$K38=F$3,"●",""))</x:f>
      </x:c>
      <x:c r="G40" s="7">
        <x:f>IF($A40="","",IF(Audit_Program!$K38=G$3,"●",""))</x:f>
      </x:c>
      <x:c r="H40" s="7">
        <x:f>IF($A40="","",IF(Audit_Program!$K38=H$3,"●",""))</x:f>
      </x:c>
      <x:c r="I40" s="7">
        <x:f>IF($A40="","",IF(Audit_Program!$K38=I$3,"●",""))</x:f>
      </x:c>
      <x:c r="J40" s="7">
        <x:f>IF($A40="","",IF(Audit_Program!$K38=J$3,"●",""))</x:f>
      </x:c>
      <x:c r="K40" s="7">
        <x:f>IF($A40="","",IF(Audit_Program!$K38=K$3,"●",""))</x:f>
      </x:c>
      <x:c r="L40" s="7">
        <x:f>IF($A40="","",IF(Audit_Program!$K38=L$3,"●",""))</x:f>
      </x:c>
      <x:c r="M40" s="7">
        <x:f>IF($A40="","",IF(Audit_Program!$K38=M$3,"●",""))</x:f>
      </x:c>
      <x:c r="N40" s="7">
        <x:f>IF($A40="","",IF(Audit_Program!$K38=N$3,"●",""))</x:f>
      </x:c>
    </x:row>
    <x:row r="41" ht="18" customHeight="1">
      <x:c r="A41" s="7">
        <x:f>IF(Audit_Program!A39="","",Audit_Program!A39)</x:f>
      </x:c>
      <x:c r="B41" s="6">
        <x:f>IF(Audit_Program!A39="","",Audit_Program!B39)</x:f>
      </x:c>
      <x:c r="C41" s="7">
        <x:f>IF($A41="","",IF(Audit_Program!$K39=C$3,"●",""))</x:f>
      </x:c>
      <x:c r="D41" s="7">
        <x:f>IF($A41="","",IF(Audit_Program!$K39=D$3,"●",""))</x:f>
      </x:c>
      <x:c r="E41" s="7">
        <x:f>IF($A41="","",IF(Audit_Program!$K39=E$3,"●",""))</x:f>
      </x:c>
      <x:c r="F41" s="7">
        <x:f>IF($A41="","",IF(Audit_Program!$K39=F$3,"●",""))</x:f>
      </x:c>
      <x:c r="G41" s="7">
        <x:f>IF($A41="","",IF(Audit_Program!$K39=G$3,"●",""))</x:f>
      </x:c>
      <x:c r="H41" s="7">
        <x:f>IF($A41="","",IF(Audit_Program!$K39=H$3,"●",""))</x:f>
      </x:c>
      <x:c r="I41" s="7">
        <x:f>IF($A41="","",IF(Audit_Program!$K39=I$3,"●",""))</x:f>
      </x:c>
      <x:c r="J41" s="7">
        <x:f>IF($A41="","",IF(Audit_Program!$K39=J$3,"●",""))</x:f>
      </x:c>
      <x:c r="K41" s="7">
        <x:f>IF($A41="","",IF(Audit_Program!$K39=K$3,"●",""))</x:f>
      </x:c>
      <x:c r="L41" s="7">
        <x:f>IF($A41="","",IF(Audit_Program!$K39=L$3,"●",""))</x:f>
      </x:c>
      <x:c r="M41" s="7">
        <x:f>IF($A41="","",IF(Audit_Program!$K39=M$3,"●",""))</x:f>
      </x:c>
      <x:c r="N41" s="7">
        <x:f>IF($A41="","",IF(Audit_Program!$K39=N$3,"●",""))</x:f>
      </x:c>
    </x:row>
    <x:row r="42" ht="18" customHeight="1">
      <x:c r="A42" s="7">
        <x:f>IF(Audit_Program!A40="","",Audit_Program!A40)</x:f>
      </x:c>
      <x:c r="B42" s="6">
        <x:f>IF(Audit_Program!A40="","",Audit_Program!B40)</x:f>
      </x:c>
      <x:c r="C42" s="7">
        <x:f>IF($A42="","",IF(Audit_Program!$K40=C$3,"●",""))</x:f>
      </x:c>
      <x:c r="D42" s="7">
        <x:f>IF($A42="","",IF(Audit_Program!$K40=D$3,"●",""))</x:f>
      </x:c>
      <x:c r="E42" s="7">
        <x:f>IF($A42="","",IF(Audit_Program!$K40=E$3,"●",""))</x:f>
      </x:c>
      <x:c r="F42" s="7">
        <x:f>IF($A42="","",IF(Audit_Program!$K40=F$3,"●",""))</x:f>
      </x:c>
      <x:c r="G42" s="7">
        <x:f>IF($A42="","",IF(Audit_Program!$K40=G$3,"●",""))</x:f>
      </x:c>
      <x:c r="H42" s="7">
        <x:f>IF($A42="","",IF(Audit_Program!$K40=H$3,"●",""))</x:f>
      </x:c>
      <x:c r="I42" s="7">
        <x:f>IF($A42="","",IF(Audit_Program!$K40=I$3,"●",""))</x:f>
      </x:c>
      <x:c r="J42" s="7">
        <x:f>IF($A42="","",IF(Audit_Program!$K40=J$3,"●",""))</x:f>
      </x:c>
      <x:c r="K42" s="7">
        <x:f>IF($A42="","",IF(Audit_Program!$K40=K$3,"●",""))</x:f>
      </x:c>
      <x:c r="L42" s="7">
        <x:f>IF($A42="","",IF(Audit_Program!$K40=L$3,"●",""))</x:f>
      </x:c>
      <x:c r="M42" s="7">
        <x:f>IF($A42="","",IF(Audit_Program!$K40=M$3,"●",""))</x:f>
      </x:c>
      <x:c r="N42" s="7">
        <x:f>IF($A42="","",IF(Audit_Program!$K40=N$3,"●",""))</x:f>
      </x:c>
    </x:row>
    <x:row r="43" ht="18" customHeight="1">
      <x:c r="A43" s="7">
        <x:f>IF(Audit_Program!A41="","",Audit_Program!A41)</x:f>
      </x:c>
      <x:c r="B43" s="6">
        <x:f>IF(Audit_Program!A41="","",Audit_Program!B41)</x:f>
      </x:c>
      <x:c r="C43" s="7">
        <x:f>IF($A43="","",IF(Audit_Program!$K41=C$3,"●",""))</x:f>
      </x:c>
      <x:c r="D43" s="7">
        <x:f>IF($A43="","",IF(Audit_Program!$K41=D$3,"●",""))</x:f>
      </x:c>
      <x:c r="E43" s="7">
        <x:f>IF($A43="","",IF(Audit_Program!$K41=E$3,"●",""))</x:f>
      </x:c>
      <x:c r="F43" s="7">
        <x:f>IF($A43="","",IF(Audit_Program!$K41=F$3,"●",""))</x:f>
      </x:c>
      <x:c r="G43" s="7">
        <x:f>IF($A43="","",IF(Audit_Program!$K41=G$3,"●",""))</x:f>
      </x:c>
      <x:c r="H43" s="7">
        <x:f>IF($A43="","",IF(Audit_Program!$K41=H$3,"●",""))</x:f>
      </x:c>
      <x:c r="I43" s="7">
        <x:f>IF($A43="","",IF(Audit_Program!$K41=I$3,"●",""))</x:f>
      </x:c>
      <x:c r="J43" s="7">
        <x:f>IF($A43="","",IF(Audit_Program!$K41=J$3,"●",""))</x:f>
      </x:c>
      <x:c r="K43" s="7">
        <x:f>IF($A43="","",IF(Audit_Program!$K41=K$3,"●",""))</x:f>
      </x:c>
      <x:c r="L43" s="7">
        <x:f>IF($A43="","",IF(Audit_Program!$K41=L$3,"●",""))</x:f>
      </x:c>
      <x:c r="M43" s="7">
        <x:f>IF($A43="","",IF(Audit_Program!$K41=M$3,"●",""))</x:f>
      </x:c>
      <x:c r="N43" s="7">
        <x:f>IF($A43="","",IF(Audit_Program!$K41=N$3,"●",""))</x:f>
      </x:c>
    </x:row>
    <x:row r="44" ht="18" customHeight="1">
      <x:c r="A44" s="7">
        <x:f>IF(Audit_Program!A42="","",Audit_Program!A42)</x:f>
      </x:c>
      <x:c r="B44" s="6">
        <x:f>IF(Audit_Program!A42="","",Audit_Program!B42)</x:f>
      </x:c>
      <x:c r="C44" s="7">
        <x:f>IF($A44="","",IF(Audit_Program!$K42=C$3,"●",""))</x:f>
      </x:c>
      <x:c r="D44" s="7">
        <x:f>IF($A44="","",IF(Audit_Program!$K42=D$3,"●",""))</x:f>
      </x:c>
      <x:c r="E44" s="7">
        <x:f>IF($A44="","",IF(Audit_Program!$K42=E$3,"●",""))</x:f>
      </x:c>
      <x:c r="F44" s="7">
        <x:f>IF($A44="","",IF(Audit_Program!$K42=F$3,"●",""))</x:f>
      </x:c>
      <x:c r="G44" s="7">
        <x:f>IF($A44="","",IF(Audit_Program!$K42=G$3,"●",""))</x:f>
      </x:c>
      <x:c r="H44" s="7">
        <x:f>IF($A44="","",IF(Audit_Program!$K42=H$3,"●",""))</x:f>
      </x:c>
      <x:c r="I44" s="7">
        <x:f>IF($A44="","",IF(Audit_Program!$K42=I$3,"●",""))</x:f>
      </x:c>
      <x:c r="J44" s="7">
        <x:f>IF($A44="","",IF(Audit_Program!$K42=J$3,"●",""))</x:f>
      </x:c>
      <x:c r="K44" s="7">
        <x:f>IF($A44="","",IF(Audit_Program!$K42=K$3,"●",""))</x:f>
      </x:c>
      <x:c r="L44" s="7">
        <x:f>IF($A44="","",IF(Audit_Program!$K42=L$3,"●",""))</x:f>
      </x:c>
      <x:c r="M44" s="7">
        <x:f>IF($A44="","",IF(Audit_Program!$K42=M$3,"●",""))</x:f>
      </x:c>
      <x:c r="N44" s="7">
        <x:f>IF($A44="","",IF(Audit_Program!$K42=N$3,"●",""))</x:f>
      </x:c>
    </x:row>
    <x:row r="45" ht="18" customHeight="1">
      <x:c r="A45" s="7">
        <x:f>IF(Audit_Program!A43="","",Audit_Program!A43)</x:f>
      </x:c>
      <x:c r="B45" s="6">
        <x:f>IF(Audit_Program!A43="","",Audit_Program!B43)</x:f>
      </x:c>
      <x:c r="C45" s="7">
        <x:f>IF($A45="","",IF(Audit_Program!$K43=C$3,"●",""))</x:f>
      </x:c>
      <x:c r="D45" s="7">
        <x:f>IF($A45="","",IF(Audit_Program!$K43=D$3,"●",""))</x:f>
      </x:c>
      <x:c r="E45" s="7">
        <x:f>IF($A45="","",IF(Audit_Program!$K43=E$3,"●",""))</x:f>
      </x:c>
      <x:c r="F45" s="7">
        <x:f>IF($A45="","",IF(Audit_Program!$K43=F$3,"●",""))</x:f>
      </x:c>
      <x:c r="G45" s="7">
        <x:f>IF($A45="","",IF(Audit_Program!$K43=G$3,"●",""))</x:f>
      </x:c>
      <x:c r="H45" s="7">
        <x:f>IF($A45="","",IF(Audit_Program!$K43=H$3,"●",""))</x:f>
      </x:c>
      <x:c r="I45" s="7">
        <x:f>IF($A45="","",IF(Audit_Program!$K43=I$3,"●",""))</x:f>
      </x:c>
      <x:c r="J45" s="7">
        <x:f>IF($A45="","",IF(Audit_Program!$K43=J$3,"●",""))</x:f>
      </x:c>
      <x:c r="K45" s="7">
        <x:f>IF($A45="","",IF(Audit_Program!$K43=K$3,"●",""))</x:f>
      </x:c>
      <x:c r="L45" s="7">
        <x:f>IF($A45="","",IF(Audit_Program!$K43=L$3,"●",""))</x:f>
      </x:c>
      <x:c r="M45" s="7">
        <x:f>IF($A45="","",IF(Audit_Program!$K43=M$3,"●",""))</x:f>
      </x:c>
      <x:c r="N45" s="7">
        <x:f>IF($A45="","",IF(Audit_Program!$K43=N$3,"●",""))</x:f>
      </x:c>
    </x:row>
    <x:row r="46" ht="18" customHeight="1">
      <x:c r="A46" s="7">
        <x:f>IF(Audit_Program!A44="","",Audit_Program!A44)</x:f>
      </x:c>
      <x:c r="B46" s="6">
        <x:f>IF(Audit_Program!A44="","",Audit_Program!B44)</x:f>
      </x:c>
      <x:c r="C46" s="7">
        <x:f>IF($A46="","",IF(Audit_Program!$K44=C$3,"●",""))</x:f>
      </x:c>
      <x:c r="D46" s="7">
        <x:f>IF($A46="","",IF(Audit_Program!$K44=D$3,"●",""))</x:f>
      </x:c>
      <x:c r="E46" s="7">
        <x:f>IF($A46="","",IF(Audit_Program!$K44=E$3,"●",""))</x:f>
      </x:c>
      <x:c r="F46" s="7">
        <x:f>IF($A46="","",IF(Audit_Program!$K44=F$3,"●",""))</x:f>
      </x:c>
      <x:c r="G46" s="7">
        <x:f>IF($A46="","",IF(Audit_Program!$K44=G$3,"●",""))</x:f>
      </x:c>
      <x:c r="H46" s="7">
        <x:f>IF($A46="","",IF(Audit_Program!$K44=H$3,"●",""))</x:f>
      </x:c>
      <x:c r="I46" s="7">
        <x:f>IF($A46="","",IF(Audit_Program!$K44=I$3,"●",""))</x:f>
      </x:c>
      <x:c r="J46" s="7">
        <x:f>IF($A46="","",IF(Audit_Program!$K44=J$3,"●",""))</x:f>
      </x:c>
      <x:c r="K46" s="7">
        <x:f>IF($A46="","",IF(Audit_Program!$K44=K$3,"●",""))</x:f>
      </x:c>
      <x:c r="L46" s="7">
        <x:f>IF($A46="","",IF(Audit_Program!$K44=L$3,"●",""))</x:f>
      </x:c>
      <x:c r="M46" s="7">
        <x:f>IF($A46="","",IF(Audit_Program!$K44=M$3,"●",""))</x:f>
      </x:c>
      <x:c r="N46" s="7">
        <x:f>IF($A46="","",IF(Audit_Program!$K44=N$3,"●",""))</x:f>
      </x:c>
    </x:row>
    <x:row r="47" ht="18" customHeight="1">
      <x:c r="A47" s="7">
        <x:f>IF(Audit_Program!A45="","",Audit_Program!A45)</x:f>
      </x:c>
      <x:c r="B47" s="6">
        <x:f>IF(Audit_Program!A45="","",Audit_Program!B45)</x:f>
      </x:c>
      <x:c r="C47" s="7">
        <x:f>IF($A47="","",IF(Audit_Program!$K45=C$3,"●",""))</x:f>
      </x:c>
      <x:c r="D47" s="7">
        <x:f>IF($A47="","",IF(Audit_Program!$K45=D$3,"●",""))</x:f>
      </x:c>
      <x:c r="E47" s="7">
        <x:f>IF($A47="","",IF(Audit_Program!$K45=E$3,"●",""))</x:f>
      </x:c>
      <x:c r="F47" s="7">
        <x:f>IF($A47="","",IF(Audit_Program!$K45=F$3,"●",""))</x:f>
      </x:c>
      <x:c r="G47" s="7">
        <x:f>IF($A47="","",IF(Audit_Program!$K45=G$3,"●",""))</x:f>
      </x:c>
      <x:c r="H47" s="7">
        <x:f>IF($A47="","",IF(Audit_Program!$K45=H$3,"●",""))</x:f>
      </x:c>
      <x:c r="I47" s="7">
        <x:f>IF($A47="","",IF(Audit_Program!$K45=I$3,"●",""))</x:f>
      </x:c>
      <x:c r="J47" s="7">
        <x:f>IF($A47="","",IF(Audit_Program!$K45=J$3,"●",""))</x:f>
      </x:c>
      <x:c r="K47" s="7">
        <x:f>IF($A47="","",IF(Audit_Program!$K45=K$3,"●",""))</x:f>
      </x:c>
      <x:c r="L47" s="7">
        <x:f>IF($A47="","",IF(Audit_Program!$K45=L$3,"●",""))</x:f>
      </x:c>
      <x:c r="M47" s="7">
        <x:f>IF($A47="","",IF(Audit_Program!$K45=M$3,"●",""))</x:f>
      </x:c>
      <x:c r="N47" s="7">
        <x:f>IF($A47="","",IF(Audit_Program!$K45=N$3,"●",""))</x:f>
      </x:c>
    </x:row>
    <x:row r="48" ht="18" customHeight="1">
      <x:c r="A48" s="7">
        <x:f>IF(Audit_Program!A46="","",Audit_Program!A46)</x:f>
      </x:c>
      <x:c r="B48" s="6">
        <x:f>IF(Audit_Program!A46="","",Audit_Program!B46)</x:f>
      </x:c>
      <x:c r="C48" s="7">
        <x:f>IF($A48="","",IF(Audit_Program!$K46=C$3,"●",""))</x:f>
      </x:c>
      <x:c r="D48" s="7">
        <x:f>IF($A48="","",IF(Audit_Program!$K46=D$3,"●",""))</x:f>
      </x:c>
      <x:c r="E48" s="7">
        <x:f>IF($A48="","",IF(Audit_Program!$K46=E$3,"●",""))</x:f>
      </x:c>
      <x:c r="F48" s="7">
        <x:f>IF($A48="","",IF(Audit_Program!$K46=F$3,"●",""))</x:f>
      </x:c>
      <x:c r="G48" s="7">
        <x:f>IF($A48="","",IF(Audit_Program!$K46=G$3,"●",""))</x:f>
      </x:c>
      <x:c r="H48" s="7">
        <x:f>IF($A48="","",IF(Audit_Program!$K46=H$3,"●",""))</x:f>
      </x:c>
      <x:c r="I48" s="7">
        <x:f>IF($A48="","",IF(Audit_Program!$K46=I$3,"●",""))</x:f>
      </x:c>
      <x:c r="J48" s="7">
        <x:f>IF($A48="","",IF(Audit_Program!$K46=J$3,"●",""))</x:f>
      </x:c>
      <x:c r="K48" s="7">
        <x:f>IF($A48="","",IF(Audit_Program!$K46=K$3,"●",""))</x:f>
      </x:c>
      <x:c r="L48" s="7">
        <x:f>IF($A48="","",IF(Audit_Program!$K46=L$3,"●",""))</x:f>
      </x:c>
      <x:c r="M48" s="7">
        <x:f>IF($A48="","",IF(Audit_Program!$K46=M$3,"●",""))</x:f>
      </x:c>
      <x:c r="N48" s="7">
        <x:f>IF($A48="","",IF(Audit_Program!$K46=N$3,"●",""))</x:f>
      </x:c>
    </x:row>
    <x:row r="49" ht="18" customHeight="1">
      <x:c r="A49" s="7">
        <x:f>IF(Audit_Program!A47="","",Audit_Program!A47)</x:f>
      </x:c>
      <x:c r="B49" s="6">
        <x:f>IF(Audit_Program!A47="","",Audit_Program!B47)</x:f>
      </x:c>
      <x:c r="C49" s="7">
        <x:f>IF($A49="","",IF(Audit_Program!$K47=C$3,"●",""))</x:f>
      </x:c>
      <x:c r="D49" s="7">
        <x:f>IF($A49="","",IF(Audit_Program!$K47=D$3,"●",""))</x:f>
      </x:c>
      <x:c r="E49" s="7">
        <x:f>IF($A49="","",IF(Audit_Program!$K47=E$3,"●",""))</x:f>
      </x:c>
      <x:c r="F49" s="7">
        <x:f>IF($A49="","",IF(Audit_Program!$K47=F$3,"●",""))</x:f>
      </x:c>
      <x:c r="G49" s="7">
        <x:f>IF($A49="","",IF(Audit_Program!$K47=G$3,"●",""))</x:f>
      </x:c>
      <x:c r="H49" s="7">
        <x:f>IF($A49="","",IF(Audit_Program!$K47=H$3,"●",""))</x:f>
      </x:c>
      <x:c r="I49" s="7">
        <x:f>IF($A49="","",IF(Audit_Program!$K47=I$3,"●",""))</x:f>
      </x:c>
      <x:c r="J49" s="7">
        <x:f>IF($A49="","",IF(Audit_Program!$K47=J$3,"●",""))</x:f>
      </x:c>
      <x:c r="K49" s="7">
        <x:f>IF($A49="","",IF(Audit_Program!$K47=K$3,"●",""))</x:f>
      </x:c>
      <x:c r="L49" s="7">
        <x:f>IF($A49="","",IF(Audit_Program!$K47=L$3,"●",""))</x:f>
      </x:c>
      <x:c r="M49" s="7">
        <x:f>IF($A49="","",IF(Audit_Program!$K47=M$3,"●",""))</x:f>
      </x:c>
      <x:c r="N49" s="7">
        <x:f>IF($A49="","",IF(Audit_Program!$K47=N$3,"●",""))</x:f>
      </x:c>
    </x:row>
    <x:row r="50" ht="18" customHeight="1">
      <x:c r="A50" s="7">
        <x:f>IF(Audit_Program!A48="","",Audit_Program!A48)</x:f>
      </x:c>
      <x:c r="B50" s="6">
        <x:f>IF(Audit_Program!A48="","",Audit_Program!B48)</x:f>
      </x:c>
      <x:c r="C50" s="7">
        <x:f>IF($A50="","",IF(Audit_Program!$K48=C$3,"●",""))</x:f>
      </x:c>
      <x:c r="D50" s="7">
        <x:f>IF($A50="","",IF(Audit_Program!$K48=D$3,"●",""))</x:f>
      </x:c>
      <x:c r="E50" s="7">
        <x:f>IF($A50="","",IF(Audit_Program!$K48=E$3,"●",""))</x:f>
      </x:c>
      <x:c r="F50" s="7">
        <x:f>IF($A50="","",IF(Audit_Program!$K48=F$3,"●",""))</x:f>
      </x:c>
      <x:c r="G50" s="7">
        <x:f>IF($A50="","",IF(Audit_Program!$K48=G$3,"●",""))</x:f>
      </x:c>
      <x:c r="H50" s="7">
        <x:f>IF($A50="","",IF(Audit_Program!$K48=H$3,"●",""))</x:f>
      </x:c>
      <x:c r="I50" s="7">
        <x:f>IF($A50="","",IF(Audit_Program!$K48=I$3,"●",""))</x:f>
      </x:c>
      <x:c r="J50" s="7">
        <x:f>IF($A50="","",IF(Audit_Program!$K48=J$3,"●",""))</x:f>
      </x:c>
      <x:c r="K50" s="7">
        <x:f>IF($A50="","",IF(Audit_Program!$K48=K$3,"●",""))</x:f>
      </x:c>
      <x:c r="L50" s="7">
        <x:f>IF($A50="","",IF(Audit_Program!$K48=L$3,"●",""))</x:f>
      </x:c>
      <x:c r="M50" s="7">
        <x:f>IF($A50="","",IF(Audit_Program!$K48=M$3,"●",""))</x:f>
      </x:c>
      <x:c r="N50" s="7">
        <x:f>IF($A50="","",IF(Audit_Program!$K48=N$3,"●",""))</x:f>
      </x:c>
    </x:row>
    <x:row r="51" ht="18" customHeight="1">
      <x:c r="A51" s="7">
        <x:f>IF(Audit_Program!A49="","",Audit_Program!A49)</x:f>
      </x:c>
      <x:c r="B51" s="6">
        <x:f>IF(Audit_Program!A49="","",Audit_Program!B49)</x:f>
      </x:c>
      <x:c r="C51" s="7">
        <x:f>IF($A51="","",IF(Audit_Program!$K49=C$3,"●",""))</x:f>
      </x:c>
      <x:c r="D51" s="7">
        <x:f>IF($A51="","",IF(Audit_Program!$K49=D$3,"●",""))</x:f>
      </x:c>
      <x:c r="E51" s="7">
        <x:f>IF($A51="","",IF(Audit_Program!$K49=E$3,"●",""))</x:f>
      </x:c>
      <x:c r="F51" s="7">
        <x:f>IF($A51="","",IF(Audit_Program!$K49=F$3,"●",""))</x:f>
      </x:c>
      <x:c r="G51" s="7">
        <x:f>IF($A51="","",IF(Audit_Program!$K49=G$3,"●",""))</x:f>
      </x:c>
      <x:c r="H51" s="7">
        <x:f>IF($A51="","",IF(Audit_Program!$K49=H$3,"●",""))</x:f>
      </x:c>
      <x:c r="I51" s="7">
        <x:f>IF($A51="","",IF(Audit_Program!$K49=I$3,"●",""))</x:f>
      </x:c>
      <x:c r="J51" s="7">
        <x:f>IF($A51="","",IF(Audit_Program!$K49=J$3,"●",""))</x:f>
      </x:c>
      <x:c r="K51" s="7">
        <x:f>IF($A51="","",IF(Audit_Program!$K49=K$3,"●",""))</x:f>
      </x:c>
      <x:c r="L51" s="7">
        <x:f>IF($A51="","",IF(Audit_Program!$K49=L$3,"●",""))</x:f>
      </x:c>
      <x:c r="M51" s="7">
        <x:f>IF($A51="","",IF(Audit_Program!$K49=M$3,"●",""))</x:f>
      </x:c>
      <x:c r="N51" s="7">
        <x:f>IF($A51="","",IF(Audit_Program!$K49=N$3,"●",""))</x:f>
      </x:c>
    </x:row>
    <x:row r="52" ht="18" customHeight="1">
      <x:c r="A52" s="7">
        <x:f>IF(Audit_Program!A50="","",Audit_Program!A50)</x:f>
      </x:c>
      <x:c r="B52" s="6">
        <x:f>IF(Audit_Program!A50="","",Audit_Program!B50)</x:f>
      </x:c>
      <x:c r="C52" s="7">
        <x:f>IF($A52="","",IF(Audit_Program!$K50=C$3,"●",""))</x:f>
      </x:c>
      <x:c r="D52" s="7">
        <x:f>IF($A52="","",IF(Audit_Program!$K50=D$3,"●",""))</x:f>
      </x:c>
      <x:c r="E52" s="7">
        <x:f>IF($A52="","",IF(Audit_Program!$K50=E$3,"●",""))</x:f>
      </x:c>
      <x:c r="F52" s="7">
        <x:f>IF($A52="","",IF(Audit_Program!$K50=F$3,"●",""))</x:f>
      </x:c>
      <x:c r="G52" s="7">
        <x:f>IF($A52="","",IF(Audit_Program!$K50=G$3,"●",""))</x:f>
      </x:c>
      <x:c r="H52" s="7">
        <x:f>IF($A52="","",IF(Audit_Program!$K50=H$3,"●",""))</x:f>
      </x:c>
      <x:c r="I52" s="7">
        <x:f>IF($A52="","",IF(Audit_Program!$K50=I$3,"●",""))</x:f>
      </x:c>
      <x:c r="J52" s="7">
        <x:f>IF($A52="","",IF(Audit_Program!$K50=J$3,"●",""))</x:f>
      </x:c>
      <x:c r="K52" s="7">
        <x:f>IF($A52="","",IF(Audit_Program!$K50=K$3,"●",""))</x:f>
      </x:c>
      <x:c r="L52" s="7">
        <x:f>IF($A52="","",IF(Audit_Program!$K50=L$3,"●",""))</x:f>
      </x:c>
      <x:c r="M52" s="7">
        <x:f>IF($A52="","",IF(Audit_Program!$K50=M$3,"●",""))</x:f>
      </x:c>
      <x:c r="N52" s="7">
        <x:f>IF($A52="","",IF(Audit_Program!$K50=N$3,"●",""))</x:f>
      </x:c>
    </x:row>
    <x:row r="53" ht="18" customHeight="1">
      <x:c r="A53" s="7">
        <x:f>IF(Audit_Program!A51="","",Audit_Program!A51)</x:f>
      </x:c>
      <x:c r="B53" s="6">
        <x:f>IF(Audit_Program!A51="","",Audit_Program!B51)</x:f>
      </x:c>
      <x:c r="C53" s="7">
        <x:f>IF($A53="","",IF(Audit_Program!$K51=C$3,"●",""))</x:f>
      </x:c>
      <x:c r="D53" s="7">
        <x:f>IF($A53="","",IF(Audit_Program!$K51=D$3,"●",""))</x:f>
      </x:c>
      <x:c r="E53" s="7">
        <x:f>IF($A53="","",IF(Audit_Program!$K51=E$3,"●",""))</x:f>
      </x:c>
      <x:c r="F53" s="7">
        <x:f>IF($A53="","",IF(Audit_Program!$K51=F$3,"●",""))</x:f>
      </x:c>
      <x:c r="G53" s="7">
        <x:f>IF($A53="","",IF(Audit_Program!$K51=G$3,"●",""))</x:f>
      </x:c>
      <x:c r="H53" s="7">
        <x:f>IF($A53="","",IF(Audit_Program!$K51=H$3,"●",""))</x:f>
      </x:c>
      <x:c r="I53" s="7">
        <x:f>IF($A53="","",IF(Audit_Program!$K51=I$3,"●",""))</x:f>
      </x:c>
      <x:c r="J53" s="7">
        <x:f>IF($A53="","",IF(Audit_Program!$K51=J$3,"●",""))</x:f>
      </x:c>
      <x:c r="K53" s="7">
        <x:f>IF($A53="","",IF(Audit_Program!$K51=K$3,"●",""))</x:f>
      </x:c>
      <x:c r="L53" s="7">
        <x:f>IF($A53="","",IF(Audit_Program!$K51=L$3,"●",""))</x:f>
      </x:c>
      <x:c r="M53" s="7">
        <x:f>IF($A53="","",IF(Audit_Program!$K51=M$3,"●",""))</x:f>
      </x:c>
      <x:c r="N53" s="7">
        <x:f>IF($A53="","",IF(Audit_Program!$K51=N$3,"●",""))</x:f>
      </x:c>
    </x:row>
    <x:row r="54" ht="18" customHeight="1">
      <x:c r="A54" s="7">
        <x:f>IF(Audit_Program!A52="","",Audit_Program!A52)</x:f>
      </x:c>
      <x:c r="B54" s="6">
        <x:f>IF(Audit_Program!A52="","",Audit_Program!B52)</x:f>
      </x:c>
      <x:c r="C54" s="7">
        <x:f>IF($A54="","",IF(Audit_Program!$K52=C$3,"●",""))</x:f>
      </x:c>
      <x:c r="D54" s="7">
        <x:f>IF($A54="","",IF(Audit_Program!$K52=D$3,"●",""))</x:f>
      </x:c>
      <x:c r="E54" s="7">
        <x:f>IF($A54="","",IF(Audit_Program!$K52=E$3,"●",""))</x:f>
      </x:c>
      <x:c r="F54" s="7">
        <x:f>IF($A54="","",IF(Audit_Program!$K52=F$3,"●",""))</x:f>
      </x:c>
      <x:c r="G54" s="7">
        <x:f>IF($A54="","",IF(Audit_Program!$K52=G$3,"●",""))</x:f>
      </x:c>
      <x:c r="H54" s="7">
        <x:f>IF($A54="","",IF(Audit_Program!$K52=H$3,"●",""))</x:f>
      </x:c>
      <x:c r="I54" s="7">
        <x:f>IF($A54="","",IF(Audit_Program!$K52=I$3,"●",""))</x:f>
      </x:c>
      <x:c r="J54" s="7">
        <x:f>IF($A54="","",IF(Audit_Program!$K52=J$3,"●",""))</x:f>
      </x:c>
      <x:c r="K54" s="7">
        <x:f>IF($A54="","",IF(Audit_Program!$K52=K$3,"●",""))</x:f>
      </x:c>
      <x:c r="L54" s="7">
        <x:f>IF($A54="","",IF(Audit_Program!$K52=L$3,"●",""))</x:f>
      </x:c>
      <x:c r="M54" s="7">
        <x:f>IF($A54="","",IF(Audit_Program!$K52=M$3,"●",""))</x:f>
      </x:c>
      <x:c r="N54" s="7">
        <x:f>IF($A54="","",IF(Audit_Program!$K52=N$3,"●",""))</x:f>
      </x:c>
    </x:row>
    <x:row r="55" ht="18" customHeight="1">
      <x:c r="A55" s="7">
        <x:f>IF(Audit_Program!A53="","",Audit_Program!A53)</x:f>
      </x:c>
      <x:c r="B55" s="6">
        <x:f>IF(Audit_Program!A53="","",Audit_Program!B53)</x:f>
      </x:c>
      <x:c r="C55" s="7">
        <x:f>IF($A55="","",IF(Audit_Program!$K53=C$3,"●",""))</x:f>
      </x:c>
      <x:c r="D55" s="7">
        <x:f>IF($A55="","",IF(Audit_Program!$K53=D$3,"●",""))</x:f>
      </x:c>
      <x:c r="E55" s="7">
        <x:f>IF($A55="","",IF(Audit_Program!$K53=E$3,"●",""))</x:f>
      </x:c>
      <x:c r="F55" s="7">
        <x:f>IF($A55="","",IF(Audit_Program!$K53=F$3,"●",""))</x:f>
      </x:c>
      <x:c r="G55" s="7">
        <x:f>IF($A55="","",IF(Audit_Program!$K53=G$3,"●",""))</x:f>
      </x:c>
      <x:c r="H55" s="7">
        <x:f>IF($A55="","",IF(Audit_Program!$K53=H$3,"●",""))</x:f>
      </x:c>
      <x:c r="I55" s="7">
        <x:f>IF($A55="","",IF(Audit_Program!$K53=I$3,"●",""))</x:f>
      </x:c>
      <x:c r="J55" s="7">
        <x:f>IF($A55="","",IF(Audit_Program!$K53=J$3,"●",""))</x:f>
      </x:c>
      <x:c r="K55" s="7">
        <x:f>IF($A55="","",IF(Audit_Program!$K53=K$3,"●",""))</x:f>
      </x:c>
      <x:c r="L55" s="7">
        <x:f>IF($A55="","",IF(Audit_Program!$K53=L$3,"●",""))</x:f>
      </x:c>
      <x:c r="M55" s="7">
        <x:f>IF($A55="","",IF(Audit_Program!$K53=M$3,"●",""))</x:f>
      </x:c>
      <x:c r="N55" s="7">
        <x:f>IF($A55="","",IF(Audit_Program!$K53=N$3,"●",""))</x:f>
      </x:c>
    </x:row>
    <x:row r="56" ht="18" customHeight="1">
      <x:c r="A56" s="7">
        <x:f>IF(Audit_Program!A54="","",Audit_Program!A54)</x:f>
      </x:c>
      <x:c r="B56" s="6">
        <x:f>IF(Audit_Program!A54="","",Audit_Program!B54)</x:f>
      </x:c>
      <x:c r="C56" s="7">
        <x:f>IF($A56="","",IF(Audit_Program!$K54=C$3,"●",""))</x:f>
      </x:c>
      <x:c r="D56" s="7">
        <x:f>IF($A56="","",IF(Audit_Program!$K54=D$3,"●",""))</x:f>
      </x:c>
      <x:c r="E56" s="7">
        <x:f>IF($A56="","",IF(Audit_Program!$K54=E$3,"●",""))</x:f>
      </x:c>
      <x:c r="F56" s="7">
        <x:f>IF($A56="","",IF(Audit_Program!$K54=F$3,"●",""))</x:f>
      </x:c>
      <x:c r="G56" s="7">
        <x:f>IF($A56="","",IF(Audit_Program!$K54=G$3,"●",""))</x:f>
      </x:c>
      <x:c r="H56" s="7">
        <x:f>IF($A56="","",IF(Audit_Program!$K54=H$3,"●",""))</x:f>
      </x:c>
      <x:c r="I56" s="7">
        <x:f>IF($A56="","",IF(Audit_Program!$K54=I$3,"●",""))</x:f>
      </x:c>
      <x:c r="J56" s="7">
        <x:f>IF($A56="","",IF(Audit_Program!$K54=J$3,"●",""))</x:f>
      </x:c>
      <x:c r="K56" s="7">
        <x:f>IF($A56="","",IF(Audit_Program!$K54=K$3,"●",""))</x:f>
      </x:c>
      <x:c r="L56" s="7">
        <x:f>IF($A56="","",IF(Audit_Program!$K54=L$3,"●",""))</x:f>
      </x:c>
      <x:c r="M56" s="7">
        <x:f>IF($A56="","",IF(Audit_Program!$K54=M$3,"●",""))</x:f>
      </x:c>
      <x:c r="N56" s="7">
        <x:f>IF($A56="","",IF(Audit_Program!$K54=N$3,"●",""))</x:f>
      </x:c>
    </x:row>
    <x:row r="57" ht="18" customHeight="1">
      <x:c r="A57" s="7">
        <x:f>IF(Audit_Program!A55="","",Audit_Program!A55)</x:f>
      </x:c>
      <x:c r="B57" s="6">
        <x:f>IF(Audit_Program!A55="","",Audit_Program!B55)</x:f>
      </x:c>
      <x:c r="C57" s="7">
        <x:f>IF($A57="","",IF(Audit_Program!$K55=C$3,"●",""))</x:f>
      </x:c>
      <x:c r="D57" s="7">
        <x:f>IF($A57="","",IF(Audit_Program!$K55=D$3,"●",""))</x:f>
      </x:c>
      <x:c r="E57" s="7">
        <x:f>IF($A57="","",IF(Audit_Program!$K55=E$3,"●",""))</x:f>
      </x:c>
      <x:c r="F57" s="7">
        <x:f>IF($A57="","",IF(Audit_Program!$K55=F$3,"●",""))</x:f>
      </x:c>
      <x:c r="G57" s="7">
        <x:f>IF($A57="","",IF(Audit_Program!$K55=G$3,"●",""))</x:f>
      </x:c>
      <x:c r="H57" s="7">
        <x:f>IF($A57="","",IF(Audit_Program!$K55=H$3,"●",""))</x:f>
      </x:c>
      <x:c r="I57" s="7">
        <x:f>IF($A57="","",IF(Audit_Program!$K55=I$3,"●",""))</x:f>
      </x:c>
      <x:c r="J57" s="7">
        <x:f>IF($A57="","",IF(Audit_Program!$K55=J$3,"●",""))</x:f>
      </x:c>
      <x:c r="K57" s="7">
        <x:f>IF($A57="","",IF(Audit_Program!$K55=K$3,"●",""))</x:f>
      </x:c>
      <x:c r="L57" s="7">
        <x:f>IF($A57="","",IF(Audit_Program!$K55=L$3,"●",""))</x:f>
      </x:c>
      <x:c r="M57" s="7">
        <x:f>IF($A57="","",IF(Audit_Program!$K55=M$3,"●",""))</x:f>
      </x:c>
      <x:c r="N57" s="7">
        <x:f>IF($A57="","",IF(Audit_Program!$K55=N$3,"●",""))</x:f>
      </x:c>
    </x:row>
    <x:row r="58" ht="18" customHeight="1">
      <x:c r="A58" s="7">
        <x:f>IF(Audit_Program!A56="","",Audit_Program!A56)</x:f>
      </x:c>
      <x:c r="B58" s="6">
        <x:f>IF(Audit_Program!A56="","",Audit_Program!B56)</x:f>
      </x:c>
      <x:c r="C58" s="7">
        <x:f>IF($A58="","",IF(Audit_Program!$K56=C$3,"●",""))</x:f>
      </x:c>
      <x:c r="D58" s="7">
        <x:f>IF($A58="","",IF(Audit_Program!$K56=D$3,"●",""))</x:f>
      </x:c>
      <x:c r="E58" s="7">
        <x:f>IF($A58="","",IF(Audit_Program!$K56=E$3,"●",""))</x:f>
      </x:c>
      <x:c r="F58" s="7">
        <x:f>IF($A58="","",IF(Audit_Program!$K56=F$3,"●",""))</x:f>
      </x:c>
      <x:c r="G58" s="7">
        <x:f>IF($A58="","",IF(Audit_Program!$K56=G$3,"●",""))</x:f>
      </x:c>
      <x:c r="H58" s="7">
        <x:f>IF($A58="","",IF(Audit_Program!$K56=H$3,"●",""))</x:f>
      </x:c>
      <x:c r="I58" s="7">
        <x:f>IF($A58="","",IF(Audit_Program!$K56=I$3,"●",""))</x:f>
      </x:c>
      <x:c r="J58" s="7">
        <x:f>IF($A58="","",IF(Audit_Program!$K56=J$3,"●",""))</x:f>
      </x:c>
      <x:c r="K58" s="7">
        <x:f>IF($A58="","",IF(Audit_Program!$K56=K$3,"●",""))</x:f>
      </x:c>
      <x:c r="L58" s="7">
        <x:f>IF($A58="","",IF(Audit_Program!$K56=L$3,"●",""))</x:f>
      </x:c>
      <x:c r="M58" s="7">
        <x:f>IF($A58="","",IF(Audit_Program!$K56=M$3,"●",""))</x:f>
      </x:c>
      <x:c r="N58" s="7">
        <x:f>IF($A58="","",IF(Audit_Program!$K56=N$3,"●",""))</x:f>
      </x:c>
    </x:row>
    <x:row r="59" ht="18" customHeight="1">
      <x:c r="A59" s="7">
        <x:f>IF(Audit_Program!A57="","",Audit_Program!A57)</x:f>
      </x:c>
      <x:c r="B59" s="6">
        <x:f>IF(Audit_Program!A57="","",Audit_Program!B57)</x:f>
      </x:c>
      <x:c r="C59" s="7">
        <x:f>IF($A59="","",IF(Audit_Program!$K57=C$3,"●",""))</x:f>
      </x:c>
      <x:c r="D59" s="7">
        <x:f>IF($A59="","",IF(Audit_Program!$K57=D$3,"●",""))</x:f>
      </x:c>
      <x:c r="E59" s="7">
        <x:f>IF($A59="","",IF(Audit_Program!$K57=E$3,"●",""))</x:f>
      </x:c>
      <x:c r="F59" s="7">
        <x:f>IF($A59="","",IF(Audit_Program!$K57=F$3,"●",""))</x:f>
      </x:c>
      <x:c r="G59" s="7">
        <x:f>IF($A59="","",IF(Audit_Program!$K57=G$3,"●",""))</x:f>
      </x:c>
      <x:c r="H59" s="7">
        <x:f>IF($A59="","",IF(Audit_Program!$K57=H$3,"●",""))</x:f>
      </x:c>
      <x:c r="I59" s="7">
        <x:f>IF($A59="","",IF(Audit_Program!$K57=I$3,"●",""))</x:f>
      </x:c>
      <x:c r="J59" s="7">
        <x:f>IF($A59="","",IF(Audit_Program!$K57=J$3,"●",""))</x:f>
      </x:c>
      <x:c r="K59" s="7">
        <x:f>IF($A59="","",IF(Audit_Program!$K57=K$3,"●",""))</x:f>
      </x:c>
      <x:c r="L59" s="7">
        <x:f>IF($A59="","",IF(Audit_Program!$K57=L$3,"●",""))</x:f>
      </x:c>
      <x:c r="M59" s="7">
        <x:f>IF($A59="","",IF(Audit_Program!$K57=M$3,"●",""))</x:f>
      </x:c>
      <x:c r="N59" s="7">
        <x:f>IF($A59="","",IF(Audit_Program!$K57=N$3,"●",""))</x:f>
      </x:c>
    </x:row>
    <x:row r="60" ht="18" customHeight="1">
      <x:c r="A60" s="7">
        <x:f>IF(Audit_Program!A58="","",Audit_Program!A58)</x:f>
      </x:c>
      <x:c r="B60" s="6">
        <x:f>IF(Audit_Program!A58="","",Audit_Program!B58)</x:f>
      </x:c>
      <x:c r="C60" s="7">
        <x:f>IF($A60="","",IF(Audit_Program!$K58=C$3,"●",""))</x:f>
      </x:c>
      <x:c r="D60" s="7">
        <x:f>IF($A60="","",IF(Audit_Program!$K58=D$3,"●",""))</x:f>
      </x:c>
      <x:c r="E60" s="7">
        <x:f>IF($A60="","",IF(Audit_Program!$K58=E$3,"●",""))</x:f>
      </x:c>
      <x:c r="F60" s="7">
        <x:f>IF($A60="","",IF(Audit_Program!$K58=F$3,"●",""))</x:f>
      </x:c>
      <x:c r="G60" s="7">
        <x:f>IF($A60="","",IF(Audit_Program!$K58=G$3,"●",""))</x:f>
      </x:c>
      <x:c r="H60" s="7">
        <x:f>IF($A60="","",IF(Audit_Program!$K58=H$3,"●",""))</x:f>
      </x:c>
      <x:c r="I60" s="7">
        <x:f>IF($A60="","",IF(Audit_Program!$K58=I$3,"●",""))</x:f>
      </x:c>
      <x:c r="J60" s="7">
        <x:f>IF($A60="","",IF(Audit_Program!$K58=J$3,"●",""))</x:f>
      </x:c>
      <x:c r="K60" s="7">
        <x:f>IF($A60="","",IF(Audit_Program!$K58=K$3,"●",""))</x:f>
      </x:c>
      <x:c r="L60" s="7">
        <x:f>IF($A60="","",IF(Audit_Program!$K58=L$3,"●",""))</x:f>
      </x:c>
      <x:c r="M60" s="7">
        <x:f>IF($A60="","",IF(Audit_Program!$K58=M$3,"●",""))</x:f>
      </x:c>
      <x:c r="N60" s="7">
        <x:f>IF($A60="","",IF(Audit_Program!$K58=N$3,"●",""))</x:f>
      </x:c>
    </x:row>
    <x:row r="61" ht="18" customHeight="1">
      <x:c r="A61" s="7">
        <x:f>IF(Audit_Program!A59="","",Audit_Program!A59)</x:f>
      </x:c>
      <x:c r="B61" s="6">
        <x:f>IF(Audit_Program!A59="","",Audit_Program!B59)</x:f>
      </x:c>
      <x:c r="C61" s="7">
        <x:f>IF($A61="","",IF(Audit_Program!$K59=C$3,"●",""))</x:f>
      </x:c>
      <x:c r="D61" s="7">
        <x:f>IF($A61="","",IF(Audit_Program!$K59=D$3,"●",""))</x:f>
      </x:c>
      <x:c r="E61" s="7">
        <x:f>IF($A61="","",IF(Audit_Program!$K59=E$3,"●",""))</x:f>
      </x:c>
      <x:c r="F61" s="7">
        <x:f>IF($A61="","",IF(Audit_Program!$K59=F$3,"●",""))</x:f>
      </x:c>
      <x:c r="G61" s="7">
        <x:f>IF($A61="","",IF(Audit_Program!$K59=G$3,"●",""))</x:f>
      </x:c>
      <x:c r="H61" s="7">
        <x:f>IF($A61="","",IF(Audit_Program!$K59=H$3,"●",""))</x:f>
      </x:c>
      <x:c r="I61" s="7">
        <x:f>IF($A61="","",IF(Audit_Program!$K59=I$3,"●",""))</x:f>
      </x:c>
      <x:c r="J61" s="7">
        <x:f>IF($A61="","",IF(Audit_Program!$K59=J$3,"●",""))</x:f>
      </x:c>
      <x:c r="K61" s="7">
        <x:f>IF($A61="","",IF(Audit_Program!$K59=K$3,"●",""))</x:f>
      </x:c>
      <x:c r="L61" s="7">
        <x:f>IF($A61="","",IF(Audit_Program!$K59=L$3,"●",""))</x:f>
      </x:c>
      <x:c r="M61" s="7">
        <x:f>IF($A61="","",IF(Audit_Program!$K59=M$3,"●",""))</x:f>
      </x:c>
      <x:c r="N61" s="7">
        <x:f>IF($A61="","",IF(Audit_Program!$K59=N$3,"●",""))</x:f>
      </x:c>
    </x:row>
    <x:row r="62" ht="18" customHeight="1">
      <x:c r="A62" s="7">
        <x:f>IF(Audit_Program!A60="","",Audit_Program!A60)</x:f>
      </x:c>
      <x:c r="B62" s="6">
        <x:f>IF(Audit_Program!A60="","",Audit_Program!B60)</x:f>
      </x:c>
      <x:c r="C62" s="7">
        <x:f>IF($A62="","",IF(Audit_Program!$K60=C$3,"●",""))</x:f>
      </x:c>
      <x:c r="D62" s="7">
        <x:f>IF($A62="","",IF(Audit_Program!$K60=D$3,"●",""))</x:f>
      </x:c>
      <x:c r="E62" s="7">
        <x:f>IF($A62="","",IF(Audit_Program!$K60=E$3,"●",""))</x:f>
      </x:c>
      <x:c r="F62" s="7">
        <x:f>IF($A62="","",IF(Audit_Program!$K60=F$3,"●",""))</x:f>
      </x:c>
      <x:c r="G62" s="7">
        <x:f>IF($A62="","",IF(Audit_Program!$K60=G$3,"●",""))</x:f>
      </x:c>
      <x:c r="H62" s="7">
        <x:f>IF($A62="","",IF(Audit_Program!$K60=H$3,"●",""))</x:f>
      </x:c>
      <x:c r="I62" s="7">
        <x:f>IF($A62="","",IF(Audit_Program!$K60=I$3,"●",""))</x:f>
      </x:c>
      <x:c r="J62" s="7">
        <x:f>IF($A62="","",IF(Audit_Program!$K60=J$3,"●",""))</x:f>
      </x:c>
      <x:c r="K62" s="7">
        <x:f>IF($A62="","",IF(Audit_Program!$K60=K$3,"●",""))</x:f>
      </x:c>
      <x:c r="L62" s="7">
        <x:f>IF($A62="","",IF(Audit_Program!$K60=L$3,"●",""))</x:f>
      </x:c>
      <x:c r="M62" s="7">
        <x:f>IF($A62="","",IF(Audit_Program!$K60=M$3,"●",""))</x:f>
      </x:c>
      <x:c r="N62" s="7">
        <x:f>IF($A62="","",IF(Audit_Program!$K60=N$3,"●",""))</x:f>
      </x:c>
    </x:row>
    <x:row r="63" ht="18" customHeight="1">
      <x:c r="A63" s="7">
        <x:f>IF(Audit_Program!A61="","",Audit_Program!A61)</x:f>
      </x:c>
      <x:c r="B63" s="6">
        <x:f>IF(Audit_Program!A61="","",Audit_Program!B61)</x:f>
      </x:c>
      <x:c r="C63" s="7">
        <x:f>IF($A63="","",IF(Audit_Program!$K61=C$3,"●",""))</x:f>
      </x:c>
      <x:c r="D63" s="7">
        <x:f>IF($A63="","",IF(Audit_Program!$K61=D$3,"●",""))</x:f>
      </x:c>
      <x:c r="E63" s="7">
        <x:f>IF($A63="","",IF(Audit_Program!$K61=E$3,"●",""))</x:f>
      </x:c>
      <x:c r="F63" s="7">
        <x:f>IF($A63="","",IF(Audit_Program!$K61=F$3,"●",""))</x:f>
      </x:c>
      <x:c r="G63" s="7">
        <x:f>IF($A63="","",IF(Audit_Program!$K61=G$3,"●",""))</x:f>
      </x:c>
      <x:c r="H63" s="7">
        <x:f>IF($A63="","",IF(Audit_Program!$K61=H$3,"●",""))</x:f>
      </x:c>
      <x:c r="I63" s="7">
        <x:f>IF($A63="","",IF(Audit_Program!$K61=I$3,"●",""))</x:f>
      </x:c>
      <x:c r="J63" s="7">
        <x:f>IF($A63="","",IF(Audit_Program!$K61=J$3,"●",""))</x:f>
      </x:c>
      <x:c r="K63" s="7">
        <x:f>IF($A63="","",IF(Audit_Program!$K61=K$3,"●",""))</x:f>
      </x:c>
      <x:c r="L63" s="7">
        <x:f>IF($A63="","",IF(Audit_Program!$K61=L$3,"●",""))</x:f>
      </x:c>
      <x:c r="M63" s="7">
        <x:f>IF($A63="","",IF(Audit_Program!$K61=M$3,"●",""))</x:f>
      </x:c>
      <x:c r="N63" s="7">
        <x:f>IF($A63="","",IF(Audit_Program!$K61=N$3,"●",""))</x:f>
      </x:c>
    </x:row>
    <x:row r="64" ht="18" customHeight="1">
      <x:c r="A64" s="7">
        <x:f>IF(Audit_Program!A62="","",Audit_Program!A62)</x:f>
      </x:c>
      <x:c r="B64" s="6">
        <x:f>IF(Audit_Program!A62="","",Audit_Program!B62)</x:f>
      </x:c>
      <x:c r="C64" s="7">
        <x:f>IF($A64="","",IF(Audit_Program!$K62=C$3,"●",""))</x:f>
      </x:c>
      <x:c r="D64" s="7">
        <x:f>IF($A64="","",IF(Audit_Program!$K62=D$3,"●",""))</x:f>
      </x:c>
      <x:c r="E64" s="7">
        <x:f>IF($A64="","",IF(Audit_Program!$K62=E$3,"●",""))</x:f>
      </x:c>
      <x:c r="F64" s="7">
        <x:f>IF($A64="","",IF(Audit_Program!$K62=F$3,"●",""))</x:f>
      </x:c>
      <x:c r="G64" s="7">
        <x:f>IF($A64="","",IF(Audit_Program!$K62=G$3,"●",""))</x:f>
      </x:c>
      <x:c r="H64" s="7">
        <x:f>IF($A64="","",IF(Audit_Program!$K62=H$3,"●",""))</x:f>
      </x:c>
      <x:c r="I64" s="7">
        <x:f>IF($A64="","",IF(Audit_Program!$K62=I$3,"●",""))</x:f>
      </x:c>
      <x:c r="J64" s="7">
        <x:f>IF($A64="","",IF(Audit_Program!$K62=J$3,"●",""))</x:f>
      </x:c>
      <x:c r="K64" s="7">
        <x:f>IF($A64="","",IF(Audit_Program!$K62=K$3,"●",""))</x:f>
      </x:c>
      <x:c r="L64" s="7">
        <x:f>IF($A64="","",IF(Audit_Program!$K62=L$3,"●",""))</x:f>
      </x:c>
      <x:c r="M64" s="7">
        <x:f>IF($A64="","",IF(Audit_Program!$K62=M$3,"●",""))</x:f>
      </x:c>
      <x:c r="N64" s="7">
        <x:f>IF($A64="","",IF(Audit_Program!$K62=N$3,"●",""))</x:f>
      </x:c>
    </x:row>
    <x:row r="65" ht="18" customHeight="1">
      <x:c r="A65" s="7">
        <x:f>IF(Audit_Program!A63="","",Audit_Program!A63)</x:f>
      </x:c>
      <x:c r="B65" s="6">
        <x:f>IF(Audit_Program!A63="","",Audit_Program!B63)</x:f>
      </x:c>
      <x:c r="C65" s="7">
        <x:f>IF($A65="","",IF(Audit_Program!$K63=C$3,"●",""))</x:f>
      </x:c>
      <x:c r="D65" s="7">
        <x:f>IF($A65="","",IF(Audit_Program!$K63=D$3,"●",""))</x:f>
      </x:c>
      <x:c r="E65" s="7">
        <x:f>IF($A65="","",IF(Audit_Program!$K63=E$3,"●",""))</x:f>
      </x:c>
      <x:c r="F65" s="7">
        <x:f>IF($A65="","",IF(Audit_Program!$K63=F$3,"●",""))</x:f>
      </x:c>
      <x:c r="G65" s="7">
        <x:f>IF($A65="","",IF(Audit_Program!$K63=G$3,"●",""))</x:f>
      </x:c>
      <x:c r="H65" s="7">
        <x:f>IF($A65="","",IF(Audit_Program!$K63=H$3,"●",""))</x:f>
      </x:c>
      <x:c r="I65" s="7">
        <x:f>IF($A65="","",IF(Audit_Program!$K63=I$3,"●",""))</x:f>
      </x:c>
      <x:c r="J65" s="7">
        <x:f>IF($A65="","",IF(Audit_Program!$K63=J$3,"●",""))</x:f>
      </x:c>
      <x:c r="K65" s="7">
        <x:f>IF($A65="","",IF(Audit_Program!$K63=K$3,"●",""))</x:f>
      </x:c>
      <x:c r="L65" s="7">
        <x:f>IF($A65="","",IF(Audit_Program!$K63=L$3,"●",""))</x:f>
      </x:c>
      <x:c r="M65" s="7">
        <x:f>IF($A65="","",IF(Audit_Program!$K63=M$3,"●",""))</x:f>
      </x:c>
      <x:c r="N65" s="7">
        <x:f>IF($A65="","",IF(Audit_Program!$K63=N$3,"●",""))</x:f>
      </x:c>
    </x:row>
    <x:row r="66" ht="18" customHeight="1">
      <x:c r="A66" s="7">
        <x:f>IF(Audit_Program!A64="","",Audit_Program!A64)</x:f>
      </x:c>
      <x:c r="B66" s="6">
        <x:f>IF(Audit_Program!A64="","",Audit_Program!B64)</x:f>
      </x:c>
      <x:c r="C66" s="7">
        <x:f>IF($A66="","",IF(Audit_Program!$K64=C$3,"●",""))</x:f>
      </x:c>
      <x:c r="D66" s="7">
        <x:f>IF($A66="","",IF(Audit_Program!$K64=D$3,"●",""))</x:f>
      </x:c>
      <x:c r="E66" s="7">
        <x:f>IF($A66="","",IF(Audit_Program!$K64=E$3,"●",""))</x:f>
      </x:c>
      <x:c r="F66" s="7">
        <x:f>IF($A66="","",IF(Audit_Program!$K64=F$3,"●",""))</x:f>
      </x:c>
      <x:c r="G66" s="7">
        <x:f>IF($A66="","",IF(Audit_Program!$K64=G$3,"●",""))</x:f>
      </x:c>
      <x:c r="H66" s="7">
        <x:f>IF($A66="","",IF(Audit_Program!$K64=H$3,"●",""))</x:f>
      </x:c>
      <x:c r="I66" s="7">
        <x:f>IF($A66="","",IF(Audit_Program!$K64=I$3,"●",""))</x:f>
      </x:c>
      <x:c r="J66" s="7">
        <x:f>IF($A66="","",IF(Audit_Program!$K64=J$3,"●",""))</x:f>
      </x:c>
      <x:c r="K66" s="7">
        <x:f>IF($A66="","",IF(Audit_Program!$K64=K$3,"●",""))</x:f>
      </x:c>
      <x:c r="L66" s="7">
        <x:f>IF($A66="","",IF(Audit_Program!$K64=L$3,"●",""))</x:f>
      </x:c>
      <x:c r="M66" s="7">
        <x:f>IF($A66="","",IF(Audit_Program!$K64=M$3,"●",""))</x:f>
      </x:c>
      <x:c r="N66" s="7">
        <x:f>IF($A66="","",IF(Audit_Program!$K64=N$3,"●",""))</x:f>
      </x:c>
    </x:row>
    <x:row r="67" ht="18" customHeight="1">
      <x:c r="A67" s="7">
        <x:f>IF(Audit_Program!A65="","",Audit_Program!A65)</x:f>
      </x:c>
      <x:c r="B67" s="6">
        <x:f>IF(Audit_Program!A65="","",Audit_Program!B65)</x:f>
      </x:c>
      <x:c r="C67" s="7">
        <x:f>IF($A67="","",IF(Audit_Program!$K65=C$3,"●",""))</x:f>
      </x:c>
      <x:c r="D67" s="7">
        <x:f>IF($A67="","",IF(Audit_Program!$K65=D$3,"●",""))</x:f>
      </x:c>
      <x:c r="E67" s="7">
        <x:f>IF($A67="","",IF(Audit_Program!$K65=E$3,"●",""))</x:f>
      </x:c>
      <x:c r="F67" s="7">
        <x:f>IF($A67="","",IF(Audit_Program!$K65=F$3,"●",""))</x:f>
      </x:c>
      <x:c r="G67" s="7">
        <x:f>IF($A67="","",IF(Audit_Program!$K65=G$3,"●",""))</x:f>
      </x:c>
      <x:c r="H67" s="7">
        <x:f>IF($A67="","",IF(Audit_Program!$K65=H$3,"●",""))</x:f>
      </x:c>
      <x:c r="I67" s="7">
        <x:f>IF($A67="","",IF(Audit_Program!$K65=I$3,"●",""))</x:f>
      </x:c>
      <x:c r="J67" s="7">
        <x:f>IF($A67="","",IF(Audit_Program!$K65=J$3,"●",""))</x:f>
      </x:c>
      <x:c r="K67" s="7">
        <x:f>IF($A67="","",IF(Audit_Program!$K65=K$3,"●",""))</x:f>
      </x:c>
      <x:c r="L67" s="7">
        <x:f>IF($A67="","",IF(Audit_Program!$K65=L$3,"●",""))</x:f>
      </x:c>
      <x:c r="M67" s="7">
        <x:f>IF($A67="","",IF(Audit_Program!$K65=M$3,"●",""))</x:f>
      </x:c>
      <x:c r="N67" s="7">
        <x:f>IF($A67="","",IF(Audit_Program!$K65=N$3,"●",""))</x:f>
      </x:c>
    </x:row>
    <x:row r="68" ht="18" customHeight="1">
      <x:c r="A68" s="7">
        <x:f>IF(Audit_Program!A66="","",Audit_Program!A66)</x:f>
      </x:c>
      <x:c r="B68" s="6">
        <x:f>IF(Audit_Program!A66="","",Audit_Program!B66)</x:f>
      </x:c>
      <x:c r="C68" s="7">
        <x:f>IF($A68="","",IF(Audit_Program!$K66=C$3,"●",""))</x:f>
      </x:c>
      <x:c r="D68" s="7">
        <x:f>IF($A68="","",IF(Audit_Program!$K66=D$3,"●",""))</x:f>
      </x:c>
      <x:c r="E68" s="7">
        <x:f>IF($A68="","",IF(Audit_Program!$K66=E$3,"●",""))</x:f>
      </x:c>
      <x:c r="F68" s="7">
        <x:f>IF($A68="","",IF(Audit_Program!$K66=F$3,"●",""))</x:f>
      </x:c>
      <x:c r="G68" s="7">
        <x:f>IF($A68="","",IF(Audit_Program!$K66=G$3,"●",""))</x:f>
      </x:c>
      <x:c r="H68" s="7">
        <x:f>IF($A68="","",IF(Audit_Program!$K66=H$3,"●",""))</x:f>
      </x:c>
      <x:c r="I68" s="7">
        <x:f>IF($A68="","",IF(Audit_Program!$K66=I$3,"●",""))</x:f>
      </x:c>
      <x:c r="J68" s="7">
        <x:f>IF($A68="","",IF(Audit_Program!$K66=J$3,"●",""))</x:f>
      </x:c>
      <x:c r="K68" s="7">
        <x:f>IF($A68="","",IF(Audit_Program!$K66=K$3,"●",""))</x:f>
      </x:c>
      <x:c r="L68" s="7">
        <x:f>IF($A68="","",IF(Audit_Program!$K66=L$3,"●",""))</x:f>
      </x:c>
      <x:c r="M68" s="7">
        <x:f>IF($A68="","",IF(Audit_Program!$K66=M$3,"●",""))</x:f>
      </x:c>
      <x:c r="N68" s="7">
        <x:f>IF($A68="","",IF(Audit_Program!$K66=N$3,"●",""))</x:f>
      </x:c>
    </x:row>
    <x:row r="69" ht="18" customHeight="1">
      <x:c r="A69" s="7">
        <x:f>IF(Audit_Program!A67="","",Audit_Program!A67)</x:f>
      </x:c>
      <x:c r="B69" s="6">
        <x:f>IF(Audit_Program!A67="","",Audit_Program!B67)</x:f>
      </x:c>
      <x:c r="C69" s="7">
        <x:f>IF($A69="","",IF(Audit_Program!$K67=C$3,"●",""))</x:f>
      </x:c>
      <x:c r="D69" s="7">
        <x:f>IF($A69="","",IF(Audit_Program!$K67=D$3,"●",""))</x:f>
      </x:c>
      <x:c r="E69" s="7">
        <x:f>IF($A69="","",IF(Audit_Program!$K67=E$3,"●",""))</x:f>
      </x:c>
      <x:c r="F69" s="7">
        <x:f>IF($A69="","",IF(Audit_Program!$K67=F$3,"●",""))</x:f>
      </x:c>
      <x:c r="G69" s="7">
        <x:f>IF($A69="","",IF(Audit_Program!$K67=G$3,"●",""))</x:f>
      </x:c>
      <x:c r="H69" s="7">
        <x:f>IF($A69="","",IF(Audit_Program!$K67=H$3,"●",""))</x:f>
      </x:c>
      <x:c r="I69" s="7">
        <x:f>IF($A69="","",IF(Audit_Program!$K67=I$3,"●",""))</x:f>
      </x:c>
      <x:c r="J69" s="7">
        <x:f>IF($A69="","",IF(Audit_Program!$K67=J$3,"●",""))</x:f>
      </x:c>
      <x:c r="K69" s="7">
        <x:f>IF($A69="","",IF(Audit_Program!$K67=K$3,"●",""))</x:f>
      </x:c>
      <x:c r="L69" s="7">
        <x:f>IF($A69="","",IF(Audit_Program!$K67=L$3,"●",""))</x:f>
      </x:c>
      <x:c r="M69" s="7">
        <x:f>IF($A69="","",IF(Audit_Program!$K67=M$3,"●",""))</x:f>
      </x:c>
      <x:c r="N69" s="7">
        <x:f>IF($A69="","",IF(Audit_Program!$K67=N$3,"●",""))</x:f>
      </x:c>
    </x:row>
    <x:row r="70" ht="18" customHeight="1">
      <x:c r="A70" s="7">
        <x:f>IF(Audit_Program!A68="","",Audit_Program!A68)</x:f>
      </x:c>
      <x:c r="B70" s="6">
        <x:f>IF(Audit_Program!A68="","",Audit_Program!B68)</x:f>
      </x:c>
      <x:c r="C70" s="7">
        <x:f>IF($A70="","",IF(Audit_Program!$K68=C$3,"●",""))</x:f>
      </x:c>
      <x:c r="D70" s="7">
        <x:f>IF($A70="","",IF(Audit_Program!$K68=D$3,"●",""))</x:f>
      </x:c>
      <x:c r="E70" s="7">
        <x:f>IF($A70="","",IF(Audit_Program!$K68=E$3,"●",""))</x:f>
      </x:c>
      <x:c r="F70" s="7">
        <x:f>IF($A70="","",IF(Audit_Program!$K68=F$3,"●",""))</x:f>
      </x:c>
      <x:c r="G70" s="7">
        <x:f>IF($A70="","",IF(Audit_Program!$K68=G$3,"●",""))</x:f>
      </x:c>
      <x:c r="H70" s="7">
        <x:f>IF($A70="","",IF(Audit_Program!$K68=H$3,"●",""))</x:f>
      </x:c>
      <x:c r="I70" s="7">
        <x:f>IF($A70="","",IF(Audit_Program!$K68=I$3,"●",""))</x:f>
      </x:c>
      <x:c r="J70" s="7">
        <x:f>IF($A70="","",IF(Audit_Program!$K68=J$3,"●",""))</x:f>
      </x:c>
      <x:c r="K70" s="7">
        <x:f>IF($A70="","",IF(Audit_Program!$K68=K$3,"●",""))</x:f>
      </x:c>
      <x:c r="L70" s="7">
        <x:f>IF($A70="","",IF(Audit_Program!$K68=L$3,"●",""))</x:f>
      </x:c>
      <x:c r="M70" s="7">
        <x:f>IF($A70="","",IF(Audit_Program!$K68=M$3,"●",""))</x:f>
      </x:c>
      <x:c r="N70" s="7">
        <x:f>IF($A70="","",IF(Audit_Program!$K68=N$3,"●",""))</x:f>
      </x:c>
    </x:row>
    <x:row r="71" ht="18" customHeight="1">
      <x:c r="A71" s="7">
        <x:f>IF(Audit_Program!A69="","",Audit_Program!A69)</x:f>
      </x:c>
      <x:c r="B71" s="6">
        <x:f>IF(Audit_Program!A69="","",Audit_Program!B69)</x:f>
      </x:c>
      <x:c r="C71" s="7">
        <x:f>IF($A71="","",IF(Audit_Program!$K69=C$3,"●",""))</x:f>
      </x:c>
      <x:c r="D71" s="7">
        <x:f>IF($A71="","",IF(Audit_Program!$K69=D$3,"●",""))</x:f>
      </x:c>
      <x:c r="E71" s="7">
        <x:f>IF($A71="","",IF(Audit_Program!$K69=E$3,"●",""))</x:f>
      </x:c>
      <x:c r="F71" s="7">
        <x:f>IF($A71="","",IF(Audit_Program!$K69=F$3,"●",""))</x:f>
      </x:c>
      <x:c r="G71" s="7">
        <x:f>IF($A71="","",IF(Audit_Program!$K69=G$3,"●",""))</x:f>
      </x:c>
      <x:c r="H71" s="7">
        <x:f>IF($A71="","",IF(Audit_Program!$K69=H$3,"●",""))</x:f>
      </x:c>
      <x:c r="I71" s="7">
        <x:f>IF($A71="","",IF(Audit_Program!$K69=I$3,"●",""))</x:f>
      </x:c>
      <x:c r="J71" s="7">
        <x:f>IF($A71="","",IF(Audit_Program!$K69=J$3,"●",""))</x:f>
      </x:c>
      <x:c r="K71" s="7">
        <x:f>IF($A71="","",IF(Audit_Program!$K69=K$3,"●",""))</x:f>
      </x:c>
      <x:c r="L71" s="7">
        <x:f>IF($A71="","",IF(Audit_Program!$K69=L$3,"●",""))</x:f>
      </x:c>
      <x:c r="M71" s="7">
        <x:f>IF($A71="","",IF(Audit_Program!$K69=M$3,"●",""))</x:f>
      </x:c>
      <x:c r="N71" s="7">
        <x:f>IF($A71="","",IF(Audit_Program!$K69=N$3,"●",""))</x:f>
      </x:c>
    </x:row>
    <x:row r="72" ht="18" customHeight="1">
      <x:c r="A72" s="7">
        <x:f>IF(Audit_Program!A70="","",Audit_Program!A70)</x:f>
      </x:c>
      <x:c r="B72" s="6">
        <x:f>IF(Audit_Program!A70="","",Audit_Program!B70)</x:f>
      </x:c>
      <x:c r="C72" s="7">
        <x:f>IF($A72="","",IF(Audit_Program!$K70=C$3,"●",""))</x:f>
      </x:c>
      <x:c r="D72" s="7">
        <x:f>IF($A72="","",IF(Audit_Program!$K70=D$3,"●",""))</x:f>
      </x:c>
      <x:c r="E72" s="7">
        <x:f>IF($A72="","",IF(Audit_Program!$K70=E$3,"●",""))</x:f>
      </x:c>
      <x:c r="F72" s="7">
        <x:f>IF($A72="","",IF(Audit_Program!$K70=F$3,"●",""))</x:f>
      </x:c>
      <x:c r="G72" s="7">
        <x:f>IF($A72="","",IF(Audit_Program!$K70=G$3,"●",""))</x:f>
      </x:c>
      <x:c r="H72" s="7">
        <x:f>IF($A72="","",IF(Audit_Program!$K70=H$3,"●",""))</x:f>
      </x:c>
      <x:c r="I72" s="7">
        <x:f>IF($A72="","",IF(Audit_Program!$K70=I$3,"●",""))</x:f>
      </x:c>
      <x:c r="J72" s="7">
        <x:f>IF($A72="","",IF(Audit_Program!$K70=J$3,"●",""))</x:f>
      </x:c>
      <x:c r="K72" s="7">
        <x:f>IF($A72="","",IF(Audit_Program!$K70=K$3,"●",""))</x:f>
      </x:c>
      <x:c r="L72" s="7">
        <x:f>IF($A72="","",IF(Audit_Program!$K70=L$3,"●",""))</x:f>
      </x:c>
      <x:c r="M72" s="7">
        <x:f>IF($A72="","",IF(Audit_Program!$K70=M$3,"●",""))</x:f>
      </x:c>
      <x:c r="N72" s="7">
        <x:f>IF($A72="","",IF(Audit_Program!$K70=N$3,"●",""))</x:f>
      </x:c>
    </x:row>
    <x:row r="73" ht="18" customHeight="1">
      <x:c r="A73" s="7">
        <x:f>IF(Audit_Program!A71="","",Audit_Program!A71)</x:f>
      </x:c>
      <x:c r="B73" s="6">
        <x:f>IF(Audit_Program!A71="","",Audit_Program!B71)</x:f>
      </x:c>
      <x:c r="C73" s="7">
        <x:f>IF($A73="","",IF(Audit_Program!$K71=C$3,"●",""))</x:f>
      </x:c>
      <x:c r="D73" s="7">
        <x:f>IF($A73="","",IF(Audit_Program!$K71=D$3,"●",""))</x:f>
      </x:c>
      <x:c r="E73" s="7">
        <x:f>IF($A73="","",IF(Audit_Program!$K71=E$3,"●",""))</x:f>
      </x:c>
      <x:c r="F73" s="7">
        <x:f>IF($A73="","",IF(Audit_Program!$K71=F$3,"●",""))</x:f>
      </x:c>
      <x:c r="G73" s="7">
        <x:f>IF($A73="","",IF(Audit_Program!$K71=G$3,"●",""))</x:f>
      </x:c>
      <x:c r="H73" s="7">
        <x:f>IF($A73="","",IF(Audit_Program!$K71=H$3,"●",""))</x:f>
      </x:c>
      <x:c r="I73" s="7">
        <x:f>IF($A73="","",IF(Audit_Program!$K71=I$3,"●",""))</x:f>
      </x:c>
      <x:c r="J73" s="7">
        <x:f>IF($A73="","",IF(Audit_Program!$K71=J$3,"●",""))</x:f>
      </x:c>
      <x:c r="K73" s="7">
        <x:f>IF($A73="","",IF(Audit_Program!$K71=K$3,"●",""))</x:f>
      </x:c>
      <x:c r="L73" s="7">
        <x:f>IF($A73="","",IF(Audit_Program!$K71=L$3,"●",""))</x:f>
      </x:c>
      <x:c r="M73" s="7">
        <x:f>IF($A73="","",IF(Audit_Program!$K71=M$3,"●",""))</x:f>
      </x:c>
      <x:c r="N73" s="7">
        <x:f>IF($A73="","",IF(Audit_Program!$K71=N$3,"●",""))</x:f>
      </x:c>
    </x:row>
    <x:row r="74" ht="18" customHeight="1">
      <x:c r="A74" s="7">
        <x:f>IF(Audit_Program!A72="","",Audit_Program!A72)</x:f>
      </x:c>
      <x:c r="B74" s="6">
        <x:f>IF(Audit_Program!A72="","",Audit_Program!B72)</x:f>
      </x:c>
      <x:c r="C74" s="7">
        <x:f>IF($A74="","",IF(Audit_Program!$K72=C$3,"●",""))</x:f>
      </x:c>
      <x:c r="D74" s="7">
        <x:f>IF($A74="","",IF(Audit_Program!$K72=D$3,"●",""))</x:f>
      </x:c>
      <x:c r="E74" s="7">
        <x:f>IF($A74="","",IF(Audit_Program!$K72=E$3,"●",""))</x:f>
      </x:c>
      <x:c r="F74" s="7">
        <x:f>IF($A74="","",IF(Audit_Program!$K72=F$3,"●",""))</x:f>
      </x:c>
      <x:c r="G74" s="7">
        <x:f>IF($A74="","",IF(Audit_Program!$K72=G$3,"●",""))</x:f>
      </x:c>
      <x:c r="H74" s="7">
        <x:f>IF($A74="","",IF(Audit_Program!$K72=H$3,"●",""))</x:f>
      </x:c>
      <x:c r="I74" s="7">
        <x:f>IF($A74="","",IF(Audit_Program!$K72=I$3,"●",""))</x:f>
      </x:c>
      <x:c r="J74" s="7">
        <x:f>IF($A74="","",IF(Audit_Program!$K72=J$3,"●",""))</x:f>
      </x:c>
      <x:c r="K74" s="7">
        <x:f>IF($A74="","",IF(Audit_Program!$K72=K$3,"●",""))</x:f>
      </x:c>
      <x:c r="L74" s="7">
        <x:f>IF($A74="","",IF(Audit_Program!$K72=L$3,"●",""))</x:f>
      </x:c>
      <x:c r="M74" s="7">
        <x:f>IF($A74="","",IF(Audit_Program!$K72=M$3,"●",""))</x:f>
      </x:c>
      <x:c r="N74" s="7">
        <x:f>IF($A74="","",IF(Audit_Program!$K72=N$3,"●",""))</x:f>
      </x:c>
    </x:row>
    <x:row r="75" ht="18" customHeight="1">
      <x:c r="A75" s="7">
        <x:f>IF(Audit_Program!A73="","",Audit_Program!A73)</x:f>
      </x:c>
      <x:c r="B75" s="6">
        <x:f>IF(Audit_Program!A73="","",Audit_Program!B73)</x:f>
      </x:c>
      <x:c r="C75" s="7">
        <x:f>IF($A75="","",IF(Audit_Program!$K73=C$3,"●",""))</x:f>
      </x:c>
      <x:c r="D75" s="7">
        <x:f>IF($A75="","",IF(Audit_Program!$K73=D$3,"●",""))</x:f>
      </x:c>
      <x:c r="E75" s="7">
        <x:f>IF($A75="","",IF(Audit_Program!$K73=E$3,"●",""))</x:f>
      </x:c>
      <x:c r="F75" s="7">
        <x:f>IF($A75="","",IF(Audit_Program!$K73=F$3,"●",""))</x:f>
      </x:c>
      <x:c r="G75" s="7">
        <x:f>IF($A75="","",IF(Audit_Program!$K73=G$3,"●",""))</x:f>
      </x:c>
      <x:c r="H75" s="7">
        <x:f>IF($A75="","",IF(Audit_Program!$K73=H$3,"●",""))</x:f>
      </x:c>
      <x:c r="I75" s="7">
        <x:f>IF($A75="","",IF(Audit_Program!$K73=I$3,"●",""))</x:f>
      </x:c>
      <x:c r="J75" s="7">
        <x:f>IF($A75="","",IF(Audit_Program!$K73=J$3,"●",""))</x:f>
      </x:c>
      <x:c r="K75" s="7">
        <x:f>IF($A75="","",IF(Audit_Program!$K73=K$3,"●",""))</x:f>
      </x:c>
      <x:c r="L75" s="7">
        <x:f>IF($A75="","",IF(Audit_Program!$K73=L$3,"●",""))</x:f>
      </x:c>
      <x:c r="M75" s="7">
        <x:f>IF($A75="","",IF(Audit_Program!$K73=M$3,"●",""))</x:f>
      </x:c>
      <x:c r="N75" s="7">
        <x:f>IF($A75="","",IF(Audit_Program!$K73=N$3,"●",""))</x:f>
      </x:c>
    </x:row>
    <x:row r="76" ht="18" customHeight="1">
      <x:c r="A76" s="7">
        <x:f>IF(Audit_Program!A74="","",Audit_Program!A74)</x:f>
      </x:c>
      <x:c r="B76" s="6">
        <x:f>IF(Audit_Program!A74="","",Audit_Program!B74)</x:f>
      </x:c>
      <x:c r="C76" s="7">
        <x:f>IF($A76="","",IF(Audit_Program!$K74=C$3,"●",""))</x:f>
      </x:c>
      <x:c r="D76" s="7">
        <x:f>IF($A76="","",IF(Audit_Program!$K74=D$3,"●",""))</x:f>
      </x:c>
      <x:c r="E76" s="7">
        <x:f>IF($A76="","",IF(Audit_Program!$K74=E$3,"●",""))</x:f>
      </x:c>
      <x:c r="F76" s="7">
        <x:f>IF($A76="","",IF(Audit_Program!$K74=F$3,"●",""))</x:f>
      </x:c>
      <x:c r="G76" s="7">
        <x:f>IF($A76="","",IF(Audit_Program!$K74=G$3,"●",""))</x:f>
      </x:c>
      <x:c r="H76" s="7">
        <x:f>IF($A76="","",IF(Audit_Program!$K74=H$3,"●",""))</x:f>
      </x:c>
      <x:c r="I76" s="7">
        <x:f>IF($A76="","",IF(Audit_Program!$K74=I$3,"●",""))</x:f>
      </x:c>
      <x:c r="J76" s="7">
        <x:f>IF($A76="","",IF(Audit_Program!$K74=J$3,"●",""))</x:f>
      </x:c>
      <x:c r="K76" s="7">
        <x:f>IF($A76="","",IF(Audit_Program!$K74=K$3,"●",""))</x:f>
      </x:c>
      <x:c r="L76" s="7">
        <x:f>IF($A76="","",IF(Audit_Program!$K74=L$3,"●",""))</x:f>
      </x:c>
      <x:c r="M76" s="7">
        <x:f>IF($A76="","",IF(Audit_Program!$K74=M$3,"●",""))</x:f>
      </x:c>
      <x:c r="N76" s="7">
        <x:f>IF($A76="","",IF(Audit_Program!$K74=N$3,"●",""))</x:f>
      </x:c>
    </x:row>
    <x:row r="77" ht="18" customHeight="1">
      <x:c r="A77" s="7">
        <x:f>IF(Audit_Program!A75="","",Audit_Program!A75)</x:f>
      </x:c>
      <x:c r="B77" s="6">
        <x:f>IF(Audit_Program!A75="","",Audit_Program!B75)</x:f>
      </x:c>
      <x:c r="C77" s="7">
        <x:f>IF($A77="","",IF(Audit_Program!$K75=C$3,"●",""))</x:f>
      </x:c>
      <x:c r="D77" s="7">
        <x:f>IF($A77="","",IF(Audit_Program!$K75=D$3,"●",""))</x:f>
      </x:c>
      <x:c r="E77" s="7">
        <x:f>IF($A77="","",IF(Audit_Program!$K75=E$3,"●",""))</x:f>
      </x:c>
      <x:c r="F77" s="7">
        <x:f>IF($A77="","",IF(Audit_Program!$K75=F$3,"●",""))</x:f>
      </x:c>
      <x:c r="G77" s="7">
        <x:f>IF($A77="","",IF(Audit_Program!$K75=G$3,"●",""))</x:f>
      </x:c>
      <x:c r="H77" s="7">
        <x:f>IF($A77="","",IF(Audit_Program!$K75=H$3,"●",""))</x:f>
      </x:c>
      <x:c r="I77" s="7">
        <x:f>IF($A77="","",IF(Audit_Program!$K75=I$3,"●",""))</x:f>
      </x:c>
      <x:c r="J77" s="7">
        <x:f>IF($A77="","",IF(Audit_Program!$K75=J$3,"●",""))</x:f>
      </x:c>
      <x:c r="K77" s="7">
        <x:f>IF($A77="","",IF(Audit_Program!$K75=K$3,"●",""))</x:f>
      </x:c>
      <x:c r="L77" s="7">
        <x:f>IF($A77="","",IF(Audit_Program!$K75=L$3,"●",""))</x:f>
      </x:c>
      <x:c r="M77" s="7">
        <x:f>IF($A77="","",IF(Audit_Program!$K75=M$3,"●",""))</x:f>
      </x:c>
      <x:c r="N77" s="7">
        <x:f>IF($A77="","",IF(Audit_Program!$K75=N$3,"●",""))</x:f>
      </x:c>
    </x:row>
    <x:row r="78" ht="18" customHeight="1">
      <x:c r="A78" s="7">
        <x:f>IF(Audit_Program!A76="","",Audit_Program!A76)</x:f>
      </x:c>
      <x:c r="B78" s="6">
        <x:f>IF(Audit_Program!A76="","",Audit_Program!B76)</x:f>
      </x:c>
      <x:c r="C78" s="7">
        <x:f>IF($A78="","",IF(Audit_Program!$K76=C$3,"●",""))</x:f>
      </x:c>
      <x:c r="D78" s="7">
        <x:f>IF($A78="","",IF(Audit_Program!$K76=D$3,"●",""))</x:f>
      </x:c>
      <x:c r="E78" s="7">
        <x:f>IF($A78="","",IF(Audit_Program!$K76=E$3,"●",""))</x:f>
      </x:c>
      <x:c r="F78" s="7">
        <x:f>IF($A78="","",IF(Audit_Program!$K76=F$3,"●",""))</x:f>
      </x:c>
      <x:c r="G78" s="7">
        <x:f>IF($A78="","",IF(Audit_Program!$K76=G$3,"●",""))</x:f>
      </x:c>
      <x:c r="H78" s="7">
        <x:f>IF($A78="","",IF(Audit_Program!$K76=H$3,"●",""))</x:f>
      </x:c>
      <x:c r="I78" s="7">
        <x:f>IF($A78="","",IF(Audit_Program!$K76=I$3,"●",""))</x:f>
      </x:c>
      <x:c r="J78" s="7">
        <x:f>IF($A78="","",IF(Audit_Program!$K76=J$3,"●",""))</x:f>
      </x:c>
      <x:c r="K78" s="7">
        <x:f>IF($A78="","",IF(Audit_Program!$K76=K$3,"●",""))</x:f>
      </x:c>
      <x:c r="L78" s="7">
        <x:f>IF($A78="","",IF(Audit_Program!$K76=L$3,"●",""))</x:f>
      </x:c>
      <x:c r="M78" s="7">
        <x:f>IF($A78="","",IF(Audit_Program!$K76=M$3,"●",""))</x:f>
      </x:c>
      <x:c r="N78" s="7">
        <x:f>IF($A78="","",IF(Audit_Program!$K76=N$3,"●",""))</x:f>
      </x:c>
    </x:row>
    <x:row r="79" ht="18" customHeight="1">
      <x:c r="A79" s="7">
        <x:f>IF(Audit_Program!A77="","",Audit_Program!A77)</x:f>
      </x:c>
      <x:c r="B79" s="6">
        <x:f>IF(Audit_Program!A77="","",Audit_Program!B77)</x:f>
      </x:c>
      <x:c r="C79" s="7">
        <x:f>IF($A79="","",IF(Audit_Program!$K77=C$3,"●",""))</x:f>
      </x:c>
      <x:c r="D79" s="7">
        <x:f>IF($A79="","",IF(Audit_Program!$K77=D$3,"●",""))</x:f>
      </x:c>
      <x:c r="E79" s="7">
        <x:f>IF($A79="","",IF(Audit_Program!$K77=E$3,"●",""))</x:f>
      </x:c>
      <x:c r="F79" s="7">
        <x:f>IF($A79="","",IF(Audit_Program!$K77=F$3,"●",""))</x:f>
      </x:c>
      <x:c r="G79" s="7">
        <x:f>IF($A79="","",IF(Audit_Program!$K77=G$3,"●",""))</x:f>
      </x:c>
      <x:c r="H79" s="7">
        <x:f>IF($A79="","",IF(Audit_Program!$K77=H$3,"●",""))</x:f>
      </x:c>
      <x:c r="I79" s="7">
        <x:f>IF($A79="","",IF(Audit_Program!$K77=I$3,"●",""))</x:f>
      </x:c>
      <x:c r="J79" s="7">
        <x:f>IF($A79="","",IF(Audit_Program!$K77=J$3,"●",""))</x:f>
      </x:c>
      <x:c r="K79" s="7">
        <x:f>IF($A79="","",IF(Audit_Program!$K77=K$3,"●",""))</x:f>
      </x:c>
      <x:c r="L79" s="7">
        <x:f>IF($A79="","",IF(Audit_Program!$K77=L$3,"●",""))</x:f>
      </x:c>
      <x:c r="M79" s="7">
        <x:f>IF($A79="","",IF(Audit_Program!$K77=M$3,"●",""))</x:f>
      </x:c>
      <x:c r="N79" s="7">
        <x:f>IF($A79="","",IF(Audit_Program!$K77=N$3,"●",""))</x:f>
      </x:c>
    </x:row>
    <x:row r="80" ht="18" customHeight="1">
      <x:c r="A80" s="7">
        <x:f>IF(Audit_Program!A78="","",Audit_Program!A78)</x:f>
      </x:c>
      <x:c r="B80" s="6">
        <x:f>IF(Audit_Program!A78="","",Audit_Program!B78)</x:f>
      </x:c>
      <x:c r="C80" s="7">
        <x:f>IF($A80="","",IF(Audit_Program!$K78=C$3,"●",""))</x:f>
      </x:c>
      <x:c r="D80" s="7">
        <x:f>IF($A80="","",IF(Audit_Program!$K78=D$3,"●",""))</x:f>
      </x:c>
      <x:c r="E80" s="7">
        <x:f>IF($A80="","",IF(Audit_Program!$K78=E$3,"●",""))</x:f>
      </x:c>
      <x:c r="F80" s="7">
        <x:f>IF($A80="","",IF(Audit_Program!$K78=F$3,"●",""))</x:f>
      </x:c>
      <x:c r="G80" s="7">
        <x:f>IF($A80="","",IF(Audit_Program!$K78=G$3,"●",""))</x:f>
      </x:c>
      <x:c r="H80" s="7">
        <x:f>IF($A80="","",IF(Audit_Program!$K78=H$3,"●",""))</x:f>
      </x:c>
      <x:c r="I80" s="7">
        <x:f>IF($A80="","",IF(Audit_Program!$K78=I$3,"●",""))</x:f>
      </x:c>
      <x:c r="J80" s="7">
        <x:f>IF($A80="","",IF(Audit_Program!$K78=J$3,"●",""))</x:f>
      </x:c>
      <x:c r="K80" s="7">
        <x:f>IF($A80="","",IF(Audit_Program!$K78=K$3,"●",""))</x:f>
      </x:c>
      <x:c r="L80" s="7">
        <x:f>IF($A80="","",IF(Audit_Program!$K78=L$3,"●",""))</x:f>
      </x:c>
      <x:c r="M80" s="7">
        <x:f>IF($A80="","",IF(Audit_Program!$K78=M$3,"●",""))</x:f>
      </x:c>
      <x:c r="N80" s="7">
        <x:f>IF($A80="","",IF(Audit_Program!$K78=N$3,"●",""))</x:f>
      </x:c>
    </x:row>
    <x:row r="81" ht="18" customHeight="1">
      <x:c r="A81" s="7">
        <x:f>IF(Audit_Program!A79="","",Audit_Program!A79)</x:f>
      </x:c>
      <x:c r="B81" s="6">
        <x:f>IF(Audit_Program!A79="","",Audit_Program!B79)</x:f>
      </x:c>
      <x:c r="C81" s="7">
        <x:f>IF($A81="","",IF(Audit_Program!$K79=C$3,"●",""))</x:f>
      </x:c>
      <x:c r="D81" s="7">
        <x:f>IF($A81="","",IF(Audit_Program!$K79=D$3,"●",""))</x:f>
      </x:c>
      <x:c r="E81" s="7">
        <x:f>IF($A81="","",IF(Audit_Program!$K79=E$3,"●",""))</x:f>
      </x:c>
      <x:c r="F81" s="7">
        <x:f>IF($A81="","",IF(Audit_Program!$K79=F$3,"●",""))</x:f>
      </x:c>
      <x:c r="G81" s="7">
        <x:f>IF($A81="","",IF(Audit_Program!$K79=G$3,"●",""))</x:f>
      </x:c>
      <x:c r="H81" s="7">
        <x:f>IF($A81="","",IF(Audit_Program!$K79=H$3,"●",""))</x:f>
      </x:c>
      <x:c r="I81" s="7">
        <x:f>IF($A81="","",IF(Audit_Program!$K79=I$3,"●",""))</x:f>
      </x:c>
      <x:c r="J81" s="7">
        <x:f>IF($A81="","",IF(Audit_Program!$K79=J$3,"●",""))</x:f>
      </x:c>
      <x:c r="K81" s="7">
        <x:f>IF($A81="","",IF(Audit_Program!$K79=K$3,"●",""))</x:f>
      </x:c>
      <x:c r="L81" s="7">
        <x:f>IF($A81="","",IF(Audit_Program!$K79=L$3,"●",""))</x:f>
      </x:c>
      <x:c r="M81" s="7">
        <x:f>IF($A81="","",IF(Audit_Program!$K79=M$3,"●",""))</x:f>
      </x:c>
      <x:c r="N81" s="7">
        <x:f>IF($A81="","",IF(Audit_Program!$K79=N$3,"●",""))</x:f>
      </x:c>
    </x:row>
    <x:row r="82" ht="18" customHeight="1">
      <x:c r="A82" s="7">
        <x:f>IF(Audit_Program!A80="","",Audit_Program!A80)</x:f>
      </x:c>
      <x:c r="B82" s="6">
        <x:f>IF(Audit_Program!A80="","",Audit_Program!B80)</x:f>
      </x:c>
      <x:c r="C82" s="7">
        <x:f>IF($A82="","",IF(Audit_Program!$K80=C$3,"●",""))</x:f>
      </x:c>
      <x:c r="D82" s="7">
        <x:f>IF($A82="","",IF(Audit_Program!$K80=D$3,"●",""))</x:f>
      </x:c>
      <x:c r="E82" s="7">
        <x:f>IF($A82="","",IF(Audit_Program!$K80=E$3,"●",""))</x:f>
      </x:c>
      <x:c r="F82" s="7">
        <x:f>IF($A82="","",IF(Audit_Program!$K80=F$3,"●",""))</x:f>
      </x:c>
      <x:c r="G82" s="7">
        <x:f>IF($A82="","",IF(Audit_Program!$K80=G$3,"●",""))</x:f>
      </x:c>
      <x:c r="H82" s="7">
        <x:f>IF($A82="","",IF(Audit_Program!$K80=H$3,"●",""))</x:f>
      </x:c>
      <x:c r="I82" s="7">
        <x:f>IF($A82="","",IF(Audit_Program!$K80=I$3,"●",""))</x:f>
      </x:c>
      <x:c r="J82" s="7">
        <x:f>IF($A82="","",IF(Audit_Program!$K80=J$3,"●",""))</x:f>
      </x:c>
      <x:c r="K82" s="7">
        <x:f>IF($A82="","",IF(Audit_Program!$K80=K$3,"●",""))</x:f>
      </x:c>
      <x:c r="L82" s="7">
        <x:f>IF($A82="","",IF(Audit_Program!$K80=L$3,"●",""))</x:f>
      </x:c>
      <x:c r="M82" s="7">
        <x:f>IF($A82="","",IF(Audit_Program!$K80=M$3,"●",""))</x:f>
      </x:c>
      <x:c r="N82" s="7">
        <x:f>IF($A82="","",IF(Audit_Program!$K80=N$3,"●",""))</x:f>
      </x:c>
    </x:row>
    <x:row r="83" ht="18" customHeight="1">
      <x:c r="A83" s="7">
        <x:f>IF(Audit_Program!A81="","",Audit_Program!A81)</x:f>
      </x:c>
      <x:c r="B83" s="6">
        <x:f>IF(Audit_Program!A81="","",Audit_Program!B81)</x:f>
      </x:c>
      <x:c r="C83" s="7">
        <x:f>IF($A83="","",IF(Audit_Program!$K81=C$3,"●",""))</x:f>
      </x:c>
      <x:c r="D83" s="7">
        <x:f>IF($A83="","",IF(Audit_Program!$K81=D$3,"●",""))</x:f>
      </x:c>
      <x:c r="E83" s="7">
        <x:f>IF($A83="","",IF(Audit_Program!$K81=E$3,"●",""))</x:f>
      </x:c>
      <x:c r="F83" s="7">
        <x:f>IF($A83="","",IF(Audit_Program!$K81=F$3,"●",""))</x:f>
      </x:c>
      <x:c r="G83" s="7">
        <x:f>IF($A83="","",IF(Audit_Program!$K81=G$3,"●",""))</x:f>
      </x:c>
      <x:c r="H83" s="7">
        <x:f>IF($A83="","",IF(Audit_Program!$K81=H$3,"●",""))</x:f>
      </x:c>
      <x:c r="I83" s="7">
        <x:f>IF($A83="","",IF(Audit_Program!$K81=I$3,"●",""))</x:f>
      </x:c>
      <x:c r="J83" s="7">
        <x:f>IF($A83="","",IF(Audit_Program!$K81=J$3,"●",""))</x:f>
      </x:c>
      <x:c r="K83" s="7">
        <x:f>IF($A83="","",IF(Audit_Program!$K81=K$3,"●",""))</x:f>
      </x:c>
      <x:c r="L83" s="7">
        <x:f>IF($A83="","",IF(Audit_Program!$K81=L$3,"●",""))</x:f>
      </x:c>
      <x:c r="M83" s="7">
        <x:f>IF($A83="","",IF(Audit_Program!$K81=M$3,"●",""))</x:f>
      </x:c>
      <x:c r="N83" s="7">
        <x:f>IF($A83="","",IF(Audit_Program!$K81=N$3,"●",""))</x:f>
      </x:c>
    </x:row>
    <x:row r="84" ht="18" customHeight="1">
      <x:c r="A84" s="7">
        <x:f>IF(Audit_Program!A82="","",Audit_Program!A82)</x:f>
      </x:c>
      <x:c r="B84" s="6">
        <x:f>IF(Audit_Program!A82="","",Audit_Program!B82)</x:f>
      </x:c>
      <x:c r="C84" s="7">
        <x:f>IF($A84="","",IF(Audit_Program!$K82=C$3,"●",""))</x:f>
      </x:c>
      <x:c r="D84" s="7">
        <x:f>IF($A84="","",IF(Audit_Program!$K82=D$3,"●",""))</x:f>
      </x:c>
      <x:c r="E84" s="7">
        <x:f>IF($A84="","",IF(Audit_Program!$K82=E$3,"●",""))</x:f>
      </x:c>
      <x:c r="F84" s="7">
        <x:f>IF($A84="","",IF(Audit_Program!$K82=F$3,"●",""))</x:f>
      </x:c>
      <x:c r="G84" s="7">
        <x:f>IF($A84="","",IF(Audit_Program!$K82=G$3,"●",""))</x:f>
      </x:c>
      <x:c r="H84" s="7">
        <x:f>IF($A84="","",IF(Audit_Program!$K82=H$3,"●",""))</x:f>
      </x:c>
      <x:c r="I84" s="7">
        <x:f>IF($A84="","",IF(Audit_Program!$K82=I$3,"●",""))</x:f>
      </x:c>
      <x:c r="J84" s="7">
        <x:f>IF($A84="","",IF(Audit_Program!$K82=J$3,"●",""))</x:f>
      </x:c>
      <x:c r="K84" s="7">
        <x:f>IF($A84="","",IF(Audit_Program!$K82=K$3,"●",""))</x:f>
      </x:c>
      <x:c r="L84" s="7">
        <x:f>IF($A84="","",IF(Audit_Program!$K82=L$3,"●",""))</x:f>
      </x:c>
      <x:c r="M84" s="7">
        <x:f>IF($A84="","",IF(Audit_Program!$K82=M$3,"●",""))</x:f>
      </x:c>
      <x:c r="N84" s="7">
        <x:f>IF($A84="","",IF(Audit_Program!$K82=N$3,"●",""))</x:f>
      </x:c>
    </x:row>
    <x:row r="85" ht="18" customHeight="1">
      <x:c r="A85" s="7">
        <x:f>IF(Audit_Program!A83="","",Audit_Program!A83)</x:f>
      </x:c>
      <x:c r="B85" s="6">
        <x:f>IF(Audit_Program!A83="","",Audit_Program!B83)</x:f>
      </x:c>
      <x:c r="C85" s="7">
        <x:f>IF($A85="","",IF(Audit_Program!$K83=C$3,"●",""))</x:f>
      </x:c>
      <x:c r="D85" s="7">
        <x:f>IF($A85="","",IF(Audit_Program!$K83=D$3,"●",""))</x:f>
      </x:c>
      <x:c r="E85" s="7">
        <x:f>IF($A85="","",IF(Audit_Program!$K83=E$3,"●",""))</x:f>
      </x:c>
      <x:c r="F85" s="7">
        <x:f>IF($A85="","",IF(Audit_Program!$K83=F$3,"●",""))</x:f>
      </x:c>
      <x:c r="G85" s="7">
        <x:f>IF($A85="","",IF(Audit_Program!$K83=G$3,"●",""))</x:f>
      </x:c>
      <x:c r="H85" s="7">
        <x:f>IF($A85="","",IF(Audit_Program!$K83=H$3,"●",""))</x:f>
      </x:c>
      <x:c r="I85" s="7">
        <x:f>IF($A85="","",IF(Audit_Program!$K83=I$3,"●",""))</x:f>
      </x:c>
      <x:c r="J85" s="7">
        <x:f>IF($A85="","",IF(Audit_Program!$K83=J$3,"●",""))</x:f>
      </x:c>
      <x:c r="K85" s="7">
        <x:f>IF($A85="","",IF(Audit_Program!$K83=K$3,"●",""))</x:f>
      </x:c>
      <x:c r="L85" s="7">
        <x:f>IF($A85="","",IF(Audit_Program!$K83=L$3,"●",""))</x:f>
      </x:c>
      <x:c r="M85" s="7">
        <x:f>IF($A85="","",IF(Audit_Program!$K83=M$3,"●",""))</x:f>
      </x:c>
      <x:c r="N85" s="7">
        <x:f>IF($A85="","",IF(Audit_Program!$K83=N$3,"●",""))</x:f>
      </x:c>
    </x:row>
    <x:row r="86" ht="18" customHeight="1">
      <x:c r="A86" s="7">
        <x:f>IF(Audit_Program!A84="","",Audit_Program!A84)</x:f>
      </x:c>
      <x:c r="B86" s="6">
        <x:f>IF(Audit_Program!A84="","",Audit_Program!B84)</x:f>
      </x:c>
      <x:c r="C86" s="7">
        <x:f>IF($A86="","",IF(Audit_Program!$K84=C$3,"●",""))</x:f>
      </x:c>
      <x:c r="D86" s="7">
        <x:f>IF($A86="","",IF(Audit_Program!$K84=D$3,"●",""))</x:f>
      </x:c>
      <x:c r="E86" s="7">
        <x:f>IF($A86="","",IF(Audit_Program!$K84=E$3,"●",""))</x:f>
      </x:c>
      <x:c r="F86" s="7">
        <x:f>IF($A86="","",IF(Audit_Program!$K84=F$3,"●",""))</x:f>
      </x:c>
      <x:c r="G86" s="7">
        <x:f>IF($A86="","",IF(Audit_Program!$K84=G$3,"●",""))</x:f>
      </x:c>
      <x:c r="H86" s="7">
        <x:f>IF($A86="","",IF(Audit_Program!$K84=H$3,"●",""))</x:f>
      </x:c>
      <x:c r="I86" s="7">
        <x:f>IF($A86="","",IF(Audit_Program!$K84=I$3,"●",""))</x:f>
      </x:c>
      <x:c r="J86" s="7">
        <x:f>IF($A86="","",IF(Audit_Program!$K84=J$3,"●",""))</x:f>
      </x:c>
      <x:c r="K86" s="7">
        <x:f>IF($A86="","",IF(Audit_Program!$K84=K$3,"●",""))</x:f>
      </x:c>
      <x:c r="L86" s="7">
        <x:f>IF($A86="","",IF(Audit_Program!$K84=L$3,"●",""))</x:f>
      </x:c>
      <x:c r="M86" s="7">
        <x:f>IF($A86="","",IF(Audit_Program!$K84=M$3,"●",""))</x:f>
      </x:c>
      <x:c r="N86" s="7">
        <x:f>IF($A86="","",IF(Audit_Program!$K84=N$3,"●",""))</x:f>
      </x:c>
    </x:row>
    <x:row r="87" ht="18" customHeight="1">
      <x:c r="A87" s="7">
        <x:f>IF(Audit_Program!A85="","",Audit_Program!A85)</x:f>
      </x:c>
      <x:c r="B87" s="6">
        <x:f>IF(Audit_Program!A85="","",Audit_Program!B85)</x:f>
      </x:c>
      <x:c r="C87" s="7">
        <x:f>IF($A87="","",IF(Audit_Program!$K85=C$3,"●",""))</x:f>
      </x:c>
      <x:c r="D87" s="7">
        <x:f>IF($A87="","",IF(Audit_Program!$K85=D$3,"●",""))</x:f>
      </x:c>
      <x:c r="E87" s="7">
        <x:f>IF($A87="","",IF(Audit_Program!$K85=E$3,"●",""))</x:f>
      </x:c>
      <x:c r="F87" s="7">
        <x:f>IF($A87="","",IF(Audit_Program!$K85=F$3,"●",""))</x:f>
      </x:c>
      <x:c r="G87" s="7">
        <x:f>IF($A87="","",IF(Audit_Program!$K85=G$3,"●",""))</x:f>
      </x:c>
      <x:c r="H87" s="7">
        <x:f>IF($A87="","",IF(Audit_Program!$K85=H$3,"●",""))</x:f>
      </x:c>
      <x:c r="I87" s="7">
        <x:f>IF($A87="","",IF(Audit_Program!$K85=I$3,"●",""))</x:f>
      </x:c>
      <x:c r="J87" s="7">
        <x:f>IF($A87="","",IF(Audit_Program!$K85=J$3,"●",""))</x:f>
      </x:c>
      <x:c r="K87" s="7">
        <x:f>IF($A87="","",IF(Audit_Program!$K85=K$3,"●",""))</x:f>
      </x:c>
      <x:c r="L87" s="7">
        <x:f>IF($A87="","",IF(Audit_Program!$K85=L$3,"●",""))</x:f>
      </x:c>
      <x:c r="M87" s="7">
        <x:f>IF($A87="","",IF(Audit_Program!$K85=M$3,"●",""))</x:f>
      </x:c>
      <x:c r="N87" s="7">
        <x:f>IF($A87="","",IF(Audit_Program!$K85=N$3,"●",""))</x:f>
      </x:c>
    </x:row>
    <x:row r="88" ht="18" customHeight="1">
      <x:c r="A88" s="7">
        <x:f>IF(Audit_Program!A86="","",Audit_Program!A86)</x:f>
      </x:c>
      <x:c r="B88" s="6">
        <x:f>IF(Audit_Program!A86="","",Audit_Program!B86)</x:f>
      </x:c>
      <x:c r="C88" s="7">
        <x:f>IF($A88="","",IF(Audit_Program!$K86=C$3,"●",""))</x:f>
      </x:c>
      <x:c r="D88" s="7">
        <x:f>IF($A88="","",IF(Audit_Program!$K86=D$3,"●",""))</x:f>
      </x:c>
      <x:c r="E88" s="7">
        <x:f>IF($A88="","",IF(Audit_Program!$K86=E$3,"●",""))</x:f>
      </x:c>
      <x:c r="F88" s="7">
        <x:f>IF($A88="","",IF(Audit_Program!$K86=F$3,"●",""))</x:f>
      </x:c>
      <x:c r="G88" s="7">
        <x:f>IF($A88="","",IF(Audit_Program!$K86=G$3,"●",""))</x:f>
      </x:c>
      <x:c r="H88" s="7">
        <x:f>IF($A88="","",IF(Audit_Program!$K86=H$3,"●",""))</x:f>
      </x:c>
      <x:c r="I88" s="7">
        <x:f>IF($A88="","",IF(Audit_Program!$K86=I$3,"●",""))</x:f>
      </x:c>
      <x:c r="J88" s="7">
        <x:f>IF($A88="","",IF(Audit_Program!$K86=J$3,"●",""))</x:f>
      </x:c>
      <x:c r="K88" s="7">
        <x:f>IF($A88="","",IF(Audit_Program!$K86=K$3,"●",""))</x:f>
      </x:c>
      <x:c r="L88" s="7">
        <x:f>IF($A88="","",IF(Audit_Program!$K86=L$3,"●",""))</x:f>
      </x:c>
      <x:c r="M88" s="7">
        <x:f>IF($A88="","",IF(Audit_Program!$K86=M$3,"●",""))</x:f>
      </x:c>
      <x:c r="N88" s="7">
        <x:f>IF($A88="","",IF(Audit_Program!$K86=N$3,"●",""))</x:f>
      </x:c>
    </x:row>
    <x:row r="89" ht="18" customHeight="1">
      <x:c r="A89" s="7">
        <x:f>IF(Audit_Program!A87="","",Audit_Program!A87)</x:f>
      </x:c>
      <x:c r="B89" s="6">
        <x:f>IF(Audit_Program!A87="","",Audit_Program!B87)</x:f>
      </x:c>
      <x:c r="C89" s="7">
        <x:f>IF($A89="","",IF(Audit_Program!$K87=C$3,"●",""))</x:f>
      </x:c>
      <x:c r="D89" s="7">
        <x:f>IF($A89="","",IF(Audit_Program!$K87=D$3,"●",""))</x:f>
      </x:c>
      <x:c r="E89" s="7">
        <x:f>IF($A89="","",IF(Audit_Program!$K87=E$3,"●",""))</x:f>
      </x:c>
      <x:c r="F89" s="7">
        <x:f>IF($A89="","",IF(Audit_Program!$K87=F$3,"●",""))</x:f>
      </x:c>
      <x:c r="G89" s="7">
        <x:f>IF($A89="","",IF(Audit_Program!$K87=G$3,"●",""))</x:f>
      </x:c>
      <x:c r="H89" s="7">
        <x:f>IF($A89="","",IF(Audit_Program!$K87=H$3,"●",""))</x:f>
      </x:c>
      <x:c r="I89" s="7">
        <x:f>IF($A89="","",IF(Audit_Program!$K87=I$3,"●",""))</x:f>
      </x:c>
      <x:c r="J89" s="7">
        <x:f>IF($A89="","",IF(Audit_Program!$K87=J$3,"●",""))</x:f>
      </x:c>
      <x:c r="K89" s="7">
        <x:f>IF($A89="","",IF(Audit_Program!$K87=K$3,"●",""))</x:f>
      </x:c>
      <x:c r="L89" s="7">
        <x:f>IF($A89="","",IF(Audit_Program!$K87=L$3,"●",""))</x:f>
      </x:c>
      <x:c r="M89" s="7">
        <x:f>IF($A89="","",IF(Audit_Program!$K87=M$3,"●",""))</x:f>
      </x:c>
      <x:c r="N89" s="7">
        <x:f>IF($A89="","",IF(Audit_Program!$K87=N$3,"●",""))</x:f>
      </x:c>
    </x:row>
    <x:row r="90" ht="18" customHeight="1">
      <x:c r="A90" s="7">
        <x:f>IF(Audit_Program!A88="","",Audit_Program!A88)</x:f>
      </x:c>
      <x:c r="B90" s="6">
        <x:f>IF(Audit_Program!A88="","",Audit_Program!B88)</x:f>
      </x:c>
      <x:c r="C90" s="7">
        <x:f>IF($A90="","",IF(Audit_Program!$K88=C$3,"●",""))</x:f>
      </x:c>
      <x:c r="D90" s="7">
        <x:f>IF($A90="","",IF(Audit_Program!$K88=D$3,"●",""))</x:f>
      </x:c>
      <x:c r="E90" s="7">
        <x:f>IF($A90="","",IF(Audit_Program!$K88=E$3,"●",""))</x:f>
      </x:c>
      <x:c r="F90" s="7">
        <x:f>IF($A90="","",IF(Audit_Program!$K88=F$3,"●",""))</x:f>
      </x:c>
      <x:c r="G90" s="7">
        <x:f>IF($A90="","",IF(Audit_Program!$K88=G$3,"●",""))</x:f>
      </x:c>
      <x:c r="H90" s="7">
        <x:f>IF($A90="","",IF(Audit_Program!$K88=H$3,"●",""))</x:f>
      </x:c>
      <x:c r="I90" s="7">
        <x:f>IF($A90="","",IF(Audit_Program!$K88=I$3,"●",""))</x:f>
      </x:c>
      <x:c r="J90" s="7">
        <x:f>IF($A90="","",IF(Audit_Program!$K88=J$3,"●",""))</x:f>
      </x:c>
      <x:c r="K90" s="7">
        <x:f>IF($A90="","",IF(Audit_Program!$K88=K$3,"●",""))</x:f>
      </x:c>
      <x:c r="L90" s="7">
        <x:f>IF($A90="","",IF(Audit_Program!$K88=L$3,"●",""))</x:f>
      </x:c>
      <x:c r="M90" s="7">
        <x:f>IF($A90="","",IF(Audit_Program!$K88=M$3,"●",""))</x:f>
      </x:c>
      <x:c r="N90" s="7">
        <x:f>IF($A90="","",IF(Audit_Program!$K88=N$3,"●",""))</x:f>
      </x:c>
    </x:row>
    <x:row r="91" ht="18" customHeight="1">
      <x:c r="A91" s="7">
        <x:f>IF(Audit_Program!A89="","",Audit_Program!A89)</x:f>
      </x:c>
      <x:c r="B91" s="6">
        <x:f>IF(Audit_Program!A89="","",Audit_Program!B89)</x:f>
      </x:c>
      <x:c r="C91" s="7">
        <x:f>IF($A91="","",IF(Audit_Program!$K89=C$3,"●",""))</x:f>
      </x:c>
      <x:c r="D91" s="7">
        <x:f>IF($A91="","",IF(Audit_Program!$K89=D$3,"●",""))</x:f>
      </x:c>
      <x:c r="E91" s="7">
        <x:f>IF($A91="","",IF(Audit_Program!$K89=E$3,"●",""))</x:f>
      </x:c>
      <x:c r="F91" s="7">
        <x:f>IF($A91="","",IF(Audit_Program!$K89=F$3,"●",""))</x:f>
      </x:c>
      <x:c r="G91" s="7">
        <x:f>IF($A91="","",IF(Audit_Program!$K89=G$3,"●",""))</x:f>
      </x:c>
      <x:c r="H91" s="7">
        <x:f>IF($A91="","",IF(Audit_Program!$K89=H$3,"●",""))</x:f>
      </x:c>
      <x:c r="I91" s="7">
        <x:f>IF($A91="","",IF(Audit_Program!$K89=I$3,"●",""))</x:f>
      </x:c>
      <x:c r="J91" s="7">
        <x:f>IF($A91="","",IF(Audit_Program!$K89=J$3,"●",""))</x:f>
      </x:c>
      <x:c r="K91" s="7">
        <x:f>IF($A91="","",IF(Audit_Program!$K89=K$3,"●",""))</x:f>
      </x:c>
      <x:c r="L91" s="7">
        <x:f>IF($A91="","",IF(Audit_Program!$K89=L$3,"●",""))</x:f>
      </x:c>
      <x:c r="M91" s="7">
        <x:f>IF($A91="","",IF(Audit_Program!$K89=M$3,"●",""))</x:f>
      </x:c>
      <x:c r="N91" s="7">
        <x:f>IF($A91="","",IF(Audit_Program!$K89=N$3,"●",""))</x:f>
      </x:c>
    </x:row>
    <x:row r="92" ht="18" customHeight="1">
      <x:c r="A92" s="7">
        <x:f>IF(Audit_Program!A90="","",Audit_Program!A90)</x:f>
      </x:c>
      <x:c r="B92" s="6">
        <x:f>IF(Audit_Program!A90="","",Audit_Program!B90)</x:f>
      </x:c>
      <x:c r="C92" s="7">
        <x:f>IF($A92="","",IF(Audit_Program!$K90=C$3,"●",""))</x:f>
      </x:c>
      <x:c r="D92" s="7">
        <x:f>IF($A92="","",IF(Audit_Program!$K90=D$3,"●",""))</x:f>
      </x:c>
      <x:c r="E92" s="7">
        <x:f>IF($A92="","",IF(Audit_Program!$K90=E$3,"●",""))</x:f>
      </x:c>
      <x:c r="F92" s="7">
        <x:f>IF($A92="","",IF(Audit_Program!$K90=F$3,"●",""))</x:f>
      </x:c>
      <x:c r="G92" s="7">
        <x:f>IF($A92="","",IF(Audit_Program!$K90=G$3,"●",""))</x:f>
      </x:c>
      <x:c r="H92" s="7">
        <x:f>IF($A92="","",IF(Audit_Program!$K90=H$3,"●",""))</x:f>
      </x:c>
      <x:c r="I92" s="7">
        <x:f>IF($A92="","",IF(Audit_Program!$K90=I$3,"●",""))</x:f>
      </x:c>
      <x:c r="J92" s="7">
        <x:f>IF($A92="","",IF(Audit_Program!$K90=J$3,"●",""))</x:f>
      </x:c>
      <x:c r="K92" s="7">
        <x:f>IF($A92="","",IF(Audit_Program!$K90=K$3,"●",""))</x:f>
      </x:c>
      <x:c r="L92" s="7">
        <x:f>IF($A92="","",IF(Audit_Program!$K90=L$3,"●",""))</x:f>
      </x:c>
      <x:c r="M92" s="7">
        <x:f>IF($A92="","",IF(Audit_Program!$K90=M$3,"●",""))</x:f>
      </x:c>
      <x:c r="N92" s="7">
        <x:f>IF($A92="","",IF(Audit_Program!$K90=N$3,"●",""))</x:f>
      </x:c>
    </x:row>
    <x:row r="93" ht="18" customHeight="1">
      <x:c r="A93" s="7">
        <x:f>IF(Audit_Program!A91="","",Audit_Program!A91)</x:f>
      </x:c>
      <x:c r="B93" s="6">
        <x:f>IF(Audit_Program!A91="","",Audit_Program!B91)</x:f>
      </x:c>
      <x:c r="C93" s="7">
        <x:f>IF($A93="","",IF(Audit_Program!$K91=C$3,"●",""))</x:f>
      </x:c>
      <x:c r="D93" s="7">
        <x:f>IF($A93="","",IF(Audit_Program!$K91=D$3,"●",""))</x:f>
      </x:c>
      <x:c r="E93" s="7">
        <x:f>IF($A93="","",IF(Audit_Program!$K91=E$3,"●",""))</x:f>
      </x:c>
      <x:c r="F93" s="7">
        <x:f>IF($A93="","",IF(Audit_Program!$K91=F$3,"●",""))</x:f>
      </x:c>
      <x:c r="G93" s="7">
        <x:f>IF($A93="","",IF(Audit_Program!$K91=G$3,"●",""))</x:f>
      </x:c>
      <x:c r="H93" s="7">
        <x:f>IF($A93="","",IF(Audit_Program!$K91=H$3,"●",""))</x:f>
      </x:c>
      <x:c r="I93" s="7">
        <x:f>IF($A93="","",IF(Audit_Program!$K91=I$3,"●",""))</x:f>
      </x:c>
      <x:c r="J93" s="7">
        <x:f>IF($A93="","",IF(Audit_Program!$K91=J$3,"●",""))</x:f>
      </x:c>
      <x:c r="K93" s="7">
        <x:f>IF($A93="","",IF(Audit_Program!$K91=K$3,"●",""))</x:f>
      </x:c>
      <x:c r="L93" s="7">
        <x:f>IF($A93="","",IF(Audit_Program!$K91=L$3,"●",""))</x:f>
      </x:c>
      <x:c r="M93" s="7">
        <x:f>IF($A93="","",IF(Audit_Program!$K91=M$3,"●",""))</x:f>
      </x:c>
      <x:c r="N93" s="7">
        <x:f>IF($A93="","",IF(Audit_Program!$K91=N$3,"●",""))</x:f>
      </x:c>
    </x:row>
    <x:row r="94" ht="18" customHeight="1">
      <x:c r="A94" s="7">
        <x:f>IF(Audit_Program!A92="","",Audit_Program!A92)</x:f>
      </x:c>
      <x:c r="B94" s="6">
        <x:f>IF(Audit_Program!A92="","",Audit_Program!B92)</x:f>
      </x:c>
      <x:c r="C94" s="7">
        <x:f>IF($A94="","",IF(Audit_Program!$K92=C$3,"●",""))</x:f>
      </x:c>
      <x:c r="D94" s="7">
        <x:f>IF($A94="","",IF(Audit_Program!$K92=D$3,"●",""))</x:f>
      </x:c>
      <x:c r="E94" s="7">
        <x:f>IF($A94="","",IF(Audit_Program!$K92=E$3,"●",""))</x:f>
      </x:c>
      <x:c r="F94" s="7">
        <x:f>IF($A94="","",IF(Audit_Program!$K92=F$3,"●",""))</x:f>
      </x:c>
      <x:c r="G94" s="7">
        <x:f>IF($A94="","",IF(Audit_Program!$K92=G$3,"●",""))</x:f>
      </x:c>
      <x:c r="H94" s="7">
        <x:f>IF($A94="","",IF(Audit_Program!$K92=H$3,"●",""))</x:f>
      </x:c>
      <x:c r="I94" s="7">
        <x:f>IF($A94="","",IF(Audit_Program!$K92=I$3,"●",""))</x:f>
      </x:c>
      <x:c r="J94" s="7">
        <x:f>IF($A94="","",IF(Audit_Program!$K92=J$3,"●",""))</x:f>
      </x:c>
      <x:c r="K94" s="7">
        <x:f>IF($A94="","",IF(Audit_Program!$K92=K$3,"●",""))</x:f>
      </x:c>
      <x:c r="L94" s="7">
        <x:f>IF($A94="","",IF(Audit_Program!$K92=L$3,"●",""))</x:f>
      </x:c>
      <x:c r="M94" s="7">
        <x:f>IF($A94="","",IF(Audit_Program!$K92=M$3,"●",""))</x:f>
      </x:c>
      <x:c r="N94" s="7">
        <x:f>IF($A94="","",IF(Audit_Program!$K92=N$3,"●",""))</x:f>
      </x:c>
    </x:row>
    <x:row r="95" ht="18" customHeight="1">
      <x:c r="A95" s="7">
        <x:f>IF(Audit_Program!A93="","",Audit_Program!A93)</x:f>
      </x:c>
      <x:c r="B95" s="6">
        <x:f>IF(Audit_Program!A93="","",Audit_Program!B93)</x:f>
      </x:c>
      <x:c r="C95" s="7">
        <x:f>IF($A95="","",IF(Audit_Program!$K93=C$3,"●",""))</x:f>
      </x:c>
      <x:c r="D95" s="7">
        <x:f>IF($A95="","",IF(Audit_Program!$K93=D$3,"●",""))</x:f>
      </x:c>
      <x:c r="E95" s="7">
        <x:f>IF($A95="","",IF(Audit_Program!$K93=E$3,"●",""))</x:f>
      </x:c>
      <x:c r="F95" s="7">
        <x:f>IF($A95="","",IF(Audit_Program!$K93=F$3,"●",""))</x:f>
      </x:c>
      <x:c r="G95" s="7">
        <x:f>IF($A95="","",IF(Audit_Program!$K93=G$3,"●",""))</x:f>
      </x:c>
      <x:c r="H95" s="7">
        <x:f>IF($A95="","",IF(Audit_Program!$K93=H$3,"●",""))</x:f>
      </x:c>
      <x:c r="I95" s="7">
        <x:f>IF($A95="","",IF(Audit_Program!$K93=I$3,"●",""))</x:f>
      </x:c>
      <x:c r="J95" s="7">
        <x:f>IF($A95="","",IF(Audit_Program!$K93=J$3,"●",""))</x:f>
      </x:c>
      <x:c r="K95" s="7">
        <x:f>IF($A95="","",IF(Audit_Program!$K93=K$3,"●",""))</x:f>
      </x:c>
      <x:c r="L95" s="7">
        <x:f>IF($A95="","",IF(Audit_Program!$K93=L$3,"●",""))</x:f>
      </x:c>
      <x:c r="M95" s="7">
        <x:f>IF($A95="","",IF(Audit_Program!$K93=M$3,"●",""))</x:f>
      </x:c>
      <x:c r="N95" s="7">
        <x:f>IF($A95="","",IF(Audit_Program!$K93=N$3,"●",""))</x:f>
      </x:c>
    </x:row>
    <x:row r="96" ht="18" customHeight="1">
      <x:c r="A96" s="7">
        <x:f>IF(Audit_Program!A94="","",Audit_Program!A94)</x:f>
      </x:c>
      <x:c r="B96" s="6">
        <x:f>IF(Audit_Program!A94="","",Audit_Program!B94)</x:f>
      </x:c>
      <x:c r="C96" s="7">
        <x:f>IF($A96="","",IF(Audit_Program!$K94=C$3,"●",""))</x:f>
      </x:c>
      <x:c r="D96" s="7">
        <x:f>IF($A96="","",IF(Audit_Program!$K94=D$3,"●",""))</x:f>
      </x:c>
      <x:c r="E96" s="7">
        <x:f>IF($A96="","",IF(Audit_Program!$K94=E$3,"●",""))</x:f>
      </x:c>
      <x:c r="F96" s="7">
        <x:f>IF($A96="","",IF(Audit_Program!$K94=F$3,"●",""))</x:f>
      </x:c>
      <x:c r="G96" s="7">
        <x:f>IF($A96="","",IF(Audit_Program!$K94=G$3,"●",""))</x:f>
      </x:c>
      <x:c r="H96" s="7">
        <x:f>IF($A96="","",IF(Audit_Program!$K94=H$3,"●",""))</x:f>
      </x:c>
      <x:c r="I96" s="7">
        <x:f>IF($A96="","",IF(Audit_Program!$K94=I$3,"●",""))</x:f>
      </x:c>
      <x:c r="J96" s="7">
        <x:f>IF($A96="","",IF(Audit_Program!$K94=J$3,"●",""))</x:f>
      </x:c>
      <x:c r="K96" s="7">
        <x:f>IF($A96="","",IF(Audit_Program!$K94=K$3,"●",""))</x:f>
      </x:c>
      <x:c r="L96" s="7">
        <x:f>IF($A96="","",IF(Audit_Program!$K94=L$3,"●",""))</x:f>
      </x:c>
      <x:c r="M96" s="7">
        <x:f>IF($A96="","",IF(Audit_Program!$K94=M$3,"●",""))</x:f>
      </x:c>
      <x:c r="N96" s="7">
        <x:f>IF($A96="","",IF(Audit_Program!$K94=N$3,"●",""))</x:f>
      </x:c>
    </x:row>
    <x:row r="97" ht="18" customHeight="1">
      <x:c r="A97" s="7">
        <x:f>IF(Audit_Program!A95="","",Audit_Program!A95)</x:f>
      </x:c>
      <x:c r="B97" s="6">
        <x:f>IF(Audit_Program!A95="","",Audit_Program!B95)</x:f>
      </x:c>
      <x:c r="C97" s="7">
        <x:f>IF($A97="","",IF(Audit_Program!$K95=C$3,"●",""))</x:f>
      </x:c>
      <x:c r="D97" s="7">
        <x:f>IF($A97="","",IF(Audit_Program!$K95=D$3,"●",""))</x:f>
      </x:c>
      <x:c r="E97" s="7">
        <x:f>IF($A97="","",IF(Audit_Program!$K95=E$3,"●",""))</x:f>
      </x:c>
      <x:c r="F97" s="7">
        <x:f>IF($A97="","",IF(Audit_Program!$K95=F$3,"●",""))</x:f>
      </x:c>
      <x:c r="G97" s="7">
        <x:f>IF($A97="","",IF(Audit_Program!$K95=G$3,"●",""))</x:f>
      </x:c>
      <x:c r="H97" s="7">
        <x:f>IF($A97="","",IF(Audit_Program!$K95=H$3,"●",""))</x:f>
      </x:c>
      <x:c r="I97" s="7">
        <x:f>IF($A97="","",IF(Audit_Program!$K95=I$3,"●",""))</x:f>
      </x:c>
      <x:c r="J97" s="7">
        <x:f>IF($A97="","",IF(Audit_Program!$K95=J$3,"●",""))</x:f>
      </x:c>
      <x:c r="K97" s="7">
        <x:f>IF($A97="","",IF(Audit_Program!$K95=K$3,"●",""))</x:f>
      </x:c>
      <x:c r="L97" s="7">
        <x:f>IF($A97="","",IF(Audit_Program!$K95=L$3,"●",""))</x:f>
      </x:c>
      <x:c r="M97" s="7">
        <x:f>IF($A97="","",IF(Audit_Program!$K95=M$3,"●",""))</x:f>
      </x:c>
      <x:c r="N97" s="7">
        <x:f>IF($A97="","",IF(Audit_Program!$K95=N$3,"●",""))</x:f>
      </x:c>
    </x:row>
    <x:row r="98" ht="18" customHeight="1">
      <x:c r="A98" s="7">
        <x:f>IF(Audit_Program!A96="","",Audit_Program!A96)</x:f>
      </x:c>
      <x:c r="B98" s="6">
        <x:f>IF(Audit_Program!A96="","",Audit_Program!B96)</x:f>
      </x:c>
      <x:c r="C98" s="7">
        <x:f>IF($A98="","",IF(Audit_Program!$K96=C$3,"●",""))</x:f>
      </x:c>
      <x:c r="D98" s="7">
        <x:f>IF($A98="","",IF(Audit_Program!$K96=D$3,"●",""))</x:f>
      </x:c>
      <x:c r="E98" s="7">
        <x:f>IF($A98="","",IF(Audit_Program!$K96=E$3,"●",""))</x:f>
      </x:c>
      <x:c r="F98" s="7">
        <x:f>IF($A98="","",IF(Audit_Program!$K96=F$3,"●",""))</x:f>
      </x:c>
      <x:c r="G98" s="7">
        <x:f>IF($A98="","",IF(Audit_Program!$K96=G$3,"●",""))</x:f>
      </x:c>
      <x:c r="H98" s="7">
        <x:f>IF($A98="","",IF(Audit_Program!$K96=H$3,"●",""))</x:f>
      </x:c>
      <x:c r="I98" s="7">
        <x:f>IF($A98="","",IF(Audit_Program!$K96=I$3,"●",""))</x:f>
      </x:c>
      <x:c r="J98" s="7">
        <x:f>IF($A98="","",IF(Audit_Program!$K96=J$3,"●",""))</x:f>
      </x:c>
      <x:c r="K98" s="7">
        <x:f>IF($A98="","",IF(Audit_Program!$K96=K$3,"●",""))</x:f>
      </x:c>
      <x:c r="L98" s="7">
        <x:f>IF($A98="","",IF(Audit_Program!$K96=L$3,"●",""))</x:f>
      </x:c>
      <x:c r="M98" s="7">
        <x:f>IF($A98="","",IF(Audit_Program!$K96=M$3,"●",""))</x:f>
      </x:c>
      <x:c r="N98" s="7">
        <x:f>IF($A98="","",IF(Audit_Program!$K96=N$3,"●",""))</x:f>
      </x:c>
    </x:row>
    <x:row r="99" ht="18" customHeight="1">
      <x:c r="A99" s="7">
        <x:f>IF(Audit_Program!A97="","",Audit_Program!A97)</x:f>
      </x:c>
      <x:c r="B99" s="6">
        <x:f>IF(Audit_Program!A97="","",Audit_Program!B97)</x:f>
      </x:c>
      <x:c r="C99" s="7">
        <x:f>IF($A99="","",IF(Audit_Program!$K97=C$3,"●",""))</x:f>
      </x:c>
      <x:c r="D99" s="7">
        <x:f>IF($A99="","",IF(Audit_Program!$K97=D$3,"●",""))</x:f>
      </x:c>
      <x:c r="E99" s="7">
        <x:f>IF($A99="","",IF(Audit_Program!$K97=E$3,"●",""))</x:f>
      </x:c>
      <x:c r="F99" s="7">
        <x:f>IF($A99="","",IF(Audit_Program!$K97=F$3,"●",""))</x:f>
      </x:c>
      <x:c r="G99" s="7">
        <x:f>IF($A99="","",IF(Audit_Program!$K97=G$3,"●",""))</x:f>
      </x:c>
      <x:c r="H99" s="7">
        <x:f>IF($A99="","",IF(Audit_Program!$K97=H$3,"●",""))</x:f>
      </x:c>
      <x:c r="I99" s="7">
        <x:f>IF($A99="","",IF(Audit_Program!$K97=I$3,"●",""))</x:f>
      </x:c>
      <x:c r="J99" s="7">
        <x:f>IF($A99="","",IF(Audit_Program!$K97=J$3,"●",""))</x:f>
      </x:c>
      <x:c r="K99" s="7">
        <x:f>IF($A99="","",IF(Audit_Program!$K97=K$3,"●",""))</x:f>
      </x:c>
      <x:c r="L99" s="7">
        <x:f>IF($A99="","",IF(Audit_Program!$K97=L$3,"●",""))</x:f>
      </x:c>
      <x:c r="M99" s="7">
        <x:f>IF($A99="","",IF(Audit_Program!$K97=M$3,"●",""))</x:f>
      </x:c>
      <x:c r="N99" s="7">
        <x:f>IF($A99="","",IF(Audit_Program!$K97=N$3,"●",""))</x:f>
      </x:c>
    </x:row>
    <x:row r="100" ht="18" customHeight="1">
      <x:c r="A100" s="7">
        <x:f>IF(Audit_Program!A98="","",Audit_Program!A98)</x:f>
      </x:c>
      <x:c r="B100" s="6">
        <x:f>IF(Audit_Program!A98="","",Audit_Program!B98)</x:f>
      </x:c>
      <x:c r="C100" s="7">
        <x:f>IF($A100="","",IF(Audit_Program!$K98=C$3,"●",""))</x:f>
      </x:c>
      <x:c r="D100" s="7">
        <x:f>IF($A100="","",IF(Audit_Program!$K98=D$3,"●",""))</x:f>
      </x:c>
      <x:c r="E100" s="7">
        <x:f>IF($A100="","",IF(Audit_Program!$K98=E$3,"●",""))</x:f>
      </x:c>
      <x:c r="F100" s="7">
        <x:f>IF($A100="","",IF(Audit_Program!$K98=F$3,"●",""))</x:f>
      </x:c>
      <x:c r="G100" s="7">
        <x:f>IF($A100="","",IF(Audit_Program!$K98=G$3,"●",""))</x:f>
      </x:c>
      <x:c r="H100" s="7">
        <x:f>IF($A100="","",IF(Audit_Program!$K98=H$3,"●",""))</x:f>
      </x:c>
      <x:c r="I100" s="7">
        <x:f>IF($A100="","",IF(Audit_Program!$K98=I$3,"●",""))</x:f>
      </x:c>
      <x:c r="J100" s="7">
        <x:f>IF($A100="","",IF(Audit_Program!$K98=J$3,"●",""))</x:f>
      </x:c>
      <x:c r="K100" s="7">
        <x:f>IF($A100="","",IF(Audit_Program!$K98=K$3,"●",""))</x:f>
      </x:c>
      <x:c r="L100" s="7">
        <x:f>IF($A100="","",IF(Audit_Program!$K98=L$3,"●",""))</x:f>
      </x:c>
      <x:c r="M100" s="7">
        <x:f>IF($A100="","",IF(Audit_Program!$K98=M$3,"●",""))</x:f>
      </x:c>
      <x:c r="N100" s="7">
        <x:f>IF($A100="","",IF(Audit_Program!$K98=N$3,"●",""))</x:f>
      </x:c>
    </x:row>
    <x:row r="101" ht="18" customHeight="1">
      <x:c r="A101" s="7">
        <x:f>IF(Audit_Program!A99="","",Audit_Program!A99)</x:f>
      </x:c>
      <x:c r="B101" s="6">
        <x:f>IF(Audit_Program!A99="","",Audit_Program!B99)</x:f>
      </x:c>
      <x:c r="C101" s="7">
        <x:f>IF($A101="","",IF(Audit_Program!$K99=C$3,"●",""))</x:f>
      </x:c>
      <x:c r="D101" s="7">
        <x:f>IF($A101="","",IF(Audit_Program!$K99=D$3,"●",""))</x:f>
      </x:c>
      <x:c r="E101" s="7">
        <x:f>IF($A101="","",IF(Audit_Program!$K99=E$3,"●",""))</x:f>
      </x:c>
      <x:c r="F101" s="7">
        <x:f>IF($A101="","",IF(Audit_Program!$K99=F$3,"●",""))</x:f>
      </x:c>
      <x:c r="G101" s="7">
        <x:f>IF($A101="","",IF(Audit_Program!$K99=G$3,"●",""))</x:f>
      </x:c>
      <x:c r="H101" s="7">
        <x:f>IF($A101="","",IF(Audit_Program!$K99=H$3,"●",""))</x:f>
      </x:c>
      <x:c r="I101" s="7">
        <x:f>IF($A101="","",IF(Audit_Program!$K99=I$3,"●",""))</x:f>
      </x:c>
      <x:c r="J101" s="7">
        <x:f>IF($A101="","",IF(Audit_Program!$K99=J$3,"●",""))</x:f>
      </x:c>
      <x:c r="K101" s="7">
        <x:f>IF($A101="","",IF(Audit_Program!$K99=K$3,"●",""))</x:f>
      </x:c>
      <x:c r="L101" s="7">
        <x:f>IF($A101="","",IF(Audit_Program!$K99=L$3,"●",""))</x:f>
      </x:c>
      <x:c r="M101" s="7">
        <x:f>IF($A101="","",IF(Audit_Program!$K99=M$3,"●",""))</x:f>
      </x:c>
      <x:c r="N101" s="7">
        <x:f>IF($A101="","",IF(Audit_Program!$K99=N$3,"●",""))</x:f>
      </x:c>
    </x:row>
    <x:row r="102" ht="18" customHeight="1">
      <x:c r="A102" s="7">
        <x:f>IF(Audit_Program!A100="","",Audit_Program!A100)</x:f>
      </x:c>
      <x:c r="B102" s="6">
        <x:f>IF(Audit_Program!A100="","",Audit_Program!B100)</x:f>
      </x:c>
      <x:c r="C102" s="7">
        <x:f>IF($A102="","",IF(Audit_Program!$K100=C$3,"●",""))</x:f>
      </x:c>
      <x:c r="D102" s="7">
        <x:f>IF($A102="","",IF(Audit_Program!$K100=D$3,"●",""))</x:f>
      </x:c>
      <x:c r="E102" s="7">
        <x:f>IF($A102="","",IF(Audit_Program!$K100=E$3,"●",""))</x:f>
      </x:c>
      <x:c r="F102" s="7">
        <x:f>IF($A102="","",IF(Audit_Program!$K100=F$3,"●",""))</x:f>
      </x:c>
      <x:c r="G102" s="7">
        <x:f>IF($A102="","",IF(Audit_Program!$K100=G$3,"●",""))</x:f>
      </x:c>
      <x:c r="H102" s="7">
        <x:f>IF($A102="","",IF(Audit_Program!$K100=H$3,"●",""))</x:f>
      </x:c>
      <x:c r="I102" s="7">
        <x:f>IF($A102="","",IF(Audit_Program!$K100=I$3,"●",""))</x:f>
      </x:c>
      <x:c r="J102" s="7">
        <x:f>IF($A102="","",IF(Audit_Program!$K100=J$3,"●",""))</x:f>
      </x:c>
      <x:c r="K102" s="7">
        <x:f>IF($A102="","",IF(Audit_Program!$K100=K$3,"●",""))</x:f>
      </x:c>
      <x:c r="L102" s="7">
        <x:f>IF($A102="","",IF(Audit_Program!$K100=L$3,"●",""))</x:f>
      </x:c>
      <x:c r="M102" s="7">
        <x:f>IF($A102="","",IF(Audit_Program!$K100=M$3,"●",""))</x:f>
      </x:c>
      <x:c r="N102" s="7">
        <x:f>IF($A102="","",IF(Audit_Program!$K100=N$3,"●",""))</x:f>
      </x:c>
    </x:row>
    <x:row r="103" ht="18" customHeight="1">
      <x:c r="A103" s="7">
        <x:f>IF(Audit_Program!A101="","",Audit_Program!A101)</x:f>
      </x:c>
      <x:c r="B103" s="6">
        <x:f>IF(Audit_Program!A101="","",Audit_Program!B101)</x:f>
      </x:c>
      <x:c r="C103" s="7">
        <x:f>IF($A103="","",IF(Audit_Program!$K101=C$3,"●",""))</x:f>
      </x:c>
      <x:c r="D103" s="7">
        <x:f>IF($A103="","",IF(Audit_Program!$K101=D$3,"●",""))</x:f>
      </x:c>
      <x:c r="E103" s="7">
        <x:f>IF($A103="","",IF(Audit_Program!$K101=E$3,"●",""))</x:f>
      </x:c>
      <x:c r="F103" s="7">
        <x:f>IF($A103="","",IF(Audit_Program!$K101=F$3,"●",""))</x:f>
      </x:c>
      <x:c r="G103" s="7">
        <x:f>IF($A103="","",IF(Audit_Program!$K101=G$3,"●",""))</x:f>
      </x:c>
      <x:c r="H103" s="7">
        <x:f>IF($A103="","",IF(Audit_Program!$K101=H$3,"●",""))</x:f>
      </x:c>
      <x:c r="I103" s="7">
        <x:f>IF($A103="","",IF(Audit_Program!$K101=I$3,"●",""))</x:f>
      </x:c>
      <x:c r="J103" s="7">
        <x:f>IF($A103="","",IF(Audit_Program!$K101=J$3,"●",""))</x:f>
      </x:c>
      <x:c r="K103" s="7">
        <x:f>IF($A103="","",IF(Audit_Program!$K101=K$3,"●",""))</x:f>
      </x:c>
      <x:c r="L103" s="7">
        <x:f>IF($A103="","",IF(Audit_Program!$K101=L$3,"●",""))</x:f>
      </x:c>
      <x:c r="M103" s="7">
        <x:f>IF($A103="","",IF(Audit_Program!$K101=M$3,"●",""))</x:f>
      </x:c>
      <x:c r="N103" s="7">
        <x:f>IF($A103="","",IF(Audit_Program!$K101=N$3,"●",""))</x:f>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2" customWidth="1"/>
    <x:col min="2" max="2" width="16" customWidth="1"/>
    <x:col min="3" max="3" width="4" customWidth="1"/>
    <x:col min="4" max="4" width="22" customWidth="1"/>
    <x:col min="5" max="5" width="22" customWidth="1"/>
    <x:col min="6" max="6" width="22" customWidth="1"/>
    <x:col min="7" max="7" width="22" customWidth="1"/>
    <x:col min="8" max="8" width="22" customWidth="1"/>
    <x:col min="9" max="9" width="22" customWidth="1"/>
    <x:col min="10" max="10" width="22" customWidth="1"/>
    <x:col min="11" max="11" width="22" customWidth="1"/>
    <x:col min="12" max="12" width="22" customWidth="1"/>
    <x:col min="13" max="13" width="22" customWidth="1"/>
  </x:cols>
  <x:sheetData>
    <x:row r="1">
      <x:c r="A1" s="11" t="inlineStr">
        <x:is>
          <x:t xml:space="preserve">GRC Dashboard</x:t>
        </x:is>
      </x:c>
    </x:row>
    <x:row r="3">
      <x:c r="A3" s="3" t="inlineStr">
        <x:is>
          <x:t xml:space="preserve">Key Metrics</x:t>
        </x:is>
      </x:c>
    </x:row>
    <x:row r="5">
      <x:c r="A5" s="12" t="inlineStr">
        <x:is>
          <x:t xml:space="preserve">Total Controls</x:t>
        </x:is>
      </x:c>
      <x:c r="B5" s="16" t="n"/>
      <x:c r="C5" s="16" t="n"/>
      <x:c r="D5" s="17" t="n"/>
      <x:c r="F5" s="12" t="inlineStr">
        <x:is>
          <x:t xml:space="preserve">Controls Tested (YTD)</x:t>
        </x:is>
      </x:c>
      <x:c r="G5" s="16" t="n"/>
      <x:c r="H5" s="16" t="n"/>
      <x:c r="I5" s="17" t="n"/>
      <x:c r="K5" s="12" t="inlineStr">
        <x:is>
          <x:t xml:space="preserve">Pass Rate (YTD)</x:t>
        </x:is>
      </x:c>
      <x:c r="L5" s="16" t="n"/>
      <x:c r="M5" s="16" t="n"/>
      <x:c r="N5" s="17" t="n"/>
    </x:row>
    <x:row r="6">
      <x:c r="A6" s="14">
        <x:f>COUNTA(Control_Library!A2:A500)</x:f>
        <x:v>49</x:v>
      </x:c>
      <x:c r="B6" s="18" t="n"/>
      <x:c r="C6" s="18" t="n"/>
      <x:c r="D6" s="19" t="n"/>
      <x:c r="F6" s="14">
        <x:f>COUNTIF(Test_Execution!I2:I501,"&lt;&gt;")</x:f>
        <x:v>0</x:v>
      </x:c>
      <x:c r="G6" s="18" t="n"/>
      <x:c r="H6" s="18" t="n"/>
      <x:c r="I6" s="19" t="n"/>
      <x:c r="K6" s="20">
        <x:f>IFERROR(COUNTIF(Test_Execution!I2:I501,"Pass")/COUNTIF(Test_Execution!I2:I501,"&lt;&gt;"),"")</x:f>
      </x:c>
      <x:c r="L6" s="18" t="n"/>
      <x:c r="M6" s="18" t="n"/>
      <x:c r="N6" s="19" t="n"/>
    </x:row>
    <x:row r="7">
      <x:c r="A7" s="21" t="n"/>
      <x:c r="B7" s="22" t="n"/>
      <x:c r="C7" s="22" t="n"/>
      <x:c r="D7" s="23" t="n"/>
      <x:c r="F7" s="21" t="n"/>
      <x:c r="G7" s="22" t="n"/>
      <x:c r="H7" s="22" t="n"/>
      <x:c r="I7" s="23" t="n"/>
      <x:c r="K7" s="21" t="n"/>
      <x:c r="L7" s="22" t="n"/>
      <x:c r="M7" s="22" t="n"/>
      <x:c r="N7" s="23" t="n"/>
    </x:row>
    <x:row r="9">
      <x:c r="A9" s="12" t="inlineStr">
        <x:is>
          <x:t xml:space="preserve">Open Issues</x:t>
        </x:is>
      </x:c>
      <x:c r="B9" s="16" t="n"/>
      <x:c r="C9" s="16" t="n"/>
      <x:c r="D9" s="17" t="n"/>
      <x:c r="F9" s="12" t="inlineStr">
        <x:is>
          <x:t xml:space="preserve">Overdue Issues</x:t>
        </x:is>
      </x:c>
      <x:c r="G9" s="16" t="n"/>
      <x:c r="H9" s="16" t="n"/>
      <x:c r="I9" s="17" t="n"/>
      <x:c r="K9" s="12" t="inlineStr">
        <x:is>
          <x:t xml:space="preserve">Open Actions</x:t>
        </x:is>
      </x:c>
      <x:c r="L9" s="16" t="n"/>
      <x:c r="M9" s="16" t="n"/>
      <x:c r="N9" s="17" t="n"/>
    </x:row>
    <x:row r="10">
      <x:c r="A10" s="14">
        <x:f>COUNTIFS(Issues_Log!A2:A301,"&lt;&gt;",Issues_Log!J2:J301,"Open")+COUNTIFS(Issues_Log!A2:A301,"&lt;&gt;",Issues_Log!J2:J301,"In Progress")</x:f>
        <x:v>0</x:v>
      </x:c>
      <x:c r="B10" s="18" t="n"/>
      <x:c r="C10" s="18" t="n"/>
      <x:c r="D10" s="19" t="n"/>
      <x:c r="F10" s="14">
        <x:f>COUNTIFS(Issues_Log!A2:A301,"&lt;&gt;",Issues_Log!L2:L301,"Yes")</x:f>
        <x:v>0</x:v>
      </x:c>
      <x:c r="G10" s="18" t="n"/>
      <x:c r="H10" s="18" t="n"/>
      <x:c r="I10" s="19" t="n"/>
      <x:c r="K10" s="14">
        <x:f>COUNTIFS(Action_Tracker!A2:A401,"&lt;&gt;",Action_Tracker!F2:F401,"Open")+COUNTIFS(Action_Tracker!A2:A401,"&lt;&gt;",Action_Tracker!F2:F401,"In Progress")</x:f>
        <x:v>0</x:v>
      </x:c>
      <x:c r="L10" s="18" t="n"/>
      <x:c r="M10" s="18" t="n"/>
      <x:c r="N10" s="19" t="n"/>
    </x:row>
    <x:row r="11">
      <x:c r="A11" s="21" t="n"/>
      <x:c r="B11" s="22" t="n"/>
      <x:c r="C11" s="22" t="n"/>
      <x:c r="D11" s="23" t="n"/>
      <x:c r="F11" s="21" t="n"/>
      <x:c r="G11" s="22" t="n"/>
      <x:c r="H11" s="22" t="n"/>
      <x:c r="I11" s="23" t="n"/>
      <x:c r="K11" s="21" t="n"/>
      <x:c r="L11" s="22" t="n"/>
      <x:c r="M11" s="22" t="n"/>
      <x:c r="N11" s="23" t="n"/>
    </x:row>
    <x:row r="13">
      <x:c r="A13" s="12" t="inlineStr">
        <x:is>
          <x:t xml:space="preserve">Overdue Actions</x:t>
        </x:is>
      </x:c>
      <x:c r="B13" s="16" t="n"/>
      <x:c r="C13" s="16" t="n"/>
      <x:c r="D13" s="17" t="n"/>
      <x:c r="F13" s="12" t="inlineStr">
        <x:is>
          <x:t xml:space="preserve">Audits Planned</x:t>
        </x:is>
      </x:c>
      <x:c r="G13" s="16" t="n"/>
      <x:c r="H13" s="16" t="n"/>
      <x:c r="I13" s="17" t="n"/>
      <x:c r="K13" s="12" t="inlineStr">
        <x:is>
          <x:t xml:space="preserve">Audits Completed (YTD)</x:t>
        </x:is>
      </x:c>
      <x:c r="L13" s="16" t="n"/>
      <x:c r="M13" s="16" t="n"/>
      <x:c r="N13" s="17" t="n"/>
    </x:row>
    <x:row r="14">
      <x:c r="A14" s="14">
        <x:f>COUNTIFS(Action_Tracker!A2:A401,"&lt;&gt;",Action_Tracker!H2:H401,"&gt;0")</x:f>
        <x:v>0</x:v>
      </x:c>
      <x:c r="B14" s="18" t="n"/>
      <x:c r="C14" s="18" t="n"/>
      <x:c r="D14" s="19" t="n"/>
      <x:c r="F14" s="14">
        <x:f>COUNTIFS(Audit_Program!A2:A101,"&lt;&gt;",Audit_Program!N2:N101,"Planned")</x:f>
        <x:v>2</x:v>
      </x:c>
      <x:c r="G14" s="18" t="n"/>
      <x:c r="H14" s="18" t="n"/>
      <x:c r="I14" s="19" t="n"/>
      <x:c r="K14" s="14">
        <x:f>COUNTIFS(Audit_Program!A2:A101,"&lt;&gt;",Audit_Program!N2:N101,"Issued")</x:f>
        <x:v>0</x:v>
      </x:c>
      <x:c r="L14" s="18" t="n"/>
      <x:c r="M14" s="18" t="n"/>
      <x:c r="N14" s="19" t="n"/>
    </x:row>
    <x:row r="15">
      <x:c r="A15" s="21" t="n"/>
      <x:c r="B15" s="22" t="n"/>
      <x:c r="C15" s="22" t="n"/>
      <x:c r="D15" s="23" t="n"/>
      <x:c r="F15" s="21" t="n"/>
      <x:c r="G15" s="22" t="n"/>
      <x:c r="H15" s="22" t="n"/>
      <x:c r="I15" s="23" t="n"/>
      <x:c r="K15" s="21" t="n"/>
      <x:c r="L15" s="22" t="n"/>
      <x:c r="M15" s="22" t="n"/>
      <x:c r="N15" s="23" t="n"/>
    </x:row>
    <x:row r="18">
      <x:c r="A18" s="3" t="inlineStr">
        <x:is>
          <x:t xml:space="preserve">Issues by Rating (Open)</x:t>
        </x:is>
      </x:c>
    </x:row>
    <x:row r="19">
      <x:c r="A19" s="5" t="inlineStr">
        <x:is>
          <x:t xml:space="preserve">Rating</x:t>
        </x:is>
      </x:c>
      <x:c r="B19" s="5" t="inlineStr">
        <x:is>
          <x:t xml:space="preserve">Count</x:t>
        </x:is>
      </x:c>
    </x:row>
    <x:row r="20">
      <x:c r="A20" s="7" t="inlineStr">
        <x:is>
          <x:t xml:space="preserve">Critical</x:t>
        </x:is>
      </x:c>
      <x:c r="B20" s="7">
        <x:f>COUNTIFS(Issues_Log!A2:A301,"&lt;&gt;",Issues_Log!F2:F301,"Critical",Issues_Log!J2:J301,"&lt;&gt;Closed")</x:f>
        <x:v>0</x:v>
      </x:c>
    </x:row>
    <x:row r="21">
      <x:c r="A21" s="7" t="inlineStr">
        <x:is>
          <x:t xml:space="preserve">High</x:t>
        </x:is>
      </x:c>
      <x:c r="B21" s="7">
        <x:f>COUNTIFS(Issues_Log!A2:A301,"&lt;&gt;",Issues_Log!F2:F301,"High",Issues_Log!J2:J301,"&lt;&gt;Closed")</x:f>
        <x:v>0</x:v>
      </x:c>
    </x:row>
    <x:row r="22">
      <x:c r="A22" s="7" t="inlineStr">
        <x:is>
          <x:t xml:space="preserve">Medium</x:t>
        </x:is>
      </x:c>
      <x:c r="B22" s="7">
        <x:f>COUNTIFS(Issues_Log!A2:A301,"&lt;&gt;",Issues_Log!F2:F301,"Medium",Issues_Log!J2:J301,"&lt;&gt;Closed")</x:f>
        <x:v>0</x:v>
      </x:c>
    </x:row>
    <x:row r="23">
      <x:c r="A23" s="7" t="inlineStr">
        <x:is>
          <x:t xml:space="preserve">Low</x:t>
        </x:is>
      </x:c>
      <x:c r="B23" s="7">
        <x:f>COUNTIFS(Issues_Log!A2:A301,"&lt;&gt;",Issues_Log!F2:F301,"Low",Issues_Log!J2:J301,"&lt;&gt;Closed")</x:f>
        <x:v>0</x:v>
      </x:c>
    </x:row>
  </x:sheetData>
  <x:mergeCells>
    <x:mergeCell ref="F6:I7"/>
    <x:mergeCell ref="A5:D5"/>
    <x:mergeCell ref="F13:I13"/>
    <x:mergeCell ref="A9:D9"/>
    <x:mergeCell ref="A14:D15"/>
    <x:mergeCell ref="F14:I15"/>
    <x:mergeCell ref="K13:N13"/>
    <x:mergeCell ref="F9:I9"/>
    <x:mergeCell ref="K14:N15"/>
    <x:mergeCell ref="K9:N9"/>
    <x:mergeCell ref="A13:D13"/>
    <x:mergeCell ref="K6:N7"/>
    <x:mergeCell ref="F5:I5"/>
    <x:mergeCell ref="A6:D7"/>
    <x:mergeCell ref="A10:D11"/>
    <x:mergeCell ref="K5:N5"/>
    <x:mergeCell ref="F10:I11"/>
    <x:mergeCell ref="K10:N11"/>
  </x:mergeCells>
  <x:pageMargins left="0.7" right="0.7" top="0.75" bottom="0.75" header="0.3" footer="0.3"/>
</x:worksheet>
</file>